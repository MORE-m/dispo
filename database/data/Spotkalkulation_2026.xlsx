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Verkauf\Radio Hamburg\Angebote\Berechnung von Angeboten\2026\Kalkulationstabellen 2026\"/>
    </mc:Choice>
  </mc:AlternateContent>
  <bookViews>
    <workbookView xWindow="435" yWindow="135" windowWidth="16440" windowHeight="5985"/>
  </bookViews>
  <sheets>
    <sheet name="Inhaltsverzeichnis" sheetId="35" r:id="rId1"/>
    <sheet name="Preise RHH" sheetId="37" r:id="rId2"/>
    <sheet name="PlanerRHH" sheetId="36" r:id="rId3"/>
    <sheet name="Preise 80er 90er OAHH" sheetId="19" r:id="rId4"/>
    <sheet name="Planer 80er 90er OAHH" sheetId="20" r:id="rId5"/>
    <sheet name="Preise MOREHHKombi" sheetId="21" r:id="rId6"/>
    <sheet name="Planer MOREHHKombi" sheetId="22" r:id="rId7"/>
    <sheet name="Preise MOREHHKombi+" sheetId="29" r:id="rId8"/>
    <sheet name="Planer MOREHHKombi+" sheetId="30" r:id="rId9"/>
    <sheet name="Preise RAHH" sheetId="23" r:id="rId10"/>
    <sheet name="Planer RAHH" sheetId="24" r:id="rId11"/>
    <sheet name="Preise CARAVANFM" sheetId="27" r:id="rId12"/>
    <sheet name="PlanerCARAVANFM" sheetId="28" r:id="rId13"/>
    <sheet name="Preise BOLLERWAGEN" sheetId="31" r:id="rId14"/>
    <sheet name="Planer BOLLERWAGEN" sheetId="32" r:id="rId15"/>
    <sheet name="Preise radio ffn" sheetId="33" r:id="rId16"/>
    <sheet name="Planer radio ffn" sheetId="34" r:id="rId17"/>
  </sheets>
  <definedNames>
    <definedName name="_xlnm.Print_Area" localSheetId="3">'Preise 80er 90er OAHH'!$A$1:$T$78</definedName>
    <definedName name="_xlnm.Print_Area" localSheetId="13">'Preise BOLLERWAGEN'!$A$1:$T$78</definedName>
    <definedName name="_xlnm.Print_Area" localSheetId="11">'Preise CARAVANFM'!$A$1:$T$78</definedName>
    <definedName name="_xlnm.Print_Area" localSheetId="5">'Preise MOREHHKombi'!$A$1:$T$78</definedName>
    <definedName name="_xlnm.Print_Area" localSheetId="7">'Preise MOREHHKombi+'!$A$1:$T$78</definedName>
    <definedName name="_xlnm.Print_Area" localSheetId="15">'Preise radio ffn'!$A$1:$T$78</definedName>
    <definedName name="_xlnm.Print_Area" localSheetId="9">'Preise RAHH'!$A$1:$T$78</definedName>
    <definedName name="_xlnm.Print_Area" localSheetId="1">'Preise RHH'!$A$1:$T$78</definedName>
  </definedNames>
  <calcPr calcId="162913"/>
</workbook>
</file>

<file path=xl/calcChain.xml><?xml version="1.0" encoding="utf-8"?>
<calcChain xmlns="http://schemas.openxmlformats.org/spreadsheetml/2006/main">
  <c r="J41" i="20" l="1"/>
  <c r="F41" i="20"/>
  <c r="B41" i="20"/>
  <c r="G71" i="29" l="1"/>
  <c r="G71" i="33"/>
  <c r="J71" i="27"/>
  <c r="H71" i="27"/>
  <c r="F71" i="19"/>
  <c r="G71" i="19" s="1"/>
  <c r="F71" i="21"/>
  <c r="F71" i="29"/>
  <c r="F71" i="23"/>
  <c r="G71" i="23" s="1"/>
  <c r="F71" i="27"/>
  <c r="G71" i="27" s="1"/>
  <c r="F71" i="31"/>
  <c r="F71" i="33"/>
  <c r="F71" i="37"/>
  <c r="G71" i="37" s="1"/>
  <c r="D71" i="19"/>
  <c r="E71" i="19" s="1"/>
  <c r="D71" i="21"/>
  <c r="D71" i="29"/>
  <c r="E71" i="29" s="1"/>
  <c r="D71" i="23"/>
  <c r="D71" i="27"/>
  <c r="E71" i="27" s="1"/>
  <c r="D71" i="31"/>
  <c r="D71" i="33"/>
  <c r="E71" i="33" s="1"/>
  <c r="D71" i="37"/>
  <c r="E71" i="37" s="1"/>
  <c r="B71" i="19"/>
  <c r="B71" i="21"/>
  <c r="B71" i="29"/>
  <c r="C71" i="29" s="1"/>
  <c r="B71" i="23"/>
  <c r="C71" i="23" s="1"/>
  <c r="B71" i="27"/>
  <c r="B71" i="31"/>
  <c r="B71" i="33"/>
  <c r="C71" i="33" s="1"/>
  <c r="B71" i="37"/>
  <c r="C71" i="37" s="1"/>
  <c r="C71" i="19"/>
  <c r="C71" i="21"/>
  <c r="E71" i="21"/>
  <c r="G71" i="21"/>
  <c r="E71" i="23"/>
  <c r="C71" i="27"/>
  <c r="C71" i="31"/>
  <c r="E71" i="31"/>
  <c r="G71" i="31"/>
  <c r="K71" i="33" l="1"/>
  <c r="I71" i="33"/>
  <c r="K71" i="29"/>
  <c r="I71" i="29"/>
  <c r="K71" i="31"/>
  <c r="I71" i="37"/>
  <c r="I71" i="23"/>
  <c r="I71" i="21"/>
  <c r="I71" i="27"/>
  <c r="K71" i="19"/>
  <c r="K71" i="37"/>
  <c r="K71" i="27"/>
  <c r="K71" i="23"/>
  <c r="I71" i="31"/>
  <c r="K71" i="21"/>
  <c r="I71" i="19"/>
  <c r="J39" i="27"/>
  <c r="H39" i="27"/>
  <c r="F39" i="19"/>
  <c r="F39" i="21"/>
  <c r="F39" i="23"/>
  <c r="G39" i="23" s="1"/>
  <c r="F39" i="27"/>
  <c r="F39" i="31"/>
  <c r="F39" i="37"/>
  <c r="D39" i="19"/>
  <c r="E39" i="19" s="1"/>
  <c r="D39" i="21"/>
  <c r="D39" i="23"/>
  <c r="E39" i="23" s="1"/>
  <c r="D39" i="27"/>
  <c r="D39" i="31"/>
  <c r="D39" i="37"/>
  <c r="E39" i="37" s="1"/>
  <c r="B39" i="19"/>
  <c r="B39" i="21"/>
  <c r="B39" i="23"/>
  <c r="C39" i="23" s="1"/>
  <c r="B39" i="27"/>
  <c r="B39" i="31"/>
  <c r="B39" i="37"/>
  <c r="C39" i="37" s="1"/>
  <c r="C39" i="19"/>
  <c r="G39" i="19"/>
  <c r="C39" i="21"/>
  <c r="E39" i="21"/>
  <c r="G39" i="21"/>
  <c r="C39" i="27"/>
  <c r="E39" i="27"/>
  <c r="G39" i="27"/>
  <c r="C39" i="31"/>
  <c r="E39" i="31"/>
  <c r="G39" i="31"/>
  <c r="G39" i="37"/>
  <c r="I39" i="31" l="1"/>
  <c r="K39" i="19"/>
  <c r="I39" i="27"/>
  <c r="I39" i="19"/>
  <c r="I39" i="23"/>
  <c r="K39" i="23"/>
  <c r="K39" i="31"/>
  <c r="I39" i="21"/>
  <c r="I39" i="37"/>
  <c r="K39" i="27"/>
  <c r="K39" i="37"/>
  <c r="K39" i="21"/>
  <c r="J72" i="27"/>
  <c r="H72" i="27"/>
  <c r="F72" i="19"/>
  <c r="F72" i="21"/>
  <c r="F72" i="29"/>
  <c r="G72" i="29" s="1"/>
  <c r="F72" i="23"/>
  <c r="F72" i="27"/>
  <c r="F72" i="31"/>
  <c r="F72" i="33"/>
  <c r="G72" i="33" s="1"/>
  <c r="F72" i="37"/>
  <c r="G72" i="37" s="1"/>
  <c r="D72" i="19"/>
  <c r="D72" i="21"/>
  <c r="D72" i="29"/>
  <c r="E72" i="29" s="1"/>
  <c r="D72" i="23"/>
  <c r="E72" i="23" s="1"/>
  <c r="D72" i="27"/>
  <c r="D72" i="31"/>
  <c r="D72" i="33"/>
  <c r="E72" i="33" s="1"/>
  <c r="D72" i="37"/>
  <c r="E72" i="37" s="1"/>
  <c r="B72" i="19"/>
  <c r="B72" i="21"/>
  <c r="B72" i="29"/>
  <c r="C72" i="29" s="1"/>
  <c r="B72" i="23"/>
  <c r="B72" i="27"/>
  <c r="B72" i="31"/>
  <c r="C72" i="31" s="1"/>
  <c r="B72" i="33"/>
  <c r="C72" i="33" s="1"/>
  <c r="B72" i="37"/>
  <c r="C72" i="37" s="1"/>
  <c r="C72" i="19"/>
  <c r="E72" i="19"/>
  <c r="G72" i="19"/>
  <c r="C72" i="21"/>
  <c r="E72" i="21"/>
  <c r="G72" i="21"/>
  <c r="C72" i="23"/>
  <c r="G72" i="23"/>
  <c r="C72" i="27"/>
  <c r="E72" i="27"/>
  <c r="G72" i="27"/>
  <c r="E72" i="31"/>
  <c r="G72" i="31"/>
  <c r="I72" i="33" l="1"/>
  <c r="K72" i="33"/>
  <c r="K72" i="29"/>
  <c r="I72" i="29"/>
  <c r="K72" i="19"/>
  <c r="K72" i="37"/>
  <c r="I72" i="27"/>
  <c r="I72" i="21"/>
  <c r="K72" i="27"/>
  <c r="K72" i="23"/>
  <c r="K72" i="21"/>
  <c r="K72" i="31"/>
  <c r="I72" i="31"/>
  <c r="I72" i="23"/>
  <c r="I72" i="19"/>
  <c r="I72" i="37"/>
  <c r="F64" i="19"/>
  <c r="F64" i="21"/>
  <c r="G64" i="21" s="1"/>
  <c r="F64" i="29"/>
  <c r="G64" i="29" s="1"/>
  <c r="F64" i="23"/>
  <c r="G64" i="23" s="1"/>
  <c r="F64" i="27"/>
  <c r="G64" i="27" s="1"/>
  <c r="F64" i="31"/>
  <c r="G64" i="31" s="1"/>
  <c r="F64" i="33"/>
  <c r="G64" i="33" s="1"/>
  <c r="F64" i="37"/>
  <c r="G64" i="37" s="1"/>
  <c r="D64" i="19"/>
  <c r="D64" i="21"/>
  <c r="E64" i="21" s="1"/>
  <c r="D64" i="29"/>
  <c r="E64" i="29" s="1"/>
  <c r="D64" i="23"/>
  <c r="E64" i="23" s="1"/>
  <c r="D64" i="27"/>
  <c r="D64" i="31"/>
  <c r="E64" i="31" s="1"/>
  <c r="D64" i="33"/>
  <c r="E64" i="33" s="1"/>
  <c r="D64" i="37"/>
  <c r="E64" i="37" s="1"/>
  <c r="B64" i="19"/>
  <c r="C64" i="19" s="1"/>
  <c r="B64" i="21"/>
  <c r="C64" i="21" s="1"/>
  <c r="B64" i="29"/>
  <c r="C64" i="29" s="1"/>
  <c r="B64" i="23"/>
  <c r="C64" i="23" s="1"/>
  <c r="B64" i="27"/>
  <c r="C64" i="27" s="1"/>
  <c r="B64" i="31"/>
  <c r="C64" i="31" s="1"/>
  <c r="B64" i="33"/>
  <c r="C64" i="33" s="1"/>
  <c r="B64" i="37"/>
  <c r="G64" i="19"/>
  <c r="E64" i="19"/>
  <c r="E64" i="27"/>
  <c r="C64" i="37"/>
  <c r="K64" i="33" l="1"/>
  <c r="I64" i="33"/>
  <c r="K64" i="29"/>
  <c r="I64" i="29"/>
  <c r="K64" i="19"/>
  <c r="K64" i="31"/>
  <c r="I64" i="37"/>
  <c r="K64" i="37"/>
  <c r="K64" i="23"/>
  <c r="I64" i="27"/>
  <c r="K64" i="27"/>
  <c r="I64" i="21"/>
  <c r="K64" i="21"/>
  <c r="I64" i="31"/>
  <c r="I64" i="23"/>
  <c r="I64" i="19"/>
  <c r="C13" i="37"/>
  <c r="E13" i="37"/>
  <c r="G13" i="37"/>
  <c r="H13" i="37"/>
  <c r="I13" i="37" s="1"/>
  <c r="J13" i="37"/>
  <c r="K13" i="37" s="1"/>
  <c r="C14" i="37"/>
  <c r="E14" i="37"/>
  <c r="G14" i="37"/>
  <c r="H14" i="37"/>
  <c r="I14" i="37" s="1"/>
  <c r="J14" i="37"/>
  <c r="K14" i="37" s="1"/>
  <c r="C15" i="37"/>
  <c r="E15" i="37"/>
  <c r="G15" i="37"/>
  <c r="H15" i="37"/>
  <c r="I15" i="37" s="1"/>
  <c r="J15" i="37"/>
  <c r="K15" i="37" s="1"/>
  <c r="C16" i="37"/>
  <c r="E16" i="37"/>
  <c r="G16" i="37"/>
  <c r="H16" i="37"/>
  <c r="I16" i="37" s="1"/>
  <c r="J16" i="37"/>
  <c r="K16" i="37" s="1"/>
  <c r="C17" i="37"/>
  <c r="E17" i="37"/>
  <c r="G17" i="37"/>
  <c r="H17" i="37"/>
  <c r="I17" i="37" s="1"/>
  <c r="J17" i="37"/>
  <c r="K17" i="37" s="1"/>
  <c r="C18" i="37"/>
  <c r="E18" i="37"/>
  <c r="G18" i="37"/>
  <c r="H18" i="37"/>
  <c r="J18" i="37"/>
  <c r="C19" i="37"/>
  <c r="E19" i="37"/>
  <c r="G19" i="37"/>
  <c r="H19" i="37"/>
  <c r="J19" i="37"/>
  <c r="C20" i="37"/>
  <c r="E20" i="37"/>
  <c r="G20" i="37"/>
  <c r="H20" i="37"/>
  <c r="I20" i="37" s="1"/>
  <c r="J20" i="37"/>
  <c r="K20" i="37" s="1"/>
  <c r="C21" i="37"/>
  <c r="E21" i="37"/>
  <c r="G21" i="37"/>
  <c r="H21" i="37"/>
  <c r="J21" i="37"/>
  <c r="C22" i="37"/>
  <c r="E22" i="37"/>
  <c r="G22" i="37"/>
  <c r="H22" i="37"/>
  <c r="I22" i="37" s="1"/>
  <c r="J22" i="37"/>
  <c r="K22" i="37" s="1"/>
  <c r="C23" i="37"/>
  <c r="E23" i="37"/>
  <c r="G23" i="37"/>
  <c r="H23" i="37"/>
  <c r="J23" i="37"/>
  <c r="C24" i="37"/>
  <c r="E24" i="37"/>
  <c r="G24" i="37"/>
  <c r="H24" i="37"/>
  <c r="I24" i="37" s="1"/>
  <c r="J24" i="37"/>
  <c r="K24" i="37" s="1"/>
  <c r="C25" i="37"/>
  <c r="E25" i="37"/>
  <c r="G25" i="37"/>
  <c r="H25" i="37"/>
  <c r="J25" i="37"/>
  <c r="K25" i="37" s="1"/>
  <c r="C26" i="37"/>
  <c r="E26" i="37"/>
  <c r="G26" i="37"/>
  <c r="H26" i="37"/>
  <c r="I26" i="37" s="1"/>
  <c r="J26" i="37"/>
  <c r="K26" i="37" s="1"/>
  <c r="C27" i="37"/>
  <c r="E27" i="37"/>
  <c r="G27" i="37"/>
  <c r="H27" i="37"/>
  <c r="J27" i="37"/>
  <c r="C28" i="37"/>
  <c r="E28" i="37"/>
  <c r="G28" i="37"/>
  <c r="H28" i="37"/>
  <c r="I28" i="37" s="1"/>
  <c r="J28" i="37"/>
  <c r="K28" i="37" s="1"/>
  <c r="C29" i="37"/>
  <c r="E29" i="37"/>
  <c r="G29" i="37"/>
  <c r="H29" i="37"/>
  <c r="H71" i="37" s="1"/>
  <c r="J29" i="37"/>
  <c r="C30" i="37"/>
  <c r="E30" i="37"/>
  <c r="G30" i="37"/>
  <c r="H30" i="37"/>
  <c r="J30" i="37"/>
  <c r="C31" i="37"/>
  <c r="E31" i="37"/>
  <c r="G31" i="37"/>
  <c r="H31" i="37"/>
  <c r="J31" i="37"/>
  <c r="C32" i="37"/>
  <c r="E32" i="37"/>
  <c r="G32" i="37"/>
  <c r="H32" i="37"/>
  <c r="I32" i="37"/>
  <c r="J32" i="37"/>
  <c r="K32" i="37" s="1"/>
  <c r="C33" i="37"/>
  <c r="E33" i="37"/>
  <c r="G33" i="37"/>
  <c r="H33" i="37"/>
  <c r="J33" i="37"/>
  <c r="C34" i="37"/>
  <c r="E34" i="37"/>
  <c r="G34" i="37"/>
  <c r="H34" i="37"/>
  <c r="I34" i="37"/>
  <c r="J34" i="37"/>
  <c r="K34" i="37" s="1"/>
  <c r="C35" i="37"/>
  <c r="E35" i="37"/>
  <c r="G35" i="37"/>
  <c r="H35" i="37"/>
  <c r="I35" i="37" s="1"/>
  <c r="J35" i="37"/>
  <c r="K35" i="37" s="1"/>
  <c r="C36" i="37"/>
  <c r="E36" i="37"/>
  <c r="G36" i="37"/>
  <c r="H36" i="37"/>
  <c r="I36" i="37" s="1"/>
  <c r="J36" i="37"/>
  <c r="K36" i="37" s="1"/>
  <c r="B37" i="37"/>
  <c r="C37" i="37"/>
  <c r="D37" i="37"/>
  <c r="E37" i="37"/>
  <c r="F37" i="37"/>
  <c r="G37" i="37"/>
  <c r="B38" i="37"/>
  <c r="C38" i="37" s="1"/>
  <c r="D38" i="37"/>
  <c r="E38" i="37"/>
  <c r="F38" i="37"/>
  <c r="G38" i="37" s="1"/>
  <c r="B40" i="37"/>
  <c r="C40" i="37" s="1"/>
  <c r="D40" i="37"/>
  <c r="E40" i="37" s="1"/>
  <c r="F40" i="37"/>
  <c r="G40" i="37" s="1"/>
  <c r="B41" i="37"/>
  <c r="C41" i="37" s="1"/>
  <c r="D41" i="37"/>
  <c r="E41" i="37" s="1"/>
  <c r="F41" i="37"/>
  <c r="G41" i="37" s="1"/>
  <c r="B42" i="37"/>
  <c r="C42" i="37" s="1"/>
  <c r="D42" i="37"/>
  <c r="E42" i="37"/>
  <c r="F42" i="37"/>
  <c r="G42" i="37"/>
  <c r="B43" i="37"/>
  <c r="C43" i="37"/>
  <c r="D43" i="37"/>
  <c r="E43" i="37" s="1"/>
  <c r="F43" i="37"/>
  <c r="G43" i="37" s="1"/>
  <c r="B44" i="37"/>
  <c r="C44" i="37" s="1"/>
  <c r="D44" i="37"/>
  <c r="E44" i="37" s="1"/>
  <c r="F44" i="37"/>
  <c r="G44" i="37" s="1"/>
  <c r="B45" i="37"/>
  <c r="C45" i="37" s="1"/>
  <c r="D45" i="37"/>
  <c r="E45" i="37" s="1"/>
  <c r="F45" i="37"/>
  <c r="G45" i="37" s="1"/>
  <c r="B46" i="37"/>
  <c r="C46" i="37"/>
  <c r="D46" i="37"/>
  <c r="E46" i="37" s="1"/>
  <c r="F46" i="37"/>
  <c r="G46" i="37" s="1"/>
  <c r="B47" i="37"/>
  <c r="C47" i="37" s="1"/>
  <c r="D47" i="37"/>
  <c r="E47" i="37" s="1"/>
  <c r="F47" i="37"/>
  <c r="G47" i="37" s="1"/>
  <c r="B48" i="37"/>
  <c r="C48" i="37" s="1"/>
  <c r="D48" i="37"/>
  <c r="E48" i="37" s="1"/>
  <c r="F48" i="37"/>
  <c r="G48" i="37" s="1"/>
  <c r="B49" i="37"/>
  <c r="C49" i="37" s="1"/>
  <c r="D49" i="37"/>
  <c r="E49" i="37" s="1"/>
  <c r="F49" i="37"/>
  <c r="G49" i="37" s="1"/>
  <c r="B50" i="37"/>
  <c r="C50" i="37" s="1"/>
  <c r="D50" i="37"/>
  <c r="E50" i="37" s="1"/>
  <c r="F50" i="37"/>
  <c r="G50" i="37" s="1"/>
  <c r="B51" i="37"/>
  <c r="C51" i="37" s="1"/>
  <c r="D51" i="37"/>
  <c r="E51" i="37" s="1"/>
  <c r="F51" i="37"/>
  <c r="G51" i="37" s="1"/>
  <c r="B52" i="37"/>
  <c r="C52" i="37" s="1"/>
  <c r="D52" i="37"/>
  <c r="E52" i="37" s="1"/>
  <c r="F52" i="37"/>
  <c r="G52" i="37" s="1"/>
  <c r="B53" i="37"/>
  <c r="C53" i="37" s="1"/>
  <c r="D53" i="37"/>
  <c r="E53" i="37" s="1"/>
  <c r="F53" i="37"/>
  <c r="G53" i="37" s="1"/>
  <c r="B54" i="37"/>
  <c r="C54" i="37" s="1"/>
  <c r="D54" i="37"/>
  <c r="E54" i="37" s="1"/>
  <c r="F54" i="37"/>
  <c r="G54" i="37" s="1"/>
  <c r="B55" i="37"/>
  <c r="C55" i="37" s="1"/>
  <c r="D55" i="37"/>
  <c r="E55" i="37" s="1"/>
  <c r="F55" i="37"/>
  <c r="G55" i="37" s="1"/>
  <c r="B56" i="37"/>
  <c r="C56" i="37" s="1"/>
  <c r="D56" i="37"/>
  <c r="E56" i="37" s="1"/>
  <c r="F56" i="37"/>
  <c r="G56" i="37" s="1"/>
  <c r="B57" i="37"/>
  <c r="C57" i="37" s="1"/>
  <c r="D57" i="37"/>
  <c r="E57" i="37" s="1"/>
  <c r="F57" i="37"/>
  <c r="G57" i="37" s="1"/>
  <c r="B58" i="37"/>
  <c r="C58" i="37" s="1"/>
  <c r="D58" i="37"/>
  <c r="E58" i="37" s="1"/>
  <c r="F58" i="37"/>
  <c r="G58" i="37" s="1"/>
  <c r="B59" i="37"/>
  <c r="C59" i="37" s="1"/>
  <c r="D59" i="37"/>
  <c r="E59" i="37" s="1"/>
  <c r="F59" i="37"/>
  <c r="G59" i="37" s="1"/>
  <c r="B60" i="37"/>
  <c r="C60" i="37" s="1"/>
  <c r="D60" i="37"/>
  <c r="E60" i="37" s="1"/>
  <c r="F60" i="37"/>
  <c r="G60" i="37" s="1"/>
  <c r="B61" i="37"/>
  <c r="C61" i="37" s="1"/>
  <c r="D61" i="37"/>
  <c r="E61" i="37" s="1"/>
  <c r="F61" i="37"/>
  <c r="G61" i="37" s="1"/>
  <c r="B62" i="37"/>
  <c r="C62" i="37" s="1"/>
  <c r="D62" i="37"/>
  <c r="E62" i="37" s="1"/>
  <c r="F62" i="37"/>
  <c r="G62" i="37" s="1"/>
  <c r="B63" i="37"/>
  <c r="C63" i="37" s="1"/>
  <c r="D63" i="37"/>
  <c r="E63" i="37" s="1"/>
  <c r="F63" i="37"/>
  <c r="G63" i="37" s="1"/>
  <c r="B65" i="37"/>
  <c r="C65" i="37" s="1"/>
  <c r="D65" i="37"/>
  <c r="E65" i="37" s="1"/>
  <c r="F65" i="37"/>
  <c r="G65" i="37" s="1"/>
  <c r="B66" i="37"/>
  <c r="C66" i="37" s="1"/>
  <c r="D66" i="37"/>
  <c r="E66" i="37" s="1"/>
  <c r="F66" i="37"/>
  <c r="G66" i="37" s="1"/>
  <c r="B67" i="37"/>
  <c r="C67" i="37" s="1"/>
  <c r="D67" i="37"/>
  <c r="E67" i="37" s="1"/>
  <c r="F67" i="37"/>
  <c r="G67" i="37" s="1"/>
  <c r="B68" i="37"/>
  <c r="C68" i="37" s="1"/>
  <c r="D68" i="37"/>
  <c r="E68" i="37" s="1"/>
  <c r="F68" i="37"/>
  <c r="G68" i="37" s="1"/>
  <c r="B69" i="37"/>
  <c r="C69" i="37" s="1"/>
  <c r="D69" i="37"/>
  <c r="E69" i="37" s="1"/>
  <c r="F69" i="37"/>
  <c r="G69" i="37" s="1"/>
  <c r="B70" i="37"/>
  <c r="C70" i="37" s="1"/>
  <c r="D70" i="37"/>
  <c r="E70" i="37" s="1"/>
  <c r="F70" i="37"/>
  <c r="G70" i="37" s="1"/>
  <c r="B73" i="37"/>
  <c r="C73" i="37" s="1"/>
  <c r="D73" i="37"/>
  <c r="E73" i="37"/>
  <c r="F73" i="37"/>
  <c r="G73" i="37" s="1"/>
  <c r="B74" i="37"/>
  <c r="C74" i="37" s="1"/>
  <c r="D74" i="37"/>
  <c r="E74" i="37" s="1"/>
  <c r="F74" i="37"/>
  <c r="G74" i="37" s="1"/>
  <c r="B75" i="37"/>
  <c r="C75" i="37" s="1"/>
  <c r="D75" i="37"/>
  <c r="E75" i="37" s="1"/>
  <c r="F75" i="37"/>
  <c r="G75" i="37" s="1"/>
  <c r="B76" i="37"/>
  <c r="C76" i="37" s="1"/>
  <c r="D76" i="37"/>
  <c r="E76" i="37" s="1"/>
  <c r="F76" i="37"/>
  <c r="G76" i="37" s="1"/>
  <c r="B77" i="37"/>
  <c r="C77" i="37" s="1"/>
  <c r="D77" i="37"/>
  <c r="E77" i="37" s="1"/>
  <c r="F77" i="37"/>
  <c r="G77" i="37" s="1"/>
  <c r="B78" i="37"/>
  <c r="C78" i="37" s="1"/>
  <c r="D78" i="37"/>
  <c r="E78" i="37" s="1"/>
  <c r="F78" i="37"/>
  <c r="G78" i="37" s="1"/>
  <c r="BE6" i="36"/>
  <c r="Q16" i="36" s="1"/>
  <c r="BF6" i="36"/>
  <c r="N16" i="36"/>
  <c r="O16" i="36"/>
  <c r="P16" i="36"/>
  <c r="R16" i="36"/>
  <c r="B17" i="36"/>
  <c r="B41" i="36" s="1"/>
  <c r="C17" i="36"/>
  <c r="D17" i="36" s="1"/>
  <c r="F17" i="36"/>
  <c r="G17" i="36"/>
  <c r="H17" i="36" s="1"/>
  <c r="J17" i="36"/>
  <c r="J41" i="36" s="1"/>
  <c r="K17" i="36"/>
  <c r="L17" i="36" s="1"/>
  <c r="B18" i="36"/>
  <c r="C18" i="36"/>
  <c r="D18" i="36" s="1"/>
  <c r="F18" i="36"/>
  <c r="G18" i="36"/>
  <c r="H18" i="36" s="1"/>
  <c r="J18" i="36"/>
  <c r="K18" i="36"/>
  <c r="L18" i="36" s="1"/>
  <c r="B19" i="36"/>
  <c r="C19" i="36"/>
  <c r="D19" i="36" s="1"/>
  <c r="F19" i="36"/>
  <c r="G19" i="36"/>
  <c r="H19" i="36" s="1"/>
  <c r="J19" i="36"/>
  <c r="K19" i="36"/>
  <c r="L19" i="36" s="1"/>
  <c r="B20" i="36"/>
  <c r="C20" i="36"/>
  <c r="D20" i="36" s="1"/>
  <c r="F20" i="36"/>
  <c r="G20" i="36"/>
  <c r="H20" i="36" s="1"/>
  <c r="J20" i="36"/>
  <c r="K20" i="36"/>
  <c r="L20" i="36" s="1"/>
  <c r="B21" i="36"/>
  <c r="C21" i="36"/>
  <c r="D21" i="36" s="1"/>
  <c r="F21" i="36"/>
  <c r="G21" i="36"/>
  <c r="H21" i="36" s="1"/>
  <c r="J21" i="36"/>
  <c r="K21" i="36"/>
  <c r="L21" i="36" s="1"/>
  <c r="B22" i="36"/>
  <c r="C22" i="36"/>
  <c r="D22" i="36" s="1"/>
  <c r="F22" i="36"/>
  <c r="G22" i="36"/>
  <c r="H22" i="36" s="1"/>
  <c r="J22" i="36"/>
  <c r="K22" i="36"/>
  <c r="L22" i="36" s="1"/>
  <c r="BF22" i="36"/>
  <c r="BF25" i="36" s="1"/>
  <c r="BH25" i="36" s="1"/>
  <c r="B23" i="36"/>
  <c r="C23" i="36"/>
  <c r="D23" i="36" s="1"/>
  <c r="F23" i="36"/>
  <c r="G23" i="36"/>
  <c r="H23" i="36" s="1"/>
  <c r="J23" i="36"/>
  <c r="K23" i="36"/>
  <c r="L23" i="36" s="1"/>
  <c r="BF23" i="36"/>
  <c r="B24" i="36"/>
  <c r="C24" i="36"/>
  <c r="D24" i="36" s="1"/>
  <c r="E24" i="36" s="1"/>
  <c r="F24" i="36"/>
  <c r="G24" i="36"/>
  <c r="H24" i="36" s="1"/>
  <c r="I24" i="36" s="1"/>
  <c r="J24" i="36"/>
  <c r="K24" i="36"/>
  <c r="L24" i="36" s="1"/>
  <c r="M24" i="36" s="1"/>
  <c r="BF24" i="36"/>
  <c r="B25" i="36"/>
  <c r="C25" i="36"/>
  <c r="D25" i="36" s="1"/>
  <c r="F25" i="36"/>
  <c r="G25" i="36"/>
  <c r="H25" i="36" s="1"/>
  <c r="J25" i="36"/>
  <c r="K25" i="36"/>
  <c r="L25" i="36" s="1"/>
  <c r="BG25" i="36"/>
  <c r="B26" i="36"/>
  <c r="C26" i="36"/>
  <c r="D26" i="36" s="1"/>
  <c r="E26" i="36" s="1"/>
  <c r="F26" i="36"/>
  <c r="G26" i="36"/>
  <c r="H26" i="36" s="1"/>
  <c r="I26" i="36" s="1"/>
  <c r="J26" i="36"/>
  <c r="K26" i="36"/>
  <c r="L26" i="36" s="1"/>
  <c r="M26" i="36" s="1"/>
  <c r="B27" i="36"/>
  <c r="C27" i="36"/>
  <c r="D27" i="36" s="1"/>
  <c r="E27" i="36" s="1"/>
  <c r="F27" i="36"/>
  <c r="G27" i="36"/>
  <c r="H27" i="36" s="1"/>
  <c r="I27" i="36" s="1"/>
  <c r="J27" i="36"/>
  <c r="K27" i="36"/>
  <c r="L27" i="36" s="1"/>
  <c r="M27" i="36" s="1"/>
  <c r="B28" i="36"/>
  <c r="C28" i="36"/>
  <c r="D28" i="36" s="1"/>
  <c r="E28" i="36" s="1"/>
  <c r="F28" i="36"/>
  <c r="G28" i="36"/>
  <c r="H28" i="36" s="1"/>
  <c r="I28" i="36" s="1"/>
  <c r="J28" i="36"/>
  <c r="K28" i="36"/>
  <c r="L28" i="36" s="1"/>
  <c r="M28" i="36" s="1"/>
  <c r="B29" i="36"/>
  <c r="C29" i="36"/>
  <c r="D29" i="36" s="1"/>
  <c r="E29" i="36" s="1"/>
  <c r="F29" i="36"/>
  <c r="G29" i="36"/>
  <c r="H29" i="36" s="1"/>
  <c r="I29" i="36" s="1"/>
  <c r="J29" i="36"/>
  <c r="K29" i="36"/>
  <c r="L29" i="36" s="1"/>
  <c r="M29" i="36" s="1"/>
  <c r="B30" i="36"/>
  <c r="C30" i="36"/>
  <c r="D30" i="36" s="1"/>
  <c r="E30" i="36" s="1"/>
  <c r="F30" i="36"/>
  <c r="G30" i="36"/>
  <c r="H30" i="36" s="1"/>
  <c r="I30" i="36" s="1"/>
  <c r="J30" i="36"/>
  <c r="K30" i="36"/>
  <c r="L30" i="36" s="1"/>
  <c r="M30" i="36" s="1"/>
  <c r="B31" i="36"/>
  <c r="C31" i="36"/>
  <c r="D31" i="36" s="1"/>
  <c r="E31" i="36" s="1"/>
  <c r="F31" i="36"/>
  <c r="G31" i="36"/>
  <c r="H31" i="36" s="1"/>
  <c r="I31" i="36" s="1"/>
  <c r="J31" i="36"/>
  <c r="K31" i="36"/>
  <c r="L31" i="36" s="1"/>
  <c r="M31" i="36" s="1"/>
  <c r="B32" i="36"/>
  <c r="C32" i="36"/>
  <c r="D32" i="36" s="1"/>
  <c r="E32" i="36" s="1"/>
  <c r="F32" i="36"/>
  <c r="G32" i="36"/>
  <c r="H32" i="36" s="1"/>
  <c r="I32" i="36" s="1"/>
  <c r="J32" i="36"/>
  <c r="K32" i="36"/>
  <c r="L32" i="36" s="1"/>
  <c r="M32" i="36" s="1"/>
  <c r="B33" i="36"/>
  <c r="C33" i="36"/>
  <c r="D33" i="36" s="1"/>
  <c r="E33" i="36" s="1"/>
  <c r="F33" i="36"/>
  <c r="G33" i="36"/>
  <c r="H33" i="36" s="1"/>
  <c r="I33" i="36" s="1"/>
  <c r="J33" i="36"/>
  <c r="K33" i="36"/>
  <c r="L33" i="36" s="1"/>
  <c r="M33" i="36" s="1"/>
  <c r="B34" i="36"/>
  <c r="C34" i="36"/>
  <c r="D34" i="36" s="1"/>
  <c r="E34" i="36" s="1"/>
  <c r="F34" i="36"/>
  <c r="G34" i="36"/>
  <c r="H34" i="36" s="1"/>
  <c r="I34" i="36" s="1"/>
  <c r="J34" i="36"/>
  <c r="K34" i="36"/>
  <c r="L34" i="36" s="1"/>
  <c r="M34" i="36" s="1"/>
  <c r="B35" i="36"/>
  <c r="C35" i="36"/>
  <c r="D35" i="36" s="1"/>
  <c r="E35" i="36" s="1"/>
  <c r="F35" i="36"/>
  <c r="G35" i="36"/>
  <c r="H35" i="36" s="1"/>
  <c r="I35" i="36" s="1"/>
  <c r="J35" i="36"/>
  <c r="K35" i="36"/>
  <c r="L35" i="36" s="1"/>
  <c r="M35" i="36" s="1"/>
  <c r="B36" i="36"/>
  <c r="C36" i="36"/>
  <c r="D36" i="36" s="1"/>
  <c r="E36" i="36" s="1"/>
  <c r="F36" i="36"/>
  <c r="G36" i="36"/>
  <c r="H36" i="36" s="1"/>
  <c r="I36" i="36" s="1"/>
  <c r="J36" i="36"/>
  <c r="K36" i="36"/>
  <c r="L36" i="36" s="1"/>
  <c r="M36" i="36" s="1"/>
  <c r="B37" i="36"/>
  <c r="C37" i="36"/>
  <c r="D37" i="36" s="1"/>
  <c r="E37" i="36" s="1"/>
  <c r="F37" i="36"/>
  <c r="G37" i="36"/>
  <c r="H37" i="36" s="1"/>
  <c r="I37" i="36" s="1"/>
  <c r="J37" i="36"/>
  <c r="K37" i="36"/>
  <c r="L37" i="36" s="1"/>
  <c r="M37" i="36" s="1"/>
  <c r="B38" i="36"/>
  <c r="C38" i="36"/>
  <c r="D38" i="36" s="1"/>
  <c r="E38" i="36" s="1"/>
  <c r="F38" i="36"/>
  <c r="G38" i="36"/>
  <c r="H38" i="36" s="1"/>
  <c r="I38" i="36" s="1"/>
  <c r="J38" i="36"/>
  <c r="K38" i="36"/>
  <c r="L38" i="36" s="1"/>
  <c r="M38" i="36" s="1"/>
  <c r="B39" i="36"/>
  <c r="C39" i="36"/>
  <c r="D39" i="36" s="1"/>
  <c r="E39" i="36" s="1"/>
  <c r="F39" i="36"/>
  <c r="G39" i="36"/>
  <c r="H39" i="36" s="1"/>
  <c r="I39" i="36" s="1"/>
  <c r="J39" i="36"/>
  <c r="K39" i="36"/>
  <c r="L39" i="36" s="1"/>
  <c r="M39" i="36" s="1"/>
  <c r="B40" i="36"/>
  <c r="C40" i="36"/>
  <c r="D40" i="36" s="1"/>
  <c r="E40" i="36" s="1"/>
  <c r="F40" i="36"/>
  <c r="G40" i="36"/>
  <c r="H40" i="36" s="1"/>
  <c r="I40" i="36" s="1"/>
  <c r="J40" i="36"/>
  <c r="K40" i="36"/>
  <c r="L40" i="36" s="1"/>
  <c r="M40" i="36" s="1"/>
  <c r="N41" i="36"/>
  <c r="O41" i="36"/>
  <c r="P41" i="36"/>
  <c r="Q41" i="36"/>
  <c r="R41" i="36"/>
  <c r="S41" i="36"/>
  <c r="T41" i="36"/>
  <c r="U41" i="36"/>
  <c r="V41" i="36"/>
  <c r="W41" i="36"/>
  <c r="X41" i="36"/>
  <c r="Y41" i="36"/>
  <c r="Z41" i="36"/>
  <c r="AA41" i="36"/>
  <c r="AB41" i="36"/>
  <c r="AC41" i="36"/>
  <c r="AD41" i="36"/>
  <c r="AE41" i="36"/>
  <c r="AF41" i="36"/>
  <c r="AG41" i="36"/>
  <c r="AH41" i="36"/>
  <c r="AI41" i="36"/>
  <c r="AJ41" i="36"/>
  <c r="AK41" i="36"/>
  <c r="AL41" i="36"/>
  <c r="AM41" i="36"/>
  <c r="AN41" i="36"/>
  <c r="AO41" i="36"/>
  <c r="AP41" i="36"/>
  <c r="AQ41" i="36"/>
  <c r="AR41" i="36"/>
  <c r="AS41" i="36"/>
  <c r="AT41" i="36"/>
  <c r="AU41" i="36"/>
  <c r="AV41" i="36"/>
  <c r="AW41" i="36"/>
  <c r="AX41" i="36"/>
  <c r="AY41" i="36"/>
  <c r="AZ41" i="36"/>
  <c r="BA41" i="36"/>
  <c r="BB41" i="36"/>
  <c r="BC41" i="36"/>
  <c r="K30" i="37" l="1"/>
  <c r="J72" i="37"/>
  <c r="K18" i="37"/>
  <c r="J39" i="37"/>
  <c r="I30" i="37"/>
  <c r="H72" i="37"/>
  <c r="J71" i="37"/>
  <c r="I18" i="37"/>
  <c r="H39" i="37"/>
  <c r="I46" i="37"/>
  <c r="I43" i="37"/>
  <c r="K42" i="37"/>
  <c r="K40" i="37"/>
  <c r="H5" i="37"/>
  <c r="I5" i="37" s="1"/>
  <c r="L5" i="37" s="1"/>
  <c r="M5" i="37" s="1"/>
  <c r="N5" i="37" s="1"/>
  <c r="H6" i="37"/>
  <c r="I6" i="37" s="1"/>
  <c r="L6" i="37" s="1"/>
  <c r="M6" i="37" s="1"/>
  <c r="N6" i="37" s="1"/>
  <c r="I67" i="37"/>
  <c r="K77" i="37"/>
  <c r="I73" i="37"/>
  <c r="I50" i="37"/>
  <c r="I58" i="37"/>
  <c r="I54" i="37"/>
  <c r="I62" i="37"/>
  <c r="I78" i="37"/>
  <c r="I74" i="37"/>
  <c r="J64" i="37"/>
  <c r="I75" i="37"/>
  <c r="I69" i="37"/>
  <c r="H64" i="37"/>
  <c r="K76" i="37"/>
  <c r="I76" i="37"/>
  <c r="K70" i="37"/>
  <c r="I70" i="37"/>
  <c r="K63" i="37"/>
  <c r="I63" i="37"/>
  <c r="K55" i="37"/>
  <c r="I55" i="37"/>
  <c r="K47" i="37"/>
  <c r="I47" i="37"/>
  <c r="K61" i="37"/>
  <c r="I61" i="37"/>
  <c r="K53" i="37"/>
  <c r="I53" i="37"/>
  <c r="K45" i="37"/>
  <c r="I45" i="37"/>
  <c r="K68" i="37"/>
  <c r="I68" i="37"/>
  <c r="K59" i="37"/>
  <c r="I59" i="37"/>
  <c r="K51" i="37"/>
  <c r="I51" i="37"/>
  <c r="K66" i="37"/>
  <c r="I66" i="37"/>
  <c r="K57" i="37"/>
  <c r="I57" i="37"/>
  <c r="K49" i="37"/>
  <c r="I49" i="37"/>
  <c r="K44" i="37"/>
  <c r="I41" i="37"/>
  <c r="K41" i="37"/>
  <c r="K75" i="37"/>
  <c r="K69" i="37"/>
  <c r="K65" i="37"/>
  <c r="K60" i="37"/>
  <c r="K56" i="37"/>
  <c r="K52" i="37"/>
  <c r="K48" i="37"/>
  <c r="I38" i="37"/>
  <c r="K37" i="37"/>
  <c r="H4" i="37" s="1"/>
  <c r="I4" i="37" s="1"/>
  <c r="L4" i="37" s="1"/>
  <c r="M4" i="37" s="1"/>
  <c r="N4" i="37" s="1"/>
  <c r="I77" i="37"/>
  <c r="K43" i="37"/>
  <c r="K73" i="37"/>
  <c r="K67" i="37"/>
  <c r="K62" i="37"/>
  <c r="K58" i="37"/>
  <c r="K54" i="37"/>
  <c r="K50" i="37"/>
  <c r="K46" i="37"/>
  <c r="K78" i="37"/>
  <c r="K74" i="37"/>
  <c r="I65" i="37"/>
  <c r="I60" i="37"/>
  <c r="I56" i="37"/>
  <c r="I52" i="37"/>
  <c r="I48" i="37"/>
  <c r="K38" i="37"/>
  <c r="I33" i="37"/>
  <c r="H78" i="37"/>
  <c r="H77" i="37"/>
  <c r="H74" i="37"/>
  <c r="I29" i="37"/>
  <c r="H68" i="37"/>
  <c r="H70" i="37"/>
  <c r="H69" i="37"/>
  <c r="I25" i="37"/>
  <c r="H63" i="37"/>
  <c r="H38" i="37"/>
  <c r="I42" i="37"/>
  <c r="I37" i="37"/>
  <c r="I25" i="36"/>
  <c r="M23" i="36"/>
  <c r="H66" i="37"/>
  <c r="H55" i="37"/>
  <c r="I21" i="37"/>
  <c r="H49" i="37"/>
  <c r="H51" i="37"/>
  <c r="H53" i="37"/>
  <c r="H48" i="37"/>
  <c r="H50" i="37"/>
  <c r="H52" i="37"/>
  <c r="H54" i="37"/>
  <c r="E23" i="36"/>
  <c r="I44" i="37"/>
  <c r="I40" i="37"/>
  <c r="J77" i="37"/>
  <c r="K31" i="37"/>
  <c r="J73" i="37"/>
  <c r="J75" i="37"/>
  <c r="J74" i="37"/>
  <c r="J76" i="37"/>
  <c r="J69" i="37"/>
  <c r="K27" i="37"/>
  <c r="J65" i="37"/>
  <c r="J67" i="37"/>
  <c r="J66" i="37"/>
  <c r="K23" i="37"/>
  <c r="J56" i="37"/>
  <c r="J58" i="37"/>
  <c r="J60" i="37"/>
  <c r="J62" i="37"/>
  <c r="J55" i="37"/>
  <c r="J57" i="37"/>
  <c r="J59" i="37"/>
  <c r="J61" i="37"/>
  <c r="J48" i="37"/>
  <c r="K19" i="37"/>
  <c r="J37" i="37"/>
  <c r="J40" i="37"/>
  <c r="J42" i="37"/>
  <c r="J44" i="37"/>
  <c r="J46" i="37"/>
  <c r="J38" i="37"/>
  <c r="J41" i="37"/>
  <c r="J43" i="37"/>
  <c r="J45" i="37"/>
  <c r="J47" i="37"/>
  <c r="E25" i="36"/>
  <c r="I23" i="36"/>
  <c r="I22" i="36"/>
  <c r="M21" i="36"/>
  <c r="E21" i="36"/>
  <c r="I20" i="36"/>
  <c r="M19" i="36"/>
  <c r="E19" i="36"/>
  <c r="I18" i="36"/>
  <c r="J78" i="37"/>
  <c r="H75" i="37"/>
  <c r="H73" i="37"/>
  <c r="J70" i="37"/>
  <c r="J68" i="37"/>
  <c r="H67" i="37"/>
  <c r="H65" i="37"/>
  <c r="J63" i="37"/>
  <c r="H62" i="37"/>
  <c r="H60" i="37"/>
  <c r="H58" i="37"/>
  <c r="H56" i="37"/>
  <c r="J53" i="37"/>
  <c r="J51" i="37"/>
  <c r="J49" i="37"/>
  <c r="H46" i="37"/>
  <c r="H44" i="37"/>
  <c r="H42" i="37"/>
  <c r="H40" i="37"/>
  <c r="H37" i="37"/>
  <c r="K33" i="37"/>
  <c r="I31" i="37"/>
  <c r="K29" i="37"/>
  <c r="I27" i="37"/>
  <c r="I23" i="37"/>
  <c r="K21" i="37"/>
  <c r="I19" i="37"/>
  <c r="H7" i="37"/>
  <c r="I7" i="37" s="1"/>
  <c r="L7" i="37" s="1"/>
  <c r="M7" i="37" s="1"/>
  <c r="N7" i="37" s="1"/>
  <c r="M25" i="36"/>
  <c r="H76" i="37"/>
  <c r="H61" i="37"/>
  <c r="H59" i="37"/>
  <c r="H57" i="37"/>
  <c r="J54" i="37"/>
  <c r="J52" i="37"/>
  <c r="J50" i="37"/>
  <c r="H47" i="37"/>
  <c r="H45" i="37"/>
  <c r="H43" i="37"/>
  <c r="H41" i="37"/>
  <c r="M6" i="36"/>
  <c r="M7" i="36" s="1"/>
  <c r="M22" i="36"/>
  <c r="E22" i="36"/>
  <c r="I21" i="36"/>
  <c r="M20" i="36"/>
  <c r="E20" i="36"/>
  <c r="I19" i="36"/>
  <c r="M18" i="36"/>
  <c r="E18" i="36"/>
  <c r="I17" i="36"/>
  <c r="F41" i="36"/>
  <c r="M17" i="36"/>
  <c r="E17" i="36"/>
  <c r="F70" i="19"/>
  <c r="G70" i="19" s="1"/>
  <c r="F70" i="21"/>
  <c r="G70" i="21" s="1"/>
  <c r="F70" i="23"/>
  <c r="G70" i="23" s="1"/>
  <c r="F70" i="27"/>
  <c r="G70" i="27" s="1"/>
  <c r="F70" i="31"/>
  <c r="G70" i="31" s="1"/>
  <c r="D70" i="19"/>
  <c r="D70" i="21"/>
  <c r="D70" i="23"/>
  <c r="E70" i="23" s="1"/>
  <c r="D70" i="27"/>
  <c r="E70" i="27" s="1"/>
  <c r="D70" i="31"/>
  <c r="E70" i="31" s="1"/>
  <c r="B70" i="19"/>
  <c r="C70" i="19" s="1"/>
  <c r="B70" i="21"/>
  <c r="C70" i="21" s="1"/>
  <c r="B70" i="23"/>
  <c r="C70" i="23" s="1"/>
  <c r="B70" i="27"/>
  <c r="B70" i="31"/>
  <c r="C70" i="31" s="1"/>
  <c r="E70" i="19"/>
  <c r="E70" i="21"/>
  <c r="C70" i="27"/>
  <c r="I41" i="36" l="1"/>
  <c r="L8" i="37"/>
  <c r="E41" i="36"/>
  <c r="M41" i="36"/>
  <c r="I70" i="27"/>
  <c r="K70" i="27"/>
  <c r="K70" i="23"/>
  <c r="I70" i="23"/>
  <c r="I70" i="21"/>
  <c r="K70" i="21"/>
  <c r="K70" i="31"/>
  <c r="I70" i="31"/>
  <c r="K70" i="19"/>
  <c r="I70" i="19"/>
  <c r="F56" i="19"/>
  <c r="G56" i="19" s="1"/>
  <c r="F56" i="21"/>
  <c r="G56" i="21" s="1"/>
  <c r="F56" i="29"/>
  <c r="G56" i="29" s="1"/>
  <c r="F56" i="23"/>
  <c r="G56" i="23" s="1"/>
  <c r="F56" i="27"/>
  <c r="F56" i="31"/>
  <c r="G56" i="31" s="1"/>
  <c r="F56" i="33"/>
  <c r="D56" i="19"/>
  <c r="D56" i="21"/>
  <c r="E56" i="21" s="1"/>
  <c r="D56" i="29"/>
  <c r="E56" i="29" s="1"/>
  <c r="D56" i="23"/>
  <c r="E56" i="23" s="1"/>
  <c r="D56" i="27"/>
  <c r="E56" i="27" s="1"/>
  <c r="D56" i="31"/>
  <c r="E56" i="31" s="1"/>
  <c r="D56" i="33"/>
  <c r="B56" i="19"/>
  <c r="C56" i="19" s="1"/>
  <c r="B56" i="21"/>
  <c r="C56" i="21" s="1"/>
  <c r="B56" i="29"/>
  <c r="C56" i="29" s="1"/>
  <c r="B56" i="23"/>
  <c r="C56" i="23" s="1"/>
  <c r="B56" i="27"/>
  <c r="C56" i="27" s="1"/>
  <c r="B56" i="31"/>
  <c r="C56" i="31" s="1"/>
  <c r="B56" i="33"/>
  <c r="E56" i="33"/>
  <c r="E56" i="19"/>
  <c r="G56" i="27"/>
  <c r="G56" i="33"/>
  <c r="C56" i="33"/>
  <c r="M8" i="36" l="1"/>
  <c r="K56" i="33"/>
  <c r="I56" i="33"/>
  <c r="K56" i="29"/>
  <c r="I56" i="29"/>
  <c r="I56" i="31"/>
  <c r="K56" i="31"/>
  <c r="I56" i="21"/>
  <c r="K56" i="21"/>
  <c r="K56" i="27"/>
  <c r="I56" i="27"/>
  <c r="K56" i="19"/>
  <c r="I56" i="19"/>
  <c r="I56" i="23"/>
  <c r="K56" i="23"/>
  <c r="F68" i="19"/>
  <c r="G68" i="19" s="1"/>
  <c r="F68" i="21"/>
  <c r="G68" i="21" s="1"/>
  <c r="F68" i="23"/>
  <c r="G68" i="23" s="1"/>
  <c r="F68" i="27"/>
  <c r="G68" i="27" s="1"/>
  <c r="F68" i="31"/>
  <c r="G68" i="31" s="1"/>
  <c r="D68" i="19"/>
  <c r="E68" i="19" s="1"/>
  <c r="D68" i="21"/>
  <c r="E68" i="21" s="1"/>
  <c r="D68" i="23"/>
  <c r="E68" i="23" s="1"/>
  <c r="D68" i="27"/>
  <c r="E68" i="27" s="1"/>
  <c r="D68" i="31"/>
  <c r="E68" i="31" s="1"/>
  <c r="B68" i="19"/>
  <c r="C68" i="19" s="1"/>
  <c r="B68" i="21"/>
  <c r="C68" i="21" s="1"/>
  <c r="B68" i="23"/>
  <c r="C68" i="23" s="1"/>
  <c r="B68" i="27"/>
  <c r="C68" i="27" s="1"/>
  <c r="B68" i="31"/>
  <c r="C68" i="31" s="1"/>
  <c r="K68" i="31" l="1"/>
  <c r="I68" i="23"/>
  <c r="M9" i="36"/>
  <c r="M10" i="36" s="1"/>
  <c r="K68" i="27"/>
  <c r="I68" i="27"/>
  <c r="I68" i="21"/>
  <c r="K68" i="21"/>
  <c r="K68" i="19"/>
  <c r="I68" i="19"/>
  <c r="I68" i="31"/>
  <c r="K68" i="23"/>
  <c r="F69" i="19"/>
  <c r="G69" i="19" s="1"/>
  <c r="F69" i="21"/>
  <c r="G69" i="21" s="1"/>
  <c r="F69" i="23"/>
  <c r="G69" i="23" s="1"/>
  <c r="F69" i="27"/>
  <c r="G69" i="27" s="1"/>
  <c r="F69" i="31"/>
  <c r="G69" i="31" s="1"/>
  <c r="D69" i="19"/>
  <c r="E69" i="19" s="1"/>
  <c r="D69" i="21"/>
  <c r="E69" i="21" s="1"/>
  <c r="D69" i="23"/>
  <c r="E69" i="23" s="1"/>
  <c r="D69" i="27"/>
  <c r="E69" i="27" s="1"/>
  <c r="D69" i="31"/>
  <c r="E69" i="31" s="1"/>
  <c r="B69" i="19"/>
  <c r="C69" i="19" s="1"/>
  <c r="B69" i="21"/>
  <c r="C69" i="21" s="1"/>
  <c r="B69" i="23"/>
  <c r="C69" i="23" s="1"/>
  <c r="B69" i="27"/>
  <c r="C69" i="27" s="1"/>
  <c r="B69" i="31"/>
  <c r="C69" i="31" s="1"/>
  <c r="M11" i="36" l="1"/>
  <c r="M12" i="36" s="1"/>
  <c r="K69" i="27"/>
  <c r="I69" i="27"/>
  <c r="I69" i="23"/>
  <c r="K69" i="23"/>
  <c r="K69" i="21"/>
  <c r="I69" i="21"/>
  <c r="K69" i="31"/>
  <c r="I69" i="31"/>
  <c r="K69" i="19"/>
  <c r="I69" i="19"/>
  <c r="F43" i="19"/>
  <c r="G43" i="19" s="1"/>
  <c r="F43" i="21"/>
  <c r="G43" i="21" s="1"/>
  <c r="F43" i="29"/>
  <c r="G43" i="29" s="1"/>
  <c r="F43" i="23"/>
  <c r="G43" i="23" s="1"/>
  <c r="F43" i="27"/>
  <c r="G43" i="27" s="1"/>
  <c r="F43" i="31"/>
  <c r="F43" i="33"/>
  <c r="D43" i="19"/>
  <c r="E43" i="19" s="1"/>
  <c r="D43" i="21"/>
  <c r="E43" i="21" s="1"/>
  <c r="D43" i="29"/>
  <c r="D43" i="23"/>
  <c r="E43" i="23" s="1"/>
  <c r="D43" i="27"/>
  <c r="E43" i="27" s="1"/>
  <c r="D43" i="31"/>
  <c r="E43" i="31" s="1"/>
  <c r="D43" i="33"/>
  <c r="E43" i="33" s="1"/>
  <c r="B43" i="19"/>
  <c r="C43" i="19" s="1"/>
  <c r="B43" i="21"/>
  <c r="C43" i="21" s="1"/>
  <c r="B43" i="29"/>
  <c r="B43" i="23"/>
  <c r="B43" i="27"/>
  <c r="C43" i="27" s="1"/>
  <c r="B43" i="31"/>
  <c r="B43" i="33"/>
  <c r="C43" i="33" s="1"/>
  <c r="C43" i="29"/>
  <c r="E43" i="29"/>
  <c r="C43" i="23"/>
  <c r="C43" i="31"/>
  <c r="G43" i="31"/>
  <c r="G43" i="33"/>
  <c r="K43" i="19" l="1"/>
  <c r="I43" i="21"/>
  <c r="K43" i="31"/>
  <c r="K43" i="27"/>
  <c r="I43" i="29"/>
  <c r="I43" i="19"/>
  <c r="I43" i="33"/>
  <c r="K43" i="33"/>
  <c r="K43" i="29"/>
  <c r="I43" i="23"/>
  <c r="K43" i="21"/>
  <c r="I43" i="31"/>
  <c r="I43" i="27"/>
  <c r="K43" i="23"/>
  <c r="F67" i="19"/>
  <c r="G67" i="19" s="1"/>
  <c r="F67" i="21"/>
  <c r="G67" i="21" s="1"/>
  <c r="F67" i="23"/>
  <c r="G67" i="23" s="1"/>
  <c r="F67" i="27"/>
  <c r="F67" i="31"/>
  <c r="G67" i="31" s="1"/>
  <c r="D67" i="19"/>
  <c r="E67" i="19" s="1"/>
  <c r="D67" i="21"/>
  <c r="D67" i="23"/>
  <c r="E67" i="23" s="1"/>
  <c r="D67" i="27"/>
  <c r="E67" i="27" s="1"/>
  <c r="D67" i="31"/>
  <c r="E67" i="31" s="1"/>
  <c r="B67" i="19"/>
  <c r="C67" i="19" s="1"/>
  <c r="B67" i="21"/>
  <c r="C67" i="21" s="1"/>
  <c r="B67" i="23"/>
  <c r="C67" i="23" s="1"/>
  <c r="B67" i="27"/>
  <c r="C67" i="27" s="1"/>
  <c r="B67" i="31"/>
  <c r="C67" i="31" s="1"/>
  <c r="E67" i="21"/>
  <c r="G67" i="27"/>
  <c r="F65" i="19"/>
  <c r="G65" i="19" s="1"/>
  <c r="F65" i="21"/>
  <c r="F65" i="23"/>
  <c r="G65" i="23" s="1"/>
  <c r="F65" i="27"/>
  <c r="F65" i="31"/>
  <c r="G65" i="31" s="1"/>
  <c r="D65" i="19"/>
  <c r="E65" i="19" s="1"/>
  <c r="D65" i="21"/>
  <c r="E65" i="21" s="1"/>
  <c r="D65" i="23"/>
  <c r="E65" i="23" s="1"/>
  <c r="D65" i="27"/>
  <c r="D65" i="31"/>
  <c r="E65" i="31" s="1"/>
  <c r="B65" i="19"/>
  <c r="C65" i="19" s="1"/>
  <c r="B65" i="21"/>
  <c r="B65" i="23"/>
  <c r="C65" i="23" s="1"/>
  <c r="B65" i="27"/>
  <c r="C65" i="27" s="1"/>
  <c r="B65" i="31"/>
  <c r="C65" i="31" s="1"/>
  <c r="C65" i="21"/>
  <c r="G65" i="21"/>
  <c r="E65" i="27"/>
  <c r="G65" i="27"/>
  <c r="I67" i="21" l="1"/>
  <c r="I67" i="19"/>
  <c r="K67" i="21"/>
  <c r="K67" i="27"/>
  <c r="K67" i="19"/>
  <c r="K65" i="31"/>
  <c r="I67" i="23"/>
  <c r="I67" i="27"/>
  <c r="I67" i="31"/>
  <c r="K67" i="31"/>
  <c r="K67" i="23"/>
  <c r="I65" i="27"/>
  <c r="K65" i="27"/>
  <c r="K65" i="21"/>
  <c r="I65" i="21"/>
  <c r="I65" i="19"/>
  <c r="K65" i="23"/>
  <c r="K65" i="19"/>
  <c r="I65" i="31"/>
  <c r="I65" i="23"/>
  <c r="F63" i="19"/>
  <c r="F63" i="21"/>
  <c r="G63" i="21" s="1"/>
  <c r="F63" i="23"/>
  <c r="G63" i="23" s="1"/>
  <c r="F63" i="27"/>
  <c r="G63" i="27" s="1"/>
  <c r="F63" i="31"/>
  <c r="G63" i="31" s="1"/>
  <c r="D63" i="19"/>
  <c r="D63" i="21"/>
  <c r="D63" i="23"/>
  <c r="E63" i="23" s="1"/>
  <c r="D63" i="27"/>
  <c r="E63" i="27" s="1"/>
  <c r="D63" i="31"/>
  <c r="E63" i="31" s="1"/>
  <c r="D66" i="31"/>
  <c r="D66" i="27"/>
  <c r="D66" i="23"/>
  <c r="D66" i="21"/>
  <c r="D66" i="19"/>
  <c r="B63" i="19"/>
  <c r="C63" i="19" s="1"/>
  <c r="B63" i="21"/>
  <c r="C63" i="21" s="1"/>
  <c r="B63" i="23"/>
  <c r="C63" i="23" s="1"/>
  <c r="B63" i="27"/>
  <c r="C63" i="27" s="1"/>
  <c r="B63" i="31"/>
  <c r="C63" i="31" s="1"/>
  <c r="G63" i="19"/>
  <c r="E63" i="19"/>
  <c r="E63" i="21"/>
  <c r="K63" i="31" l="1"/>
  <c r="K63" i="19"/>
  <c r="I63" i="27"/>
  <c r="K63" i="27"/>
  <c r="K63" i="23"/>
  <c r="I63" i="21"/>
  <c r="K63" i="21"/>
  <c r="I63" i="31"/>
  <c r="I63" i="23"/>
  <c r="I63" i="19"/>
  <c r="B66" i="19"/>
  <c r="C66" i="19" s="1"/>
  <c r="F66" i="19"/>
  <c r="G66" i="19" s="1"/>
  <c r="F66" i="21"/>
  <c r="G66" i="21" s="1"/>
  <c r="F66" i="23"/>
  <c r="G66" i="23" s="1"/>
  <c r="F66" i="27"/>
  <c r="G66" i="27" s="1"/>
  <c r="F66" i="31"/>
  <c r="G66" i="31" s="1"/>
  <c r="E66" i="19"/>
  <c r="E66" i="21"/>
  <c r="E66" i="23"/>
  <c r="E66" i="27"/>
  <c r="E66" i="31"/>
  <c r="B66" i="21"/>
  <c r="C66" i="21" s="1"/>
  <c r="B66" i="23"/>
  <c r="C66" i="23" s="1"/>
  <c r="B66" i="27"/>
  <c r="C66" i="27" s="1"/>
  <c r="B66" i="31"/>
  <c r="C66" i="31" s="1"/>
  <c r="I66" i="21" l="1"/>
  <c r="I66" i="23"/>
  <c r="K66" i="31"/>
  <c r="I66" i="27"/>
  <c r="I66" i="19"/>
  <c r="I66" i="31"/>
  <c r="K66" i="27"/>
  <c r="K66" i="21"/>
  <c r="K66" i="23"/>
  <c r="K66" i="19"/>
  <c r="BC41" i="34"/>
  <c r="BB41" i="34"/>
  <c r="BA41" i="34"/>
  <c r="AZ41" i="34"/>
  <c r="AY41" i="34"/>
  <c r="AX41" i="34"/>
  <c r="AW41" i="34"/>
  <c r="AV41" i="34"/>
  <c r="AU41" i="34"/>
  <c r="AT41" i="34"/>
  <c r="AS41" i="34"/>
  <c r="AR41" i="34"/>
  <c r="AQ41" i="34"/>
  <c r="AP41" i="34"/>
  <c r="AO41" i="34"/>
  <c r="AN41" i="34"/>
  <c r="AM41" i="34"/>
  <c r="AL41" i="34"/>
  <c r="AK41" i="34"/>
  <c r="AJ41" i="34"/>
  <c r="AI41" i="34"/>
  <c r="AH41" i="34"/>
  <c r="AG41" i="34"/>
  <c r="AF41" i="34"/>
  <c r="AE41" i="34"/>
  <c r="AD41" i="34"/>
  <c r="AC41" i="34"/>
  <c r="AB41" i="34"/>
  <c r="AA41" i="34"/>
  <c r="Z41" i="34"/>
  <c r="Y41" i="34"/>
  <c r="X41" i="34"/>
  <c r="W41" i="34"/>
  <c r="V41" i="34"/>
  <c r="U41" i="34"/>
  <c r="T41" i="34"/>
  <c r="S41" i="34"/>
  <c r="R41" i="34"/>
  <c r="Q41" i="34"/>
  <c r="P41" i="34"/>
  <c r="O41" i="34"/>
  <c r="N41" i="34"/>
  <c r="K40" i="34"/>
  <c r="L40" i="34" s="1"/>
  <c r="J40" i="34"/>
  <c r="G40" i="34"/>
  <c r="H40" i="34" s="1"/>
  <c r="F40" i="34"/>
  <c r="C40" i="34"/>
  <c r="D40" i="34" s="1"/>
  <c r="B40" i="34"/>
  <c r="K39" i="34"/>
  <c r="L39" i="34" s="1"/>
  <c r="J39" i="34"/>
  <c r="G39" i="34"/>
  <c r="H39" i="34" s="1"/>
  <c r="F39" i="34"/>
  <c r="C39" i="34"/>
  <c r="D39" i="34" s="1"/>
  <c r="B39" i="34"/>
  <c r="K38" i="34"/>
  <c r="L38" i="34" s="1"/>
  <c r="J38" i="34"/>
  <c r="G38" i="34"/>
  <c r="H38" i="34" s="1"/>
  <c r="F38" i="34"/>
  <c r="C38" i="34"/>
  <c r="D38" i="34" s="1"/>
  <c r="B38" i="34"/>
  <c r="K37" i="34"/>
  <c r="L37" i="34" s="1"/>
  <c r="J37" i="34"/>
  <c r="G37" i="34"/>
  <c r="H37" i="34" s="1"/>
  <c r="F37" i="34"/>
  <c r="C37" i="34"/>
  <c r="D37" i="34" s="1"/>
  <c r="B37" i="34"/>
  <c r="K36" i="34"/>
  <c r="L36" i="34" s="1"/>
  <c r="J36" i="34"/>
  <c r="G36" i="34"/>
  <c r="H36" i="34" s="1"/>
  <c r="F36" i="34"/>
  <c r="C36" i="34"/>
  <c r="D36" i="34" s="1"/>
  <c r="B36" i="34"/>
  <c r="K35" i="34"/>
  <c r="L35" i="34" s="1"/>
  <c r="J35" i="34"/>
  <c r="G35" i="34"/>
  <c r="H35" i="34" s="1"/>
  <c r="F35" i="34"/>
  <c r="C35" i="34"/>
  <c r="D35" i="34" s="1"/>
  <c r="B35" i="34"/>
  <c r="K34" i="34"/>
  <c r="L34" i="34" s="1"/>
  <c r="J34" i="34"/>
  <c r="G34" i="34"/>
  <c r="H34" i="34" s="1"/>
  <c r="F34" i="34"/>
  <c r="C34" i="34"/>
  <c r="D34" i="34" s="1"/>
  <c r="B34" i="34"/>
  <c r="K33" i="34"/>
  <c r="L33" i="34" s="1"/>
  <c r="J33" i="34"/>
  <c r="G33" i="34"/>
  <c r="H33" i="34" s="1"/>
  <c r="F33" i="34"/>
  <c r="C33" i="34"/>
  <c r="D33" i="34" s="1"/>
  <c r="B33" i="34"/>
  <c r="K32" i="34"/>
  <c r="L32" i="34" s="1"/>
  <c r="J32" i="34"/>
  <c r="G32" i="34"/>
  <c r="H32" i="34" s="1"/>
  <c r="F32" i="34"/>
  <c r="C32" i="34"/>
  <c r="D32" i="34" s="1"/>
  <c r="B32" i="34"/>
  <c r="K31" i="34"/>
  <c r="L31" i="34" s="1"/>
  <c r="J31" i="34"/>
  <c r="G31" i="34"/>
  <c r="H31" i="34" s="1"/>
  <c r="F31" i="34"/>
  <c r="C31" i="34"/>
  <c r="D31" i="34" s="1"/>
  <c r="B31" i="34"/>
  <c r="K30" i="34"/>
  <c r="L30" i="34" s="1"/>
  <c r="J30" i="34"/>
  <c r="G30" i="34"/>
  <c r="H30" i="34" s="1"/>
  <c r="F30" i="34"/>
  <c r="C30" i="34"/>
  <c r="D30" i="34" s="1"/>
  <c r="B30" i="34"/>
  <c r="K29" i="34"/>
  <c r="L29" i="34" s="1"/>
  <c r="J29" i="34"/>
  <c r="G29" i="34"/>
  <c r="H29" i="34" s="1"/>
  <c r="F29" i="34"/>
  <c r="C29" i="34"/>
  <c r="D29" i="34" s="1"/>
  <c r="B29" i="34"/>
  <c r="K28" i="34"/>
  <c r="L28" i="34" s="1"/>
  <c r="J28" i="34"/>
  <c r="G28" i="34"/>
  <c r="H28" i="34" s="1"/>
  <c r="F28" i="34"/>
  <c r="C28" i="34"/>
  <c r="D28" i="34" s="1"/>
  <c r="B28" i="34"/>
  <c r="K27" i="34"/>
  <c r="L27" i="34" s="1"/>
  <c r="J27" i="34"/>
  <c r="G27" i="34"/>
  <c r="H27" i="34" s="1"/>
  <c r="F27" i="34"/>
  <c r="C27" i="34"/>
  <c r="D27" i="34" s="1"/>
  <c r="B27" i="34"/>
  <c r="K26" i="34"/>
  <c r="L26" i="34" s="1"/>
  <c r="J26" i="34"/>
  <c r="G26" i="34"/>
  <c r="H26" i="34" s="1"/>
  <c r="F26" i="34"/>
  <c r="C26" i="34"/>
  <c r="D26" i="34" s="1"/>
  <c r="B26" i="34"/>
  <c r="BG25" i="34"/>
  <c r="BH25" i="34" s="1"/>
  <c r="K25" i="34"/>
  <c r="L25" i="34" s="1"/>
  <c r="J25" i="34"/>
  <c r="G25" i="34"/>
  <c r="H25" i="34" s="1"/>
  <c r="I25" i="34" s="1"/>
  <c r="F25" i="34"/>
  <c r="C25" i="34"/>
  <c r="D25" i="34" s="1"/>
  <c r="B25" i="34"/>
  <c r="BF24" i="34"/>
  <c r="K24" i="34"/>
  <c r="L24" i="34" s="1"/>
  <c r="J24" i="34"/>
  <c r="G24" i="34"/>
  <c r="H24" i="34" s="1"/>
  <c r="F24" i="34"/>
  <c r="C24" i="34"/>
  <c r="D24" i="34" s="1"/>
  <c r="B24" i="34"/>
  <c r="BF23" i="34"/>
  <c r="K23" i="34"/>
  <c r="L23" i="34" s="1"/>
  <c r="J23" i="34"/>
  <c r="G23" i="34"/>
  <c r="H23" i="34" s="1"/>
  <c r="I23" i="34" s="1"/>
  <c r="F23" i="34"/>
  <c r="C23" i="34"/>
  <c r="D23" i="34" s="1"/>
  <c r="B23" i="34"/>
  <c r="BF22" i="34"/>
  <c r="BF25" i="34" s="1"/>
  <c r="K22" i="34"/>
  <c r="L22" i="34" s="1"/>
  <c r="J22" i="34"/>
  <c r="G22" i="34"/>
  <c r="H22" i="34" s="1"/>
  <c r="F22" i="34"/>
  <c r="C22" i="34"/>
  <c r="D22" i="34" s="1"/>
  <c r="B22" i="34"/>
  <c r="K21" i="34"/>
  <c r="L21" i="34" s="1"/>
  <c r="J21" i="34"/>
  <c r="G21" i="34"/>
  <c r="H21" i="34" s="1"/>
  <c r="F21" i="34"/>
  <c r="C21" i="34"/>
  <c r="D21" i="34" s="1"/>
  <c r="B21" i="34"/>
  <c r="K20" i="34"/>
  <c r="L20" i="34" s="1"/>
  <c r="J20" i="34"/>
  <c r="G20" i="34"/>
  <c r="H20" i="34" s="1"/>
  <c r="F20" i="34"/>
  <c r="C20" i="34"/>
  <c r="D20" i="34" s="1"/>
  <c r="B20" i="34"/>
  <c r="K19" i="34"/>
  <c r="L19" i="34" s="1"/>
  <c r="J19" i="34"/>
  <c r="G19" i="34"/>
  <c r="H19" i="34" s="1"/>
  <c r="F19" i="34"/>
  <c r="C19" i="34"/>
  <c r="D19" i="34" s="1"/>
  <c r="B19" i="34"/>
  <c r="K18" i="34"/>
  <c r="L18" i="34" s="1"/>
  <c r="J18" i="34"/>
  <c r="G18" i="34"/>
  <c r="H18" i="34" s="1"/>
  <c r="F18" i="34"/>
  <c r="C18" i="34"/>
  <c r="D18" i="34" s="1"/>
  <c r="B18" i="34"/>
  <c r="K17" i="34"/>
  <c r="L17" i="34" s="1"/>
  <c r="J17" i="34"/>
  <c r="G17" i="34"/>
  <c r="H17" i="34" s="1"/>
  <c r="F17" i="34"/>
  <c r="C17" i="34"/>
  <c r="D17" i="34" s="1"/>
  <c r="B17" i="34"/>
  <c r="Q16" i="34"/>
  <c r="O16" i="34"/>
  <c r="BF6" i="34"/>
  <c r="BE6" i="34"/>
  <c r="P16" i="34" s="1"/>
  <c r="F59" i="33"/>
  <c r="G59" i="33" s="1"/>
  <c r="D59" i="33"/>
  <c r="E59" i="33" s="1"/>
  <c r="B59" i="33"/>
  <c r="C59" i="33" s="1"/>
  <c r="F58" i="33"/>
  <c r="G58" i="33" s="1"/>
  <c r="D58" i="33"/>
  <c r="E58" i="33" s="1"/>
  <c r="B58" i="33"/>
  <c r="C58" i="33" s="1"/>
  <c r="F57" i="33"/>
  <c r="G57" i="33" s="1"/>
  <c r="D57" i="33"/>
  <c r="E57" i="33" s="1"/>
  <c r="B57" i="33"/>
  <c r="C57" i="33" s="1"/>
  <c r="F51" i="33"/>
  <c r="G51" i="33" s="1"/>
  <c r="D51" i="33"/>
  <c r="E51" i="33" s="1"/>
  <c r="B51" i="33"/>
  <c r="C51" i="33" s="1"/>
  <c r="F50" i="33"/>
  <c r="G50" i="33" s="1"/>
  <c r="D50" i="33"/>
  <c r="E50" i="33" s="1"/>
  <c r="B50" i="33"/>
  <c r="C50" i="33" s="1"/>
  <c r="F49" i="33"/>
  <c r="G49" i="33" s="1"/>
  <c r="D49" i="33"/>
  <c r="E49" i="33" s="1"/>
  <c r="B49" i="33"/>
  <c r="C49" i="33" s="1"/>
  <c r="F44" i="33"/>
  <c r="G44" i="33" s="1"/>
  <c r="D44" i="33"/>
  <c r="E44" i="33" s="1"/>
  <c r="B44" i="33"/>
  <c r="C44" i="33" s="1"/>
  <c r="F42" i="33"/>
  <c r="G42" i="33" s="1"/>
  <c r="D42" i="33"/>
  <c r="E42" i="33" s="1"/>
  <c r="B42" i="33"/>
  <c r="C42" i="33" s="1"/>
  <c r="F41" i="33"/>
  <c r="G41" i="33" s="1"/>
  <c r="D41" i="33"/>
  <c r="E41" i="33" s="1"/>
  <c r="B41" i="33"/>
  <c r="C41" i="33" s="1"/>
  <c r="F38" i="33"/>
  <c r="G38" i="33" s="1"/>
  <c r="D38" i="33"/>
  <c r="E38" i="33" s="1"/>
  <c r="B38" i="33"/>
  <c r="C38" i="33" s="1"/>
  <c r="F37" i="33"/>
  <c r="G37" i="33" s="1"/>
  <c r="D37" i="33"/>
  <c r="E37" i="33" s="1"/>
  <c r="B37" i="33"/>
  <c r="C37" i="33" s="1"/>
  <c r="H6" i="33" s="1"/>
  <c r="I6" i="33" s="1"/>
  <c r="L6" i="33" s="1"/>
  <c r="M6" i="33" s="1"/>
  <c r="N6" i="33" s="1"/>
  <c r="J36" i="33"/>
  <c r="K36" i="33" s="1"/>
  <c r="H36" i="33"/>
  <c r="I36" i="33" s="1"/>
  <c r="G36" i="33"/>
  <c r="E36" i="33"/>
  <c r="C36" i="33"/>
  <c r="J35" i="33"/>
  <c r="K35" i="33" s="1"/>
  <c r="H35" i="33"/>
  <c r="I35" i="33" s="1"/>
  <c r="G35" i="33"/>
  <c r="E35" i="33"/>
  <c r="C35" i="33"/>
  <c r="J34" i="33"/>
  <c r="K34" i="33" s="1"/>
  <c r="H34" i="33"/>
  <c r="I34" i="33" s="1"/>
  <c r="G34" i="33"/>
  <c r="E34" i="33"/>
  <c r="C34" i="33"/>
  <c r="J33" i="33"/>
  <c r="H33" i="33"/>
  <c r="I33" i="33" s="1"/>
  <c r="G33" i="33"/>
  <c r="E33" i="33"/>
  <c r="C33" i="33"/>
  <c r="J32" i="33"/>
  <c r="H32" i="33"/>
  <c r="I32" i="33" s="1"/>
  <c r="G32" i="33"/>
  <c r="E32" i="33"/>
  <c r="C32" i="33"/>
  <c r="J31" i="33"/>
  <c r="K31" i="33" s="1"/>
  <c r="H31" i="33"/>
  <c r="I31" i="33" s="1"/>
  <c r="G31" i="33"/>
  <c r="E31" i="33"/>
  <c r="C31" i="33"/>
  <c r="J30" i="33"/>
  <c r="H30" i="33"/>
  <c r="G30" i="33"/>
  <c r="E30" i="33"/>
  <c r="C30" i="33"/>
  <c r="J29" i="33"/>
  <c r="H29" i="33"/>
  <c r="G29" i="33"/>
  <c r="E29" i="33"/>
  <c r="C29" i="33"/>
  <c r="J28" i="33"/>
  <c r="H28" i="33"/>
  <c r="G28" i="33"/>
  <c r="E28" i="33"/>
  <c r="C28" i="33"/>
  <c r="J27" i="33"/>
  <c r="H27" i="33"/>
  <c r="G27" i="33"/>
  <c r="E27" i="33"/>
  <c r="C27" i="33"/>
  <c r="J26" i="33"/>
  <c r="K26" i="33" s="1"/>
  <c r="H26" i="33"/>
  <c r="I26" i="33" s="1"/>
  <c r="G26" i="33"/>
  <c r="E26" i="33"/>
  <c r="C26" i="33"/>
  <c r="J25" i="33"/>
  <c r="K25" i="33" s="1"/>
  <c r="H25" i="33"/>
  <c r="I25" i="33" s="1"/>
  <c r="G25" i="33"/>
  <c r="E25" i="33"/>
  <c r="C25" i="33"/>
  <c r="J24" i="33"/>
  <c r="K24" i="33" s="1"/>
  <c r="H24" i="33"/>
  <c r="I24" i="33" s="1"/>
  <c r="G24" i="33"/>
  <c r="E24" i="33"/>
  <c r="C24" i="33"/>
  <c r="J23" i="33"/>
  <c r="H23" i="33"/>
  <c r="G23" i="33"/>
  <c r="E23" i="33"/>
  <c r="C23" i="33"/>
  <c r="J22" i="33"/>
  <c r="K22" i="33" s="1"/>
  <c r="H22" i="33"/>
  <c r="I22" i="33" s="1"/>
  <c r="G22" i="33"/>
  <c r="E22" i="33"/>
  <c r="C22" i="33"/>
  <c r="J21" i="33"/>
  <c r="H21" i="33"/>
  <c r="G21" i="33"/>
  <c r="E21" i="33"/>
  <c r="C21" i="33"/>
  <c r="J20" i="33"/>
  <c r="K20" i="33" s="1"/>
  <c r="H20" i="33"/>
  <c r="I20" i="33" s="1"/>
  <c r="G20" i="33"/>
  <c r="E20" i="33"/>
  <c r="C20" i="33"/>
  <c r="J19" i="33"/>
  <c r="H19" i="33"/>
  <c r="G19" i="33"/>
  <c r="E19" i="33"/>
  <c r="C19" i="33"/>
  <c r="J18" i="33"/>
  <c r="K18" i="33" s="1"/>
  <c r="H18" i="33"/>
  <c r="G18" i="33"/>
  <c r="E18" i="33"/>
  <c r="C18" i="33"/>
  <c r="J17" i="33"/>
  <c r="K17" i="33" s="1"/>
  <c r="H17" i="33"/>
  <c r="I17" i="33" s="1"/>
  <c r="G17" i="33"/>
  <c r="E17" i="33"/>
  <c r="C17" i="33"/>
  <c r="J16" i="33"/>
  <c r="K16" i="33" s="1"/>
  <c r="H16" i="33"/>
  <c r="I16" i="33" s="1"/>
  <c r="G16" i="33"/>
  <c r="E16" i="33"/>
  <c r="C16" i="33"/>
  <c r="J15" i="33"/>
  <c r="K15" i="33" s="1"/>
  <c r="H15" i="33"/>
  <c r="I15" i="33" s="1"/>
  <c r="G15" i="33"/>
  <c r="E15" i="33"/>
  <c r="C15" i="33"/>
  <c r="J14" i="33"/>
  <c r="K14" i="33" s="1"/>
  <c r="H14" i="33"/>
  <c r="I14" i="33" s="1"/>
  <c r="G14" i="33"/>
  <c r="E14" i="33"/>
  <c r="C14" i="33"/>
  <c r="J13" i="33"/>
  <c r="K13" i="33" s="1"/>
  <c r="H13" i="33"/>
  <c r="I13" i="33" s="1"/>
  <c r="G13" i="33"/>
  <c r="E13" i="33"/>
  <c r="C13" i="33"/>
  <c r="K29" i="33" l="1"/>
  <c r="J71" i="33"/>
  <c r="I30" i="33"/>
  <c r="H72" i="33"/>
  <c r="K30" i="33"/>
  <c r="J72" i="33"/>
  <c r="I29" i="33"/>
  <c r="H71" i="33"/>
  <c r="H64" i="33"/>
  <c r="H56" i="33"/>
  <c r="J64" i="33"/>
  <c r="J56" i="33"/>
  <c r="H43" i="33"/>
  <c r="I27" i="33"/>
  <c r="J43" i="33"/>
  <c r="K27" i="33"/>
  <c r="I28" i="33"/>
  <c r="K28" i="33"/>
  <c r="M31" i="34"/>
  <c r="M34" i="34"/>
  <c r="I29" i="34"/>
  <c r="M35" i="34"/>
  <c r="I18" i="34"/>
  <c r="M19" i="34"/>
  <c r="E21" i="34"/>
  <c r="E18" i="34"/>
  <c r="I19" i="34"/>
  <c r="M20" i="34"/>
  <c r="I38" i="34"/>
  <c r="M26" i="34"/>
  <c r="M27" i="34"/>
  <c r="M30" i="34"/>
  <c r="I51" i="33"/>
  <c r="I22" i="34"/>
  <c r="I30" i="34"/>
  <c r="K38" i="33"/>
  <c r="I57" i="33"/>
  <c r="I59" i="33"/>
  <c r="I24" i="34"/>
  <c r="I33" i="34"/>
  <c r="I34" i="34"/>
  <c r="I42" i="33"/>
  <c r="I26" i="34"/>
  <c r="I37" i="34"/>
  <c r="H7" i="33"/>
  <c r="I7" i="33" s="1"/>
  <c r="L7" i="33" s="1"/>
  <c r="M7" i="33" s="1"/>
  <c r="N7" i="33" s="1"/>
  <c r="H5" i="33"/>
  <c r="I5" i="33" s="1"/>
  <c r="L5" i="33" s="1"/>
  <c r="M5" i="33" s="1"/>
  <c r="N5" i="33" s="1"/>
  <c r="M23" i="34"/>
  <c r="E25" i="34"/>
  <c r="M25" i="34"/>
  <c r="E23" i="34"/>
  <c r="E24" i="34"/>
  <c r="E29" i="34"/>
  <c r="E33" i="34"/>
  <c r="E37" i="34"/>
  <c r="E22" i="34"/>
  <c r="K49" i="33"/>
  <c r="E28" i="34"/>
  <c r="E32" i="34"/>
  <c r="E36" i="34"/>
  <c r="M39" i="34"/>
  <c r="M38" i="34"/>
  <c r="E40" i="34"/>
  <c r="H57" i="33"/>
  <c r="H59" i="33"/>
  <c r="H58" i="33"/>
  <c r="K32" i="33"/>
  <c r="H42" i="33"/>
  <c r="I19" i="33"/>
  <c r="J51" i="33"/>
  <c r="J49" i="33"/>
  <c r="I23" i="33"/>
  <c r="J38" i="33"/>
  <c r="K41" i="33"/>
  <c r="I41" i="33"/>
  <c r="K42" i="33"/>
  <c r="K50" i="33"/>
  <c r="I50" i="33"/>
  <c r="K51" i="33"/>
  <c r="K57" i="33"/>
  <c r="E17" i="34"/>
  <c r="B41" i="34"/>
  <c r="F41" i="34"/>
  <c r="H38" i="33"/>
  <c r="I18" i="33"/>
  <c r="K21" i="33"/>
  <c r="K33" i="33"/>
  <c r="H4" i="33"/>
  <c r="I4" i="33" s="1"/>
  <c r="L4" i="33" s="1"/>
  <c r="I37" i="33"/>
  <c r="H37" i="33"/>
  <c r="J41" i="33"/>
  <c r="K44" i="33"/>
  <c r="I44" i="33"/>
  <c r="J50" i="33"/>
  <c r="J58" i="33"/>
  <c r="H44" i="33"/>
  <c r="H41" i="33"/>
  <c r="I38" i="33"/>
  <c r="H51" i="33"/>
  <c r="J57" i="33"/>
  <c r="K37" i="33"/>
  <c r="J44" i="33"/>
  <c r="I49" i="33"/>
  <c r="H49" i="33"/>
  <c r="K59" i="33"/>
  <c r="K58" i="33"/>
  <c r="M17" i="34"/>
  <c r="J41" i="34"/>
  <c r="E19" i="34"/>
  <c r="I20" i="34"/>
  <c r="M21" i="34"/>
  <c r="E26" i="34"/>
  <c r="I27" i="34"/>
  <c r="M28" i="34"/>
  <c r="E30" i="34"/>
  <c r="I31" i="34"/>
  <c r="M32" i="34"/>
  <c r="E34" i="34"/>
  <c r="I35" i="34"/>
  <c r="M36" i="34"/>
  <c r="E38" i="34"/>
  <c r="I39" i="34"/>
  <c r="M40" i="34"/>
  <c r="K19" i="33"/>
  <c r="I21" i="33"/>
  <c r="K23" i="33"/>
  <c r="J37" i="33"/>
  <c r="J42" i="33"/>
  <c r="H50" i="33"/>
  <c r="I58" i="33"/>
  <c r="J59" i="33"/>
  <c r="I17" i="34"/>
  <c r="M18" i="34"/>
  <c r="E20" i="34"/>
  <c r="I21" i="34"/>
  <c r="M22" i="34"/>
  <c r="M24" i="34"/>
  <c r="E27" i="34"/>
  <c r="I28" i="34"/>
  <c r="M29" i="34"/>
  <c r="E31" i="34"/>
  <c r="I32" i="34"/>
  <c r="M33" i="34"/>
  <c r="E35" i="34"/>
  <c r="I36" i="34"/>
  <c r="M37" i="34"/>
  <c r="E39" i="34"/>
  <c r="I40" i="34"/>
  <c r="N16" i="34"/>
  <c r="R16" i="34"/>
  <c r="E41" i="34" l="1"/>
  <c r="I41" i="34"/>
  <c r="L8" i="33"/>
  <c r="M4" i="33"/>
  <c r="N4" i="33" s="1"/>
  <c r="M41" i="34"/>
  <c r="M6" i="34"/>
  <c r="M7" i="34" s="1"/>
  <c r="M8" i="34" l="1"/>
  <c r="M9" i="34" l="1"/>
  <c r="M10" i="34" s="1"/>
  <c r="M11" i="34" l="1"/>
  <c r="M12" i="34" s="1"/>
  <c r="B54" i="27" l="1"/>
  <c r="BC41" i="32" l="1"/>
  <c r="BB41" i="32"/>
  <c r="BA41" i="32"/>
  <c r="AZ41" i="32"/>
  <c r="AY41" i="32"/>
  <c r="AX41" i="32"/>
  <c r="AW41" i="32"/>
  <c r="AV41" i="32"/>
  <c r="AU41" i="32"/>
  <c r="AT41" i="32"/>
  <c r="AS41" i="32"/>
  <c r="AR41" i="32"/>
  <c r="AQ41" i="32"/>
  <c r="AP41" i="32"/>
  <c r="AO41" i="32"/>
  <c r="AN41" i="32"/>
  <c r="AM41" i="32"/>
  <c r="AL41" i="32"/>
  <c r="AK41" i="32"/>
  <c r="AJ41" i="32"/>
  <c r="AI41" i="32"/>
  <c r="AH41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K40" i="32"/>
  <c r="L40" i="32" s="1"/>
  <c r="J40" i="32"/>
  <c r="G40" i="32"/>
  <c r="H40" i="32" s="1"/>
  <c r="F40" i="32"/>
  <c r="C40" i="32"/>
  <c r="D40" i="32" s="1"/>
  <c r="B40" i="32"/>
  <c r="K39" i="32"/>
  <c r="L39" i="32" s="1"/>
  <c r="J39" i="32"/>
  <c r="G39" i="32"/>
  <c r="H39" i="32" s="1"/>
  <c r="F39" i="32"/>
  <c r="C39" i="32"/>
  <c r="D39" i="32" s="1"/>
  <c r="B39" i="32"/>
  <c r="K38" i="32"/>
  <c r="L38" i="32" s="1"/>
  <c r="J38" i="32"/>
  <c r="G38" i="32"/>
  <c r="H38" i="32" s="1"/>
  <c r="F38" i="32"/>
  <c r="C38" i="32"/>
  <c r="D38" i="32" s="1"/>
  <c r="B38" i="32"/>
  <c r="K37" i="32"/>
  <c r="L37" i="32" s="1"/>
  <c r="J37" i="32"/>
  <c r="G37" i="32"/>
  <c r="H37" i="32" s="1"/>
  <c r="F37" i="32"/>
  <c r="C37" i="32"/>
  <c r="D37" i="32" s="1"/>
  <c r="B37" i="32"/>
  <c r="K36" i="32"/>
  <c r="L36" i="32" s="1"/>
  <c r="J36" i="32"/>
  <c r="G36" i="32"/>
  <c r="H36" i="32" s="1"/>
  <c r="F36" i="32"/>
  <c r="C36" i="32"/>
  <c r="D36" i="32" s="1"/>
  <c r="B36" i="32"/>
  <c r="K35" i="32"/>
  <c r="L35" i="32" s="1"/>
  <c r="J35" i="32"/>
  <c r="G35" i="32"/>
  <c r="H35" i="32" s="1"/>
  <c r="F35" i="32"/>
  <c r="C35" i="32"/>
  <c r="D35" i="32" s="1"/>
  <c r="B35" i="32"/>
  <c r="K34" i="32"/>
  <c r="L34" i="32" s="1"/>
  <c r="J34" i="32"/>
  <c r="G34" i="32"/>
  <c r="H34" i="32" s="1"/>
  <c r="F34" i="32"/>
  <c r="C34" i="32"/>
  <c r="D34" i="32" s="1"/>
  <c r="B34" i="32"/>
  <c r="K33" i="32"/>
  <c r="L33" i="32" s="1"/>
  <c r="J33" i="32"/>
  <c r="G33" i="32"/>
  <c r="H33" i="32" s="1"/>
  <c r="F33" i="32"/>
  <c r="C33" i="32"/>
  <c r="D33" i="32" s="1"/>
  <c r="B33" i="32"/>
  <c r="K32" i="32"/>
  <c r="L32" i="32" s="1"/>
  <c r="J32" i="32"/>
  <c r="G32" i="32"/>
  <c r="H32" i="32" s="1"/>
  <c r="F32" i="32"/>
  <c r="C32" i="32"/>
  <c r="D32" i="32" s="1"/>
  <c r="B32" i="32"/>
  <c r="K31" i="32"/>
  <c r="L31" i="32" s="1"/>
  <c r="J31" i="32"/>
  <c r="G31" i="32"/>
  <c r="H31" i="32" s="1"/>
  <c r="F31" i="32"/>
  <c r="C31" i="32"/>
  <c r="D31" i="32" s="1"/>
  <c r="B31" i="32"/>
  <c r="K30" i="32"/>
  <c r="L30" i="32" s="1"/>
  <c r="J30" i="32"/>
  <c r="G30" i="32"/>
  <c r="H30" i="32" s="1"/>
  <c r="F30" i="32"/>
  <c r="C30" i="32"/>
  <c r="D30" i="32" s="1"/>
  <c r="B30" i="32"/>
  <c r="K29" i="32"/>
  <c r="L29" i="32" s="1"/>
  <c r="J29" i="32"/>
  <c r="G29" i="32"/>
  <c r="H29" i="32" s="1"/>
  <c r="F29" i="32"/>
  <c r="C29" i="32"/>
  <c r="D29" i="32" s="1"/>
  <c r="B29" i="32"/>
  <c r="K28" i="32"/>
  <c r="L28" i="32" s="1"/>
  <c r="J28" i="32"/>
  <c r="G28" i="32"/>
  <c r="H28" i="32" s="1"/>
  <c r="F28" i="32"/>
  <c r="C28" i="32"/>
  <c r="D28" i="32" s="1"/>
  <c r="B28" i="32"/>
  <c r="K27" i="32"/>
  <c r="L27" i="32" s="1"/>
  <c r="J27" i="32"/>
  <c r="G27" i="32"/>
  <c r="H27" i="32" s="1"/>
  <c r="F27" i="32"/>
  <c r="C27" i="32"/>
  <c r="D27" i="32" s="1"/>
  <c r="B27" i="32"/>
  <c r="K26" i="32"/>
  <c r="L26" i="32" s="1"/>
  <c r="J26" i="32"/>
  <c r="G26" i="32"/>
  <c r="H26" i="32" s="1"/>
  <c r="F26" i="32"/>
  <c r="C26" i="32"/>
  <c r="D26" i="32" s="1"/>
  <c r="B26" i="32"/>
  <c r="BG25" i="32"/>
  <c r="K25" i="32"/>
  <c r="L25" i="32" s="1"/>
  <c r="J25" i="32"/>
  <c r="G25" i="32"/>
  <c r="H25" i="32" s="1"/>
  <c r="F25" i="32"/>
  <c r="C25" i="32"/>
  <c r="D25" i="32" s="1"/>
  <c r="B25" i="32"/>
  <c r="BF24" i="32"/>
  <c r="K24" i="32"/>
  <c r="L24" i="32" s="1"/>
  <c r="J24" i="32"/>
  <c r="G24" i="32"/>
  <c r="H24" i="32" s="1"/>
  <c r="F24" i="32"/>
  <c r="C24" i="32"/>
  <c r="D24" i="32" s="1"/>
  <c r="B24" i="32"/>
  <c r="BF23" i="32"/>
  <c r="K23" i="32"/>
  <c r="L23" i="32" s="1"/>
  <c r="J23" i="32"/>
  <c r="G23" i="32"/>
  <c r="H23" i="32" s="1"/>
  <c r="F23" i="32"/>
  <c r="C23" i="32"/>
  <c r="D23" i="32" s="1"/>
  <c r="B23" i="32"/>
  <c r="BF22" i="32"/>
  <c r="BF25" i="32" s="1"/>
  <c r="K22" i="32"/>
  <c r="L22" i="32" s="1"/>
  <c r="J22" i="32"/>
  <c r="G22" i="32"/>
  <c r="H22" i="32" s="1"/>
  <c r="F22" i="32"/>
  <c r="C22" i="32"/>
  <c r="D22" i="32" s="1"/>
  <c r="B22" i="32"/>
  <c r="K21" i="32"/>
  <c r="L21" i="32" s="1"/>
  <c r="J21" i="32"/>
  <c r="G21" i="32"/>
  <c r="H21" i="32" s="1"/>
  <c r="F21" i="32"/>
  <c r="C21" i="32"/>
  <c r="D21" i="32" s="1"/>
  <c r="B21" i="32"/>
  <c r="K20" i="32"/>
  <c r="L20" i="32" s="1"/>
  <c r="J20" i="32"/>
  <c r="G20" i="32"/>
  <c r="H20" i="32" s="1"/>
  <c r="F20" i="32"/>
  <c r="C20" i="32"/>
  <c r="D20" i="32" s="1"/>
  <c r="B20" i="32"/>
  <c r="K19" i="32"/>
  <c r="L19" i="32" s="1"/>
  <c r="J19" i="32"/>
  <c r="G19" i="32"/>
  <c r="H19" i="32" s="1"/>
  <c r="F19" i="32"/>
  <c r="C19" i="32"/>
  <c r="D19" i="32" s="1"/>
  <c r="B19" i="32"/>
  <c r="K18" i="32"/>
  <c r="L18" i="32" s="1"/>
  <c r="J18" i="32"/>
  <c r="G18" i="32"/>
  <c r="H18" i="32" s="1"/>
  <c r="F18" i="32"/>
  <c r="C18" i="32"/>
  <c r="D18" i="32" s="1"/>
  <c r="B18" i="32"/>
  <c r="K17" i="32"/>
  <c r="L17" i="32" s="1"/>
  <c r="J17" i="32"/>
  <c r="G17" i="32"/>
  <c r="H17" i="32" s="1"/>
  <c r="F17" i="32"/>
  <c r="C17" i="32"/>
  <c r="D17" i="32" s="1"/>
  <c r="B17" i="32"/>
  <c r="Q16" i="32"/>
  <c r="P16" i="32"/>
  <c r="O16" i="32"/>
  <c r="BF6" i="32"/>
  <c r="BE6" i="32"/>
  <c r="R16" i="32" s="1"/>
  <c r="F78" i="31"/>
  <c r="G78" i="31" s="1"/>
  <c r="D78" i="31"/>
  <c r="E78" i="31" s="1"/>
  <c r="B78" i="31"/>
  <c r="C78" i="31" s="1"/>
  <c r="F77" i="31"/>
  <c r="G77" i="31" s="1"/>
  <c r="D77" i="31"/>
  <c r="E77" i="31" s="1"/>
  <c r="B77" i="31"/>
  <c r="C77" i="31" s="1"/>
  <c r="F76" i="31"/>
  <c r="G76" i="31" s="1"/>
  <c r="D76" i="31"/>
  <c r="E76" i="31" s="1"/>
  <c r="B76" i="31"/>
  <c r="C76" i="31" s="1"/>
  <c r="F75" i="31"/>
  <c r="G75" i="31" s="1"/>
  <c r="D75" i="31"/>
  <c r="E75" i="31" s="1"/>
  <c r="B75" i="31"/>
  <c r="C75" i="31" s="1"/>
  <c r="F74" i="31"/>
  <c r="G74" i="31" s="1"/>
  <c r="D74" i="31"/>
  <c r="E74" i="31" s="1"/>
  <c r="B74" i="31"/>
  <c r="C74" i="31" s="1"/>
  <c r="F73" i="31"/>
  <c r="G73" i="31" s="1"/>
  <c r="D73" i="31"/>
  <c r="E73" i="31" s="1"/>
  <c r="B73" i="31"/>
  <c r="C73" i="31" s="1"/>
  <c r="F62" i="31"/>
  <c r="G62" i="31" s="1"/>
  <c r="D62" i="31"/>
  <c r="E62" i="31" s="1"/>
  <c r="B62" i="31"/>
  <c r="C62" i="31" s="1"/>
  <c r="F61" i="31"/>
  <c r="G61" i="31" s="1"/>
  <c r="D61" i="31"/>
  <c r="E61" i="31" s="1"/>
  <c r="B61" i="31"/>
  <c r="C61" i="31" s="1"/>
  <c r="F60" i="31"/>
  <c r="G60" i="31" s="1"/>
  <c r="D60" i="31"/>
  <c r="E60" i="31" s="1"/>
  <c r="B60" i="31"/>
  <c r="C60" i="31" s="1"/>
  <c r="F59" i="31"/>
  <c r="G59" i="31" s="1"/>
  <c r="D59" i="31"/>
  <c r="E59" i="31" s="1"/>
  <c r="B59" i="31"/>
  <c r="C59" i="31" s="1"/>
  <c r="F58" i="31"/>
  <c r="G58" i="31" s="1"/>
  <c r="D58" i="31"/>
  <c r="E58" i="31" s="1"/>
  <c r="B58" i="31"/>
  <c r="C58" i="31" s="1"/>
  <c r="F57" i="31"/>
  <c r="G57" i="31" s="1"/>
  <c r="D57" i="31"/>
  <c r="E57" i="31" s="1"/>
  <c r="B57" i="31"/>
  <c r="C57" i="31" s="1"/>
  <c r="F55" i="31"/>
  <c r="G55" i="31" s="1"/>
  <c r="D55" i="31"/>
  <c r="E55" i="31" s="1"/>
  <c r="B55" i="31"/>
  <c r="C55" i="31" s="1"/>
  <c r="F54" i="31"/>
  <c r="G54" i="31" s="1"/>
  <c r="D54" i="31"/>
  <c r="E54" i="31" s="1"/>
  <c r="B54" i="31"/>
  <c r="C54" i="31" s="1"/>
  <c r="F53" i="31"/>
  <c r="G53" i="31" s="1"/>
  <c r="D53" i="31"/>
  <c r="E53" i="31" s="1"/>
  <c r="B53" i="31"/>
  <c r="C53" i="31" s="1"/>
  <c r="F52" i="31"/>
  <c r="G52" i="31" s="1"/>
  <c r="D52" i="31"/>
  <c r="E52" i="31" s="1"/>
  <c r="B52" i="31"/>
  <c r="C52" i="31" s="1"/>
  <c r="F51" i="31"/>
  <c r="G51" i="31" s="1"/>
  <c r="D51" i="31"/>
  <c r="E51" i="31" s="1"/>
  <c r="B51" i="31"/>
  <c r="C51" i="31" s="1"/>
  <c r="F50" i="31"/>
  <c r="G50" i="31" s="1"/>
  <c r="D50" i="31"/>
  <c r="E50" i="31" s="1"/>
  <c r="B50" i="31"/>
  <c r="C50" i="31" s="1"/>
  <c r="F49" i="31"/>
  <c r="G49" i="31" s="1"/>
  <c r="D49" i="31"/>
  <c r="E49" i="31" s="1"/>
  <c r="B49" i="31"/>
  <c r="C49" i="31" s="1"/>
  <c r="F48" i="31"/>
  <c r="G48" i="31" s="1"/>
  <c r="D48" i="31"/>
  <c r="E48" i="31" s="1"/>
  <c r="B48" i="31"/>
  <c r="C48" i="31" s="1"/>
  <c r="F47" i="31"/>
  <c r="G47" i="31" s="1"/>
  <c r="D47" i="31"/>
  <c r="E47" i="31" s="1"/>
  <c r="B47" i="31"/>
  <c r="C47" i="31" s="1"/>
  <c r="F46" i="31"/>
  <c r="G46" i="31" s="1"/>
  <c r="D46" i="31"/>
  <c r="E46" i="31" s="1"/>
  <c r="B46" i="31"/>
  <c r="C46" i="31" s="1"/>
  <c r="F45" i="31"/>
  <c r="G45" i="31" s="1"/>
  <c r="D45" i="31"/>
  <c r="E45" i="31" s="1"/>
  <c r="B45" i="31"/>
  <c r="C45" i="31" s="1"/>
  <c r="F44" i="31"/>
  <c r="G44" i="31" s="1"/>
  <c r="D44" i="31"/>
  <c r="E44" i="31" s="1"/>
  <c r="B44" i="31"/>
  <c r="C44" i="31" s="1"/>
  <c r="F42" i="31"/>
  <c r="G42" i="31" s="1"/>
  <c r="D42" i="31"/>
  <c r="E42" i="31" s="1"/>
  <c r="B42" i="31"/>
  <c r="C42" i="31" s="1"/>
  <c r="F41" i="31"/>
  <c r="G41" i="31" s="1"/>
  <c r="D41" i="31"/>
  <c r="E41" i="31" s="1"/>
  <c r="B41" i="31"/>
  <c r="C41" i="31" s="1"/>
  <c r="F40" i="31"/>
  <c r="G40" i="31" s="1"/>
  <c r="D40" i="31"/>
  <c r="E40" i="31" s="1"/>
  <c r="B40" i="31"/>
  <c r="C40" i="31" s="1"/>
  <c r="F38" i="31"/>
  <c r="G38" i="31" s="1"/>
  <c r="D38" i="31"/>
  <c r="E38" i="31" s="1"/>
  <c r="B38" i="31"/>
  <c r="C38" i="31" s="1"/>
  <c r="F37" i="31"/>
  <c r="G37" i="31" s="1"/>
  <c r="D37" i="31"/>
  <c r="E37" i="31" s="1"/>
  <c r="B37" i="31"/>
  <c r="C37" i="31" s="1"/>
  <c r="H6" i="31" s="1"/>
  <c r="I6" i="31" s="1"/>
  <c r="L6" i="31" s="1"/>
  <c r="M6" i="31" s="1"/>
  <c r="N6" i="31" s="1"/>
  <c r="J36" i="31"/>
  <c r="K36" i="31" s="1"/>
  <c r="H36" i="31"/>
  <c r="I36" i="31" s="1"/>
  <c r="G36" i="31"/>
  <c r="E36" i="31"/>
  <c r="C36" i="31"/>
  <c r="J35" i="31"/>
  <c r="K35" i="31" s="1"/>
  <c r="H35" i="31"/>
  <c r="I35" i="31" s="1"/>
  <c r="G35" i="31"/>
  <c r="E35" i="31"/>
  <c r="C35" i="31"/>
  <c r="J34" i="31"/>
  <c r="K34" i="31" s="1"/>
  <c r="H34" i="31"/>
  <c r="I34" i="31" s="1"/>
  <c r="G34" i="31"/>
  <c r="E34" i="31"/>
  <c r="C34" i="31"/>
  <c r="J33" i="31"/>
  <c r="H33" i="31"/>
  <c r="G33" i="31"/>
  <c r="E33" i="31"/>
  <c r="C33" i="31"/>
  <c r="J32" i="31"/>
  <c r="K32" i="31" s="1"/>
  <c r="H32" i="31"/>
  <c r="G32" i="31"/>
  <c r="E32" i="31"/>
  <c r="C32" i="31"/>
  <c r="J31" i="31"/>
  <c r="H31" i="31"/>
  <c r="I31" i="31" s="1"/>
  <c r="G31" i="31"/>
  <c r="E31" i="31"/>
  <c r="C31" i="31"/>
  <c r="J30" i="31"/>
  <c r="H30" i="31"/>
  <c r="G30" i="31"/>
  <c r="E30" i="31"/>
  <c r="C30" i="31"/>
  <c r="J29" i="31"/>
  <c r="H29" i="31"/>
  <c r="G29" i="31"/>
  <c r="E29" i="31"/>
  <c r="C29" i="31"/>
  <c r="J28" i="31"/>
  <c r="H28" i="31"/>
  <c r="G28" i="31"/>
  <c r="E28" i="31"/>
  <c r="C28" i="31"/>
  <c r="J27" i="31"/>
  <c r="H27" i="31"/>
  <c r="G27" i="31"/>
  <c r="E27" i="31"/>
  <c r="C27" i="31"/>
  <c r="J26" i="31"/>
  <c r="K26" i="31" s="1"/>
  <c r="H26" i="31"/>
  <c r="I26" i="31" s="1"/>
  <c r="G26" i="31"/>
  <c r="E26" i="31"/>
  <c r="C26" i="31"/>
  <c r="J25" i="31"/>
  <c r="H25" i="31"/>
  <c r="G25" i="31"/>
  <c r="E25" i="31"/>
  <c r="C25" i="31"/>
  <c r="J24" i="31"/>
  <c r="K24" i="31" s="1"/>
  <c r="H24" i="31"/>
  <c r="I24" i="31" s="1"/>
  <c r="G24" i="31"/>
  <c r="E24" i="31"/>
  <c r="C24" i="31"/>
  <c r="J23" i="31"/>
  <c r="H23" i="31"/>
  <c r="G23" i="31"/>
  <c r="E23" i="31"/>
  <c r="C23" i="31"/>
  <c r="J22" i="31"/>
  <c r="K22" i="31" s="1"/>
  <c r="H22" i="31"/>
  <c r="I22" i="31" s="1"/>
  <c r="G22" i="31"/>
  <c r="E22" i="31"/>
  <c r="C22" i="31"/>
  <c r="J21" i="31"/>
  <c r="H21" i="31"/>
  <c r="G21" i="31"/>
  <c r="E21" i="31"/>
  <c r="C21" i="31"/>
  <c r="J20" i="31"/>
  <c r="H20" i="31"/>
  <c r="G20" i="31"/>
  <c r="E20" i="31"/>
  <c r="C20" i="31"/>
  <c r="J19" i="31"/>
  <c r="H19" i="31"/>
  <c r="G19" i="31"/>
  <c r="E19" i="31"/>
  <c r="C19" i="31"/>
  <c r="J18" i="31"/>
  <c r="H18" i="31"/>
  <c r="G18" i="31"/>
  <c r="E18" i="31"/>
  <c r="C18" i="31"/>
  <c r="J17" i="31"/>
  <c r="K17" i="31" s="1"/>
  <c r="H17" i="31"/>
  <c r="I17" i="31" s="1"/>
  <c r="G17" i="31"/>
  <c r="E17" i="31"/>
  <c r="C17" i="31"/>
  <c r="J16" i="31"/>
  <c r="K16" i="31" s="1"/>
  <c r="H16" i="31"/>
  <c r="I16" i="31" s="1"/>
  <c r="G16" i="31"/>
  <c r="E16" i="31"/>
  <c r="C16" i="31"/>
  <c r="J15" i="31"/>
  <c r="K15" i="31" s="1"/>
  <c r="H15" i="31"/>
  <c r="I15" i="31" s="1"/>
  <c r="G15" i="31"/>
  <c r="E15" i="31"/>
  <c r="C15" i="31"/>
  <c r="J14" i="31"/>
  <c r="K14" i="31" s="1"/>
  <c r="H14" i="31"/>
  <c r="I14" i="31" s="1"/>
  <c r="G14" i="31"/>
  <c r="E14" i="31"/>
  <c r="C14" i="31"/>
  <c r="J13" i="31"/>
  <c r="K13" i="31" s="1"/>
  <c r="H13" i="31"/>
  <c r="I13" i="31" s="1"/>
  <c r="G13" i="31"/>
  <c r="E13" i="31"/>
  <c r="C13" i="31"/>
  <c r="I29" i="31" l="1"/>
  <c r="H71" i="31"/>
  <c r="I30" i="31"/>
  <c r="H72" i="31"/>
  <c r="I18" i="31"/>
  <c r="H39" i="31"/>
  <c r="K29" i="31"/>
  <c r="J71" i="31"/>
  <c r="J39" i="31"/>
  <c r="J72" i="31"/>
  <c r="I41" i="31"/>
  <c r="I27" i="31"/>
  <c r="H64" i="31"/>
  <c r="J43" i="31"/>
  <c r="J56" i="31"/>
  <c r="J64" i="31"/>
  <c r="H70" i="31"/>
  <c r="J70" i="31"/>
  <c r="I23" i="31"/>
  <c r="H56" i="31"/>
  <c r="I48" i="31"/>
  <c r="I57" i="31"/>
  <c r="I75" i="31"/>
  <c r="I25" i="31"/>
  <c r="H63" i="31"/>
  <c r="I28" i="31"/>
  <c r="H68" i="31"/>
  <c r="H69" i="31"/>
  <c r="H67" i="31"/>
  <c r="H65" i="31"/>
  <c r="H66" i="31"/>
  <c r="H43" i="31"/>
  <c r="K27" i="31"/>
  <c r="J67" i="31"/>
  <c r="J65" i="31"/>
  <c r="J66" i="31"/>
  <c r="I19" i="31"/>
  <c r="K25" i="31"/>
  <c r="J63" i="31"/>
  <c r="K28" i="31"/>
  <c r="J68" i="31"/>
  <c r="J69" i="31"/>
  <c r="I59" i="31"/>
  <c r="E39" i="32"/>
  <c r="E25" i="32"/>
  <c r="E27" i="32"/>
  <c r="E31" i="32"/>
  <c r="I23" i="32"/>
  <c r="E35" i="32"/>
  <c r="E22" i="32"/>
  <c r="M25" i="32"/>
  <c r="M38" i="32"/>
  <c r="M39" i="32"/>
  <c r="M35" i="32"/>
  <c r="M36" i="32"/>
  <c r="M32" i="32"/>
  <c r="M33" i="32"/>
  <c r="M26" i="32"/>
  <c r="M30" i="32"/>
  <c r="M31" i="32"/>
  <c r="M37" i="32"/>
  <c r="M20" i="32"/>
  <c r="M24" i="32"/>
  <c r="M27" i="32"/>
  <c r="M28" i="32"/>
  <c r="M29" i="32"/>
  <c r="M22" i="32"/>
  <c r="M34" i="32"/>
  <c r="M40" i="32"/>
  <c r="J48" i="31"/>
  <c r="I27" i="32"/>
  <c r="I28" i="32"/>
  <c r="I35" i="32"/>
  <c r="I36" i="32"/>
  <c r="I31" i="32"/>
  <c r="I32" i="32"/>
  <c r="I39" i="32"/>
  <c r="I40" i="32"/>
  <c r="H40" i="31"/>
  <c r="H48" i="31"/>
  <c r="I19" i="32"/>
  <c r="I24" i="32"/>
  <c r="I26" i="32"/>
  <c r="I33" i="32"/>
  <c r="I34" i="32"/>
  <c r="H77" i="31"/>
  <c r="I47" i="31"/>
  <c r="I55" i="31"/>
  <c r="I74" i="31"/>
  <c r="I29" i="32"/>
  <c r="I30" i="32"/>
  <c r="I37" i="32"/>
  <c r="I38" i="32"/>
  <c r="K58" i="31"/>
  <c r="J38" i="31"/>
  <c r="H42" i="31"/>
  <c r="K20" i="31"/>
  <c r="H49" i="31"/>
  <c r="H58" i="31"/>
  <c r="J73" i="31"/>
  <c r="H76" i="31"/>
  <c r="H78" i="31"/>
  <c r="E28" i="32"/>
  <c r="E32" i="32"/>
  <c r="E36" i="32"/>
  <c r="E40" i="32"/>
  <c r="J52" i="31"/>
  <c r="J78" i="31"/>
  <c r="I50" i="31"/>
  <c r="I77" i="31"/>
  <c r="E24" i="32"/>
  <c r="E29" i="32"/>
  <c r="E33" i="32"/>
  <c r="E37" i="32"/>
  <c r="J44" i="31"/>
  <c r="K21" i="31"/>
  <c r="J61" i="31"/>
  <c r="J75" i="31"/>
  <c r="K33" i="31"/>
  <c r="E18" i="32"/>
  <c r="E26" i="32"/>
  <c r="E30" i="32"/>
  <c r="E34" i="32"/>
  <c r="E38" i="32"/>
  <c r="I51" i="31"/>
  <c r="K51" i="31"/>
  <c r="H7" i="31"/>
  <c r="I7" i="31" s="1"/>
  <c r="L7" i="31" s="1"/>
  <c r="M7" i="31" s="1"/>
  <c r="N7" i="31" s="1"/>
  <c r="K37" i="31"/>
  <c r="H5" i="31"/>
  <c r="I5" i="31" s="1"/>
  <c r="L5" i="31" s="1"/>
  <c r="M5" i="31" s="1"/>
  <c r="N5" i="31" s="1"/>
  <c r="H4" i="31"/>
  <c r="I4" i="31" s="1"/>
  <c r="L4" i="31" s="1"/>
  <c r="I37" i="31"/>
  <c r="K49" i="31"/>
  <c r="I60" i="31"/>
  <c r="K60" i="31"/>
  <c r="K76" i="31"/>
  <c r="K42" i="31"/>
  <c r="I42" i="31"/>
  <c r="I78" i="31"/>
  <c r="K78" i="31"/>
  <c r="I45" i="31"/>
  <c r="K45" i="31"/>
  <c r="I62" i="31"/>
  <c r="K62" i="31"/>
  <c r="I38" i="31"/>
  <c r="K40" i="31"/>
  <c r="I40" i="31"/>
  <c r="I53" i="31"/>
  <c r="K53" i="31"/>
  <c r="K38" i="31"/>
  <c r="K41" i="31"/>
  <c r="K44" i="31"/>
  <c r="K46" i="31"/>
  <c r="H46" i="31"/>
  <c r="H47" i="31"/>
  <c r="J49" i="31"/>
  <c r="J50" i="31"/>
  <c r="K54" i="31"/>
  <c r="H54" i="31"/>
  <c r="H55" i="31"/>
  <c r="J58" i="31"/>
  <c r="J59" i="31"/>
  <c r="K73" i="31"/>
  <c r="H73" i="31"/>
  <c r="H74" i="31"/>
  <c r="J76" i="31"/>
  <c r="J77" i="31"/>
  <c r="E17" i="32"/>
  <c r="B41" i="32"/>
  <c r="I18" i="32"/>
  <c r="M19" i="32"/>
  <c r="E21" i="32"/>
  <c r="K19" i="31"/>
  <c r="I21" i="31"/>
  <c r="K23" i="31"/>
  <c r="K31" i="31"/>
  <c r="I33" i="31"/>
  <c r="J37" i="31"/>
  <c r="H38" i="31"/>
  <c r="J40" i="31"/>
  <c r="H41" i="31"/>
  <c r="J42" i="31"/>
  <c r="H44" i="31"/>
  <c r="H45" i="31"/>
  <c r="I46" i="31"/>
  <c r="J47" i="31"/>
  <c r="K52" i="31"/>
  <c r="H52" i="31"/>
  <c r="H53" i="31"/>
  <c r="I54" i="31"/>
  <c r="J55" i="31"/>
  <c r="J57" i="31"/>
  <c r="K61" i="31"/>
  <c r="H61" i="31"/>
  <c r="H62" i="31"/>
  <c r="I73" i="31"/>
  <c r="J74" i="31"/>
  <c r="K18" i="31"/>
  <c r="I20" i="31"/>
  <c r="K30" i="31"/>
  <c r="I32" i="31"/>
  <c r="I44" i="31"/>
  <c r="J45" i="31"/>
  <c r="J46" i="31"/>
  <c r="K47" i="31"/>
  <c r="K50" i="31"/>
  <c r="H50" i="31"/>
  <c r="H51" i="31"/>
  <c r="I52" i="31"/>
  <c r="J53" i="31"/>
  <c r="J54" i="31"/>
  <c r="K55" i="31"/>
  <c r="K59" i="31"/>
  <c r="H59" i="31"/>
  <c r="H60" i="31"/>
  <c r="I61" i="31"/>
  <c r="J62" i="31"/>
  <c r="K74" i="31"/>
  <c r="K77" i="31"/>
  <c r="M17" i="32"/>
  <c r="J41" i="32"/>
  <c r="E19" i="32"/>
  <c r="I20" i="32"/>
  <c r="M21" i="32"/>
  <c r="I22" i="32"/>
  <c r="I25" i="32"/>
  <c r="BH25" i="32"/>
  <c r="H37" i="31"/>
  <c r="J41" i="31"/>
  <c r="K48" i="31"/>
  <c r="I49" i="31"/>
  <c r="J51" i="31"/>
  <c r="K57" i="31"/>
  <c r="H57" i="31"/>
  <c r="I58" i="31"/>
  <c r="J60" i="31"/>
  <c r="K75" i="31"/>
  <c r="H75" i="31"/>
  <c r="I76" i="31"/>
  <c r="F41" i="32"/>
  <c r="I17" i="32"/>
  <c r="M18" i="32"/>
  <c r="E20" i="32"/>
  <c r="I21" i="32"/>
  <c r="E23" i="32"/>
  <c r="M23" i="32"/>
  <c r="N16" i="32"/>
  <c r="I41" i="32" l="1"/>
  <c r="M6" i="32"/>
  <c r="M7" i="32" s="1"/>
  <c r="M41" i="32"/>
  <c r="E41" i="32"/>
  <c r="L8" i="31"/>
  <c r="M4" i="31"/>
  <c r="N4" i="31" s="1"/>
  <c r="M8" i="32" l="1"/>
  <c r="M9" i="32" s="1"/>
  <c r="M10" i="32" s="1"/>
  <c r="M11" i="32" l="1"/>
  <c r="M12" i="32" s="1"/>
  <c r="T41" i="30" l="1"/>
  <c r="C13" i="29"/>
  <c r="C14" i="29"/>
  <c r="C15" i="29"/>
  <c r="C16" i="29"/>
  <c r="C17" i="29"/>
  <c r="BC41" i="30" l="1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S41" i="30"/>
  <c r="R41" i="30"/>
  <c r="Q41" i="30"/>
  <c r="P41" i="30"/>
  <c r="O41" i="30"/>
  <c r="N41" i="30"/>
  <c r="K40" i="30"/>
  <c r="L40" i="30" s="1"/>
  <c r="J40" i="30"/>
  <c r="G40" i="30"/>
  <c r="H40" i="30" s="1"/>
  <c r="F40" i="30"/>
  <c r="C40" i="30"/>
  <c r="D40" i="30" s="1"/>
  <c r="B40" i="30"/>
  <c r="K39" i="30"/>
  <c r="L39" i="30" s="1"/>
  <c r="J39" i="30"/>
  <c r="G39" i="30"/>
  <c r="H39" i="30" s="1"/>
  <c r="F39" i="30"/>
  <c r="C39" i="30"/>
  <c r="D39" i="30" s="1"/>
  <c r="B39" i="30"/>
  <c r="K38" i="30"/>
  <c r="L38" i="30" s="1"/>
  <c r="J38" i="30"/>
  <c r="G38" i="30"/>
  <c r="H38" i="30" s="1"/>
  <c r="F38" i="30"/>
  <c r="C38" i="30"/>
  <c r="D38" i="30" s="1"/>
  <c r="B38" i="30"/>
  <c r="K37" i="30"/>
  <c r="L37" i="30" s="1"/>
  <c r="J37" i="30"/>
  <c r="G37" i="30"/>
  <c r="H37" i="30" s="1"/>
  <c r="F37" i="30"/>
  <c r="C37" i="30"/>
  <c r="D37" i="30" s="1"/>
  <c r="B37" i="30"/>
  <c r="K36" i="30"/>
  <c r="L36" i="30" s="1"/>
  <c r="J36" i="30"/>
  <c r="G36" i="30"/>
  <c r="H36" i="30" s="1"/>
  <c r="F36" i="30"/>
  <c r="C36" i="30"/>
  <c r="D36" i="30" s="1"/>
  <c r="B36" i="30"/>
  <c r="K35" i="30"/>
  <c r="L35" i="30" s="1"/>
  <c r="J35" i="30"/>
  <c r="G35" i="30"/>
  <c r="H35" i="30" s="1"/>
  <c r="F35" i="30"/>
  <c r="C35" i="30"/>
  <c r="D35" i="30" s="1"/>
  <c r="B35" i="30"/>
  <c r="K34" i="30"/>
  <c r="L34" i="30" s="1"/>
  <c r="J34" i="30"/>
  <c r="G34" i="30"/>
  <c r="H34" i="30" s="1"/>
  <c r="F34" i="30"/>
  <c r="C34" i="30"/>
  <c r="D34" i="30" s="1"/>
  <c r="B34" i="30"/>
  <c r="K33" i="30"/>
  <c r="L33" i="30" s="1"/>
  <c r="J33" i="30"/>
  <c r="G33" i="30"/>
  <c r="H33" i="30" s="1"/>
  <c r="F33" i="30"/>
  <c r="C33" i="30"/>
  <c r="D33" i="30" s="1"/>
  <c r="B33" i="30"/>
  <c r="K32" i="30"/>
  <c r="L32" i="30" s="1"/>
  <c r="J32" i="30"/>
  <c r="G32" i="30"/>
  <c r="H32" i="30" s="1"/>
  <c r="F32" i="30"/>
  <c r="C32" i="30"/>
  <c r="D32" i="30" s="1"/>
  <c r="B32" i="30"/>
  <c r="K31" i="30"/>
  <c r="L31" i="30" s="1"/>
  <c r="J31" i="30"/>
  <c r="G31" i="30"/>
  <c r="H31" i="30" s="1"/>
  <c r="F31" i="30"/>
  <c r="C31" i="30"/>
  <c r="D31" i="30" s="1"/>
  <c r="B31" i="30"/>
  <c r="K30" i="30"/>
  <c r="L30" i="30" s="1"/>
  <c r="J30" i="30"/>
  <c r="G30" i="30"/>
  <c r="H30" i="30" s="1"/>
  <c r="F30" i="30"/>
  <c r="C30" i="30"/>
  <c r="D30" i="30" s="1"/>
  <c r="B30" i="30"/>
  <c r="K29" i="30"/>
  <c r="L29" i="30" s="1"/>
  <c r="J29" i="30"/>
  <c r="G29" i="30"/>
  <c r="H29" i="30" s="1"/>
  <c r="F29" i="30"/>
  <c r="C29" i="30"/>
  <c r="D29" i="30" s="1"/>
  <c r="B29" i="30"/>
  <c r="K28" i="30"/>
  <c r="L28" i="30" s="1"/>
  <c r="J28" i="30"/>
  <c r="G28" i="30"/>
  <c r="H28" i="30" s="1"/>
  <c r="F28" i="30"/>
  <c r="C28" i="30"/>
  <c r="D28" i="30" s="1"/>
  <c r="B28" i="30"/>
  <c r="K27" i="30"/>
  <c r="L27" i="30" s="1"/>
  <c r="J27" i="30"/>
  <c r="G27" i="30"/>
  <c r="H27" i="30" s="1"/>
  <c r="F27" i="30"/>
  <c r="C27" i="30"/>
  <c r="D27" i="30" s="1"/>
  <c r="B27" i="30"/>
  <c r="K26" i="30"/>
  <c r="L26" i="30" s="1"/>
  <c r="J26" i="30"/>
  <c r="G26" i="30"/>
  <c r="H26" i="30" s="1"/>
  <c r="F26" i="30"/>
  <c r="C26" i="30"/>
  <c r="D26" i="30" s="1"/>
  <c r="B26" i="30"/>
  <c r="BG25" i="30"/>
  <c r="K25" i="30"/>
  <c r="L25" i="30" s="1"/>
  <c r="J25" i="30"/>
  <c r="G25" i="30"/>
  <c r="H25" i="30" s="1"/>
  <c r="F25" i="30"/>
  <c r="C25" i="30"/>
  <c r="D25" i="30" s="1"/>
  <c r="B25" i="30"/>
  <c r="BF24" i="30"/>
  <c r="K24" i="30"/>
  <c r="L24" i="30" s="1"/>
  <c r="J24" i="30"/>
  <c r="G24" i="30"/>
  <c r="H24" i="30" s="1"/>
  <c r="F24" i="30"/>
  <c r="C24" i="30"/>
  <c r="D24" i="30" s="1"/>
  <c r="B24" i="30"/>
  <c r="BF23" i="30"/>
  <c r="K23" i="30"/>
  <c r="L23" i="30" s="1"/>
  <c r="J23" i="30"/>
  <c r="G23" i="30"/>
  <c r="H23" i="30" s="1"/>
  <c r="F23" i="30"/>
  <c r="C23" i="30"/>
  <c r="D23" i="30" s="1"/>
  <c r="E23" i="30" s="1"/>
  <c r="B23" i="30"/>
  <c r="BF22" i="30"/>
  <c r="K22" i="30"/>
  <c r="L22" i="30" s="1"/>
  <c r="J22" i="30"/>
  <c r="G22" i="30"/>
  <c r="H22" i="30" s="1"/>
  <c r="F22" i="30"/>
  <c r="C22" i="30"/>
  <c r="D22" i="30" s="1"/>
  <c r="B22" i="30"/>
  <c r="K21" i="30"/>
  <c r="L21" i="30" s="1"/>
  <c r="J21" i="30"/>
  <c r="G21" i="30"/>
  <c r="H21" i="30" s="1"/>
  <c r="F21" i="30"/>
  <c r="C21" i="30"/>
  <c r="D21" i="30" s="1"/>
  <c r="B21" i="30"/>
  <c r="K20" i="30"/>
  <c r="L20" i="30" s="1"/>
  <c r="J20" i="30"/>
  <c r="G20" i="30"/>
  <c r="H20" i="30" s="1"/>
  <c r="F20" i="30"/>
  <c r="C20" i="30"/>
  <c r="D20" i="30" s="1"/>
  <c r="B20" i="30"/>
  <c r="K19" i="30"/>
  <c r="L19" i="30" s="1"/>
  <c r="J19" i="30"/>
  <c r="G19" i="30"/>
  <c r="H19" i="30" s="1"/>
  <c r="F19" i="30"/>
  <c r="C19" i="30"/>
  <c r="D19" i="30" s="1"/>
  <c r="B19" i="30"/>
  <c r="K18" i="30"/>
  <c r="L18" i="30" s="1"/>
  <c r="J18" i="30"/>
  <c r="G18" i="30"/>
  <c r="H18" i="30" s="1"/>
  <c r="F18" i="30"/>
  <c r="C18" i="30"/>
  <c r="D18" i="30" s="1"/>
  <c r="B18" i="30"/>
  <c r="BF17" i="30"/>
  <c r="K17" i="30"/>
  <c r="L17" i="30" s="1"/>
  <c r="J17" i="30"/>
  <c r="G17" i="30"/>
  <c r="H17" i="30" s="1"/>
  <c r="I17" i="30" s="1"/>
  <c r="F17" i="30"/>
  <c r="C17" i="30"/>
  <c r="D17" i="30" s="1"/>
  <c r="B17" i="30"/>
  <c r="P16" i="30"/>
  <c r="BF6" i="30"/>
  <c r="BE6" i="30"/>
  <c r="Q16" i="30" s="1"/>
  <c r="F59" i="29"/>
  <c r="G59" i="29" s="1"/>
  <c r="D59" i="29"/>
  <c r="E59" i="29" s="1"/>
  <c r="B59" i="29"/>
  <c r="C59" i="29" s="1"/>
  <c r="F58" i="29"/>
  <c r="G58" i="29" s="1"/>
  <c r="D58" i="29"/>
  <c r="E58" i="29" s="1"/>
  <c r="B58" i="29"/>
  <c r="C58" i="29" s="1"/>
  <c r="G57" i="29"/>
  <c r="F57" i="29"/>
  <c r="D57" i="29"/>
  <c r="E57" i="29" s="1"/>
  <c r="B57" i="29"/>
  <c r="C57" i="29" s="1"/>
  <c r="F51" i="29"/>
  <c r="G51" i="29" s="1"/>
  <c r="D51" i="29"/>
  <c r="E51" i="29" s="1"/>
  <c r="B51" i="29"/>
  <c r="C51" i="29" s="1"/>
  <c r="F50" i="29"/>
  <c r="G50" i="29" s="1"/>
  <c r="D50" i="29"/>
  <c r="E50" i="29" s="1"/>
  <c r="B50" i="29"/>
  <c r="C50" i="29" s="1"/>
  <c r="F49" i="29"/>
  <c r="G49" i="29" s="1"/>
  <c r="D49" i="29"/>
  <c r="E49" i="29" s="1"/>
  <c r="B49" i="29"/>
  <c r="C49" i="29" s="1"/>
  <c r="F44" i="29"/>
  <c r="G44" i="29" s="1"/>
  <c r="D44" i="29"/>
  <c r="E44" i="29" s="1"/>
  <c r="B44" i="29"/>
  <c r="C44" i="29" s="1"/>
  <c r="F42" i="29"/>
  <c r="G42" i="29" s="1"/>
  <c r="D42" i="29"/>
  <c r="E42" i="29" s="1"/>
  <c r="B42" i="29"/>
  <c r="C42" i="29" s="1"/>
  <c r="F41" i="29"/>
  <c r="G41" i="29" s="1"/>
  <c r="D41" i="29"/>
  <c r="E41" i="29" s="1"/>
  <c r="B41" i="29"/>
  <c r="C41" i="29" s="1"/>
  <c r="F38" i="29"/>
  <c r="G38" i="29" s="1"/>
  <c r="D38" i="29"/>
  <c r="E38" i="29" s="1"/>
  <c r="B38" i="29"/>
  <c r="C38" i="29" s="1"/>
  <c r="F37" i="29"/>
  <c r="G37" i="29" s="1"/>
  <c r="D37" i="29"/>
  <c r="E37" i="29" s="1"/>
  <c r="B37" i="29"/>
  <c r="C37" i="29" s="1"/>
  <c r="H6" i="29" s="1"/>
  <c r="I6" i="29" s="1"/>
  <c r="L6" i="29" s="1"/>
  <c r="M6" i="29" s="1"/>
  <c r="N6" i="29" s="1"/>
  <c r="J36" i="29"/>
  <c r="K36" i="29" s="1"/>
  <c r="H36" i="29"/>
  <c r="I36" i="29" s="1"/>
  <c r="G36" i="29"/>
  <c r="E36" i="29"/>
  <c r="C36" i="29"/>
  <c r="J35" i="29"/>
  <c r="K35" i="29" s="1"/>
  <c r="H35" i="29"/>
  <c r="I35" i="29" s="1"/>
  <c r="G35" i="29"/>
  <c r="E35" i="29"/>
  <c r="C35" i="29"/>
  <c r="J34" i="29"/>
  <c r="H34" i="29"/>
  <c r="G34" i="29"/>
  <c r="E34" i="29"/>
  <c r="C34" i="29"/>
  <c r="J33" i="29"/>
  <c r="K33" i="29" s="1"/>
  <c r="H33" i="29"/>
  <c r="G33" i="29"/>
  <c r="E33" i="29"/>
  <c r="C33" i="29"/>
  <c r="J32" i="29"/>
  <c r="H32" i="29"/>
  <c r="G32" i="29"/>
  <c r="E32" i="29"/>
  <c r="C32" i="29"/>
  <c r="J31" i="29"/>
  <c r="H31" i="29"/>
  <c r="I31" i="29" s="1"/>
  <c r="G31" i="29"/>
  <c r="E31" i="29"/>
  <c r="C31" i="29"/>
  <c r="J30" i="29"/>
  <c r="J72" i="29" s="1"/>
  <c r="H30" i="29"/>
  <c r="G30" i="29"/>
  <c r="E30" i="29"/>
  <c r="C30" i="29"/>
  <c r="J29" i="29"/>
  <c r="H29" i="29"/>
  <c r="G29" i="29"/>
  <c r="E29" i="29"/>
  <c r="C29" i="29"/>
  <c r="J28" i="29"/>
  <c r="H28" i="29"/>
  <c r="G28" i="29"/>
  <c r="E28" i="29"/>
  <c r="C28" i="29"/>
  <c r="J27" i="29"/>
  <c r="H27" i="29"/>
  <c r="G27" i="29"/>
  <c r="E27" i="29"/>
  <c r="C27" i="29"/>
  <c r="J26" i="29"/>
  <c r="K26" i="29" s="1"/>
  <c r="H26" i="29"/>
  <c r="I26" i="29" s="1"/>
  <c r="G26" i="29"/>
  <c r="E26" i="29"/>
  <c r="C26" i="29"/>
  <c r="J25" i="29"/>
  <c r="K25" i="29" s="1"/>
  <c r="H25" i="29"/>
  <c r="I25" i="29" s="1"/>
  <c r="G25" i="29"/>
  <c r="E25" i="29"/>
  <c r="C25" i="29"/>
  <c r="J24" i="29"/>
  <c r="K24" i="29" s="1"/>
  <c r="H24" i="29"/>
  <c r="I24" i="29" s="1"/>
  <c r="G24" i="29"/>
  <c r="E24" i="29"/>
  <c r="C24" i="29"/>
  <c r="J23" i="29"/>
  <c r="H23" i="29"/>
  <c r="G23" i="29"/>
  <c r="E23" i="29"/>
  <c r="C23" i="29"/>
  <c r="J22" i="29"/>
  <c r="K22" i="29" s="1"/>
  <c r="H22" i="29"/>
  <c r="G22" i="29"/>
  <c r="E22" i="29"/>
  <c r="C22" i="29"/>
  <c r="J21" i="29"/>
  <c r="K21" i="29" s="1"/>
  <c r="H21" i="29"/>
  <c r="I21" i="29" s="1"/>
  <c r="G21" i="29"/>
  <c r="E21" i="29"/>
  <c r="C21" i="29"/>
  <c r="J20" i="29"/>
  <c r="H20" i="29"/>
  <c r="I20" i="29" s="1"/>
  <c r="G20" i="29"/>
  <c r="E20" i="29"/>
  <c r="C20" i="29"/>
  <c r="J19" i="29"/>
  <c r="H19" i="29"/>
  <c r="G19" i="29"/>
  <c r="E19" i="29"/>
  <c r="C19" i="29"/>
  <c r="J18" i="29"/>
  <c r="K18" i="29" s="1"/>
  <c r="H18" i="29"/>
  <c r="G18" i="29"/>
  <c r="E18" i="29"/>
  <c r="C18" i="29"/>
  <c r="J17" i="29"/>
  <c r="K17" i="29" s="1"/>
  <c r="H17" i="29"/>
  <c r="I17" i="29" s="1"/>
  <c r="G17" i="29"/>
  <c r="E17" i="29"/>
  <c r="J16" i="29"/>
  <c r="K16" i="29" s="1"/>
  <c r="H16" i="29"/>
  <c r="I16" i="29" s="1"/>
  <c r="G16" i="29"/>
  <c r="E16" i="29"/>
  <c r="J15" i="29"/>
  <c r="K15" i="29" s="1"/>
  <c r="H15" i="29"/>
  <c r="I15" i="29" s="1"/>
  <c r="G15" i="29"/>
  <c r="E15" i="29"/>
  <c r="J14" i="29"/>
  <c r="K14" i="29" s="1"/>
  <c r="H14" i="29"/>
  <c r="I14" i="29" s="1"/>
  <c r="G14" i="29"/>
  <c r="E14" i="29"/>
  <c r="J13" i="29"/>
  <c r="K13" i="29" s="1"/>
  <c r="H13" i="29"/>
  <c r="I13" i="29" s="1"/>
  <c r="G13" i="29"/>
  <c r="E13" i="29"/>
  <c r="I29" i="29" l="1"/>
  <c r="H71" i="29"/>
  <c r="K29" i="29"/>
  <c r="J71" i="29"/>
  <c r="H72" i="29"/>
  <c r="H64" i="29"/>
  <c r="J64" i="29"/>
  <c r="I23" i="29"/>
  <c r="H56" i="29"/>
  <c r="K23" i="29"/>
  <c r="J56" i="29"/>
  <c r="K28" i="29"/>
  <c r="I28" i="29"/>
  <c r="I19" i="29"/>
  <c r="H43" i="29"/>
  <c r="J43" i="29"/>
  <c r="I27" i="29"/>
  <c r="K27" i="29"/>
  <c r="B41" i="30"/>
  <c r="I34" i="29"/>
  <c r="K34" i="29"/>
  <c r="K57" i="29"/>
  <c r="I36" i="30"/>
  <c r="M19" i="30"/>
  <c r="M29" i="30"/>
  <c r="I19" i="30"/>
  <c r="I23" i="30"/>
  <c r="J41" i="30"/>
  <c r="M23" i="30"/>
  <c r="E17" i="30"/>
  <c r="M17" i="30"/>
  <c r="M22" i="30"/>
  <c r="M30" i="30"/>
  <c r="M37" i="30"/>
  <c r="M38" i="30"/>
  <c r="M24" i="30"/>
  <c r="M25" i="30"/>
  <c r="M26" i="30"/>
  <c r="M33" i="30"/>
  <c r="M34" i="30"/>
  <c r="M40" i="30"/>
  <c r="I25" i="30"/>
  <c r="I28" i="30"/>
  <c r="I40" i="30"/>
  <c r="I29" i="30"/>
  <c r="I32" i="30"/>
  <c r="K51" i="29"/>
  <c r="I33" i="30"/>
  <c r="K44" i="29"/>
  <c r="I22" i="30"/>
  <c r="I24" i="30"/>
  <c r="I37" i="30"/>
  <c r="M20" i="30"/>
  <c r="M21" i="30"/>
  <c r="M18" i="30"/>
  <c r="I18" i="30"/>
  <c r="I20" i="30"/>
  <c r="I21" i="30"/>
  <c r="E19" i="30"/>
  <c r="E27" i="30"/>
  <c r="E39" i="30"/>
  <c r="E25" i="30"/>
  <c r="E35" i="30"/>
  <c r="E31" i="30"/>
  <c r="J41" i="29"/>
  <c r="K50" i="29"/>
  <c r="E20" i="30"/>
  <c r="E28" i="30"/>
  <c r="E32" i="30"/>
  <c r="E36" i="30"/>
  <c r="E40" i="30"/>
  <c r="H38" i="29"/>
  <c r="E21" i="30"/>
  <c r="H41" i="29"/>
  <c r="I51" i="29"/>
  <c r="K59" i="29"/>
  <c r="E18" i="30"/>
  <c r="E22" i="30"/>
  <c r="I58" i="29"/>
  <c r="K58" i="29"/>
  <c r="I41" i="29"/>
  <c r="K41" i="29"/>
  <c r="I38" i="29"/>
  <c r="K38" i="29"/>
  <c r="I49" i="29"/>
  <c r="K49" i="29"/>
  <c r="K37" i="29"/>
  <c r="H5" i="29"/>
  <c r="I5" i="29" s="1"/>
  <c r="L5" i="29" s="1"/>
  <c r="M5" i="29" s="1"/>
  <c r="N5" i="29" s="1"/>
  <c r="I37" i="29"/>
  <c r="H4" i="29"/>
  <c r="I4" i="29" s="1"/>
  <c r="L4" i="29" s="1"/>
  <c r="H7" i="29"/>
  <c r="I7" i="29" s="1"/>
  <c r="L7" i="29" s="1"/>
  <c r="M7" i="29" s="1"/>
  <c r="N7" i="29" s="1"/>
  <c r="K42" i="29"/>
  <c r="I42" i="29"/>
  <c r="H37" i="29"/>
  <c r="J38" i="29"/>
  <c r="I50" i="29"/>
  <c r="I59" i="29"/>
  <c r="I18" i="29"/>
  <c r="J44" i="29"/>
  <c r="K20" i="29"/>
  <c r="I22" i="29"/>
  <c r="I30" i="29"/>
  <c r="J42" i="29"/>
  <c r="H57" i="29"/>
  <c r="K19" i="29"/>
  <c r="K31" i="29"/>
  <c r="I33" i="29"/>
  <c r="J37" i="29"/>
  <c r="I44" i="29"/>
  <c r="I57" i="29"/>
  <c r="F41" i="30"/>
  <c r="BF25" i="30"/>
  <c r="BH25" i="30" s="1"/>
  <c r="E24" i="30"/>
  <c r="I26" i="30"/>
  <c r="M27" i="30"/>
  <c r="E29" i="30"/>
  <c r="I30" i="30"/>
  <c r="M31" i="30"/>
  <c r="E33" i="30"/>
  <c r="I34" i="30"/>
  <c r="M35" i="30"/>
  <c r="E37" i="30"/>
  <c r="I38" i="30"/>
  <c r="M39" i="30"/>
  <c r="H51" i="29"/>
  <c r="H49" i="29"/>
  <c r="J59" i="29"/>
  <c r="J57" i="29"/>
  <c r="K32" i="29"/>
  <c r="H44" i="29"/>
  <c r="J51" i="29"/>
  <c r="H42" i="29"/>
  <c r="J50" i="29"/>
  <c r="H58" i="29"/>
  <c r="K30" i="29"/>
  <c r="I32" i="29"/>
  <c r="J49" i="29"/>
  <c r="H50" i="29"/>
  <c r="J58" i="29"/>
  <c r="H59" i="29"/>
  <c r="E26" i="30"/>
  <c r="I27" i="30"/>
  <c r="M28" i="30"/>
  <c r="E30" i="30"/>
  <c r="I31" i="30"/>
  <c r="M32" i="30"/>
  <c r="E34" i="30"/>
  <c r="I35" i="30"/>
  <c r="M36" i="30"/>
  <c r="E38" i="30"/>
  <c r="I39" i="30"/>
  <c r="N16" i="30"/>
  <c r="R16" i="30"/>
  <c r="O16" i="30"/>
  <c r="I41" i="30" l="1"/>
  <c r="M6" i="30"/>
  <c r="M7" i="30" s="1"/>
  <c r="M41" i="30"/>
  <c r="E41" i="30"/>
  <c r="L8" i="29"/>
  <c r="M4" i="29"/>
  <c r="N4" i="29" s="1"/>
  <c r="M8" i="30" l="1"/>
  <c r="M9" i="30" s="1"/>
  <c r="M10" i="30" s="1"/>
  <c r="M11" i="30" l="1"/>
  <c r="M12" i="30" s="1"/>
  <c r="B37" i="19" l="1"/>
  <c r="B38" i="19"/>
  <c r="B40" i="19"/>
  <c r="F54" i="27" l="1"/>
  <c r="G54" i="27" s="1"/>
  <c r="D54" i="27"/>
  <c r="E54" i="27" s="1"/>
  <c r="C54" i="27"/>
  <c r="G54" i="23"/>
  <c r="F54" i="23"/>
  <c r="D54" i="23"/>
  <c r="E54" i="23" s="1"/>
  <c r="B54" i="23"/>
  <c r="C54" i="23" s="1"/>
  <c r="F54" i="21"/>
  <c r="G54" i="21" s="1"/>
  <c r="D54" i="21"/>
  <c r="E54" i="21" s="1"/>
  <c r="B54" i="21"/>
  <c r="C54" i="21" s="1"/>
  <c r="F54" i="19"/>
  <c r="G54" i="19" s="1"/>
  <c r="D54" i="19"/>
  <c r="E54" i="19" s="1"/>
  <c r="B54" i="19"/>
  <c r="C54" i="19" s="1"/>
  <c r="K54" i="27" l="1"/>
  <c r="K54" i="23"/>
  <c r="K54" i="21"/>
  <c r="I54" i="27"/>
  <c r="I54" i="23"/>
  <c r="I54" i="21"/>
  <c r="K54" i="19"/>
  <c r="I54" i="19"/>
  <c r="K18" i="28"/>
  <c r="L18" i="28" s="1"/>
  <c r="M18" i="28" s="1"/>
  <c r="K19" i="28"/>
  <c r="L19" i="28" s="1"/>
  <c r="M19" i="28" s="1"/>
  <c r="K20" i="28"/>
  <c r="L20" i="28" s="1"/>
  <c r="M20" i="28" s="1"/>
  <c r="K21" i="28"/>
  <c r="L21" i="28" s="1"/>
  <c r="M21" i="28" s="1"/>
  <c r="K22" i="28"/>
  <c r="K23" i="28"/>
  <c r="L23" i="28" s="1"/>
  <c r="K24" i="28"/>
  <c r="L24" i="28" s="1"/>
  <c r="K25" i="28"/>
  <c r="L25" i="28" s="1"/>
  <c r="M25" i="28" s="1"/>
  <c r="K26" i="28"/>
  <c r="K27" i="28"/>
  <c r="L27" i="28" s="1"/>
  <c r="K28" i="28"/>
  <c r="L28" i="28" s="1"/>
  <c r="K29" i="28"/>
  <c r="L29" i="28" s="1"/>
  <c r="K30" i="28"/>
  <c r="K31" i="28"/>
  <c r="K32" i="28"/>
  <c r="K33" i="28"/>
  <c r="L33" i="28" s="1"/>
  <c r="K34" i="28"/>
  <c r="K35" i="28"/>
  <c r="K36" i="28"/>
  <c r="L36" i="28" s="1"/>
  <c r="K37" i="28"/>
  <c r="L37" i="28" s="1"/>
  <c r="K38" i="28"/>
  <c r="K39" i="28"/>
  <c r="K40" i="28"/>
  <c r="K17" i="28"/>
  <c r="L17" i="28" s="1"/>
  <c r="M17" i="28" s="1"/>
  <c r="G18" i="28"/>
  <c r="H18" i="28" s="1"/>
  <c r="I18" i="28" s="1"/>
  <c r="G19" i="28"/>
  <c r="H19" i="28" s="1"/>
  <c r="I19" i="28" s="1"/>
  <c r="G20" i="28"/>
  <c r="H20" i="28" s="1"/>
  <c r="I20" i="28" s="1"/>
  <c r="G21" i="28"/>
  <c r="H21" i="28" s="1"/>
  <c r="I21" i="28" s="1"/>
  <c r="G22" i="28"/>
  <c r="G23" i="28"/>
  <c r="G24" i="28"/>
  <c r="H24" i="28" s="1"/>
  <c r="G25" i="28"/>
  <c r="H25" i="28" s="1"/>
  <c r="I25" i="28" s="1"/>
  <c r="G26" i="28"/>
  <c r="G27" i="28"/>
  <c r="G28" i="28"/>
  <c r="H28" i="28" s="1"/>
  <c r="G29" i="28"/>
  <c r="H29" i="28" s="1"/>
  <c r="G30" i="28"/>
  <c r="G31" i="28"/>
  <c r="G32" i="28"/>
  <c r="H32" i="28" s="1"/>
  <c r="G33" i="28"/>
  <c r="H33" i="28" s="1"/>
  <c r="G34" i="28"/>
  <c r="G35" i="28"/>
  <c r="G36" i="28"/>
  <c r="H36" i="28" s="1"/>
  <c r="G37" i="28"/>
  <c r="H37" i="28" s="1"/>
  <c r="G38" i="28"/>
  <c r="G39" i="28"/>
  <c r="G40" i="28"/>
  <c r="H40" i="28" s="1"/>
  <c r="G17" i="28"/>
  <c r="H17" i="28" s="1"/>
  <c r="I17" i="28" s="1"/>
  <c r="C18" i="28"/>
  <c r="D18" i="28" s="1"/>
  <c r="E18" i="28" s="1"/>
  <c r="C19" i="28"/>
  <c r="D19" i="28" s="1"/>
  <c r="E19" i="28" s="1"/>
  <c r="C20" i="28"/>
  <c r="D20" i="28" s="1"/>
  <c r="E20" i="28" s="1"/>
  <c r="C21" i="28"/>
  <c r="D21" i="28" s="1"/>
  <c r="E21" i="28" s="1"/>
  <c r="C22" i="28"/>
  <c r="D22" i="28" s="1"/>
  <c r="E22" i="28" s="1"/>
  <c r="C23" i="28"/>
  <c r="D23" i="28" s="1"/>
  <c r="C24" i="28"/>
  <c r="D24" i="28" s="1"/>
  <c r="C25" i="28"/>
  <c r="D25" i="28" s="1"/>
  <c r="E25" i="28" s="1"/>
  <c r="C26" i="28"/>
  <c r="D26" i="28" s="1"/>
  <c r="C27" i="28"/>
  <c r="D27" i="28" s="1"/>
  <c r="C28" i="28"/>
  <c r="D28" i="28" s="1"/>
  <c r="C29" i="28"/>
  <c r="D29" i="28" s="1"/>
  <c r="C30" i="28"/>
  <c r="D30" i="28" s="1"/>
  <c r="C31" i="28"/>
  <c r="C32" i="28"/>
  <c r="D32" i="28" s="1"/>
  <c r="C33" i="28"/>
  <c r="D33" i="28" s="1"/>
  <c r="C34" i="28"/>
  <c r="D34" i="28" s="1"/>
  <c r="C35" i="28"/>
  <c r="C36" i="28"/>
  <c r="D36" i="28" s="1"/>
  <c r="C37" i="28"/>
  <c r="D37" i="28" s="1"/>
  <c r="C38" i="28"/>
  <c r="C39" i="28"/>
  <c r="C40" i="28"/>
  <c r="D40" i="28" s="1"/>
  <c r="C17" i="28"/>
  <c r="BE6" i="28"/>
  <c r="O16" i="28" s="1"/>
  <c r="BF6" i="28"/>
  <c r="N16" i="28"/>
  <c r="P16" i="28"/>
  <c r="Q16" i="28"/>
  <c r="R16" i="28"/>
  <c r="B17" i="28"/>
  <c r="D17" i="28"/>
  <c r="E17" i="28" s="1"/>
  <c r="F17" i="28"/>
  <c r="J17" i="28"/>
  <c r="B18" i="28"/>
  <c r="F18" i="28"/>
  <c r="J18" i="28"/>
  <c r="B19" i="28"/>
  <c r="F19" i="28"/>
  <c r="J19" i="28"/>
  <c r="B20" i="28"/>
  <c r="F20" i="28"/>
  <c r="J20" i="28"/>
  <c r="B21" i="28"/>
  <c r="F21" i="28"/>
  <c r="J21" i="28"/>
  <c r="B22" i="28"/>
  <c r="F22" i="28"/>
  <c r="H22" i="28"/>
  <c r="I22" i="28" s="1"/>
  <c r="J22" i="28"/>
  <c r="L22" i="28"/>
  <c r="M22" i="28" s="1"/>
  <c r="BF22" i="28"/>
  <c r="B23" i="28"/>
  <c r="F23" i="28"/>
  <c r="F41" i="28" s="1"/>
  <c r="H23" i="28"/>
  <c r="J23" i="28"/>
  <c r="BF23" i="28"/>
  <c r="BF25" i="28" s="1"/>
  <c r="BH25" i="28" s="1"/>
  <c r="B24" i="28"/>
  <c r="F24" i="28"/>
  <c r="J24" i="28"/>
  <c r="BF24" i="28"/>
  <c r="B25" i="28"/>
  <c r="F25" i="28"/>
  <c r="J25" i="28"/>
  <c r="BG25" i="28"/>
  <c r="B26" i="28"/>
  <c r="F26" i="28"/>
  <c r="H26" i="28"/>
  <c r="J26" i="28"/>
  <c r="L26" i="28"/>
  <c r="B27" i="28"/>
  <c r="F27" i="28"/>
  <c r="H27" i="28"/>
  <c r="J27" i="28"/>
  <c r="B28" i="28"/>
  <c r="F28" i="28"/>
  <c r="J28" i="28"/>
  <c r="B29" i="28"/>
  <c r="F29" i="28"/>
  <c r="J29" i="28"/>
  <c r="B30" i="28"/>
  <c r="F30" i="28"/>
  <c r="H30" i="28"/>
  <c r="J30" i="28"/>
  <c r="L30" i="28"/>
  <c r="B31" i="28"/>
  <c r="D31" i="28"/>
  <c r="F31" i="28"/>
  <c r="H31" i="28"/>
  <c r="J31" i="28"/>
  <c r="L31" i="28"/>
  <c r="B32" i="28"/>
  <c r="F32" i="28"/>
  <c r="J32" i="28"/>
  <c r="L32" i="28"/>
  <c r="B33" i="28"/>
  <c r="F33" i="28"/>
  <c r="J33" i="28"/>
  <c r="B34" i="28"/>
  <c r="F34" i="28"/>
  <c r="H34" i="28"/>
  <c r="J34" i="28"/>
  <c r="L34" i="28"/>
  <c r="B35" i="28"/>
  <c r="D35" i="28"/>
  <c r="F35" i="28"/>
  <c r="H35" i="28"/>
  <c r="J35" i="28"/>
  <c r="L35" i="28"/>
  <c r="B36" i="28"/>
  <c r="F36" i="28"/>
  <c r="J36" i="28"/>
  <c r="B37" i="28"/>
  <c r="F37" i="28"/>
  <c r="J37" i="28"/>
  <c r="B38" i="28"/>
  <c r="D38" i="28"/>
  <c r="F38" i="28"/>
  <c r="H38" i="28"/>
  <c r="J38" i="28"/>
  <c r="L38" i="28"/>
  <c r="B39" i="28"/>
  <c r="D39" i="28"/>
  <c r="F39" i="28"/>
  <c r="H39" i="28"/>
  <c r="J39" i="28"/>
  <c r="L39" i="28"/>
  <c r="B40" i="28"/>
  <c r="F40" i="28"/>
  <c r="J40" i="28"/>
  <c r="L40" i="28"/>
  <c r="B41" i="28"/>
  <c r="M6" i="28" s="1"/>
  <c r="M7" i="28" s="1"/>
  <c r="J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AP41" i="28"/>
  <c r="AQ41" i="28"/>
  <c r="AR41" i="28"/>
  <c r="AS41" i="28"/>
  <c r="AT41" i="28"/>
  <c r="AU41" i="28"/>
  <c r="AV41" i="28"/>
  <c r="AW41" i="28"/>
  <c r="AX41" i="28"/>
  <c r="AY41" i="28"/>
  <c r="AZ41" i="28"/>
  <c r="BA41" i="28"/>
  <c r="BB41" i="28"/>
  <c r="BC41" i="28"/>
  <c r="C13" i="27"/>
  <c r="E13" i="27"/>
  <c r="G13" i="27"/>
  <c r="H13" i="27"/>
  <c r="I13" i="27" s="1"/>
  <c r="J13" i="27"/>
  <c r="K13" i="27" s="1"/>
  <c r="C14" i="27"/>
  <c r="E14" i="27"/>
  <c r="G14" i="27"/>
  <c r="H14" i="27"/>
  <c r="I14" i="27" s="1"/>
  <c r="J14" i="27"/>
  <c r="K14" i="27" s="1"/>
  <c r="C15" i="27"/>
  <c r="E15" i="27"/>
  <c r="G15" i="27"/>
  <c r="H15" i="27"/>
  <c r="I15" i="27" s="1"/>
  <c r="J15" i="27"/>
  <c r="K15" i="27" s="1"/>
  <c r="C16" i="27"/>
  <c r="E16" i="27"/>
  <c r="G16" i="27"/>
  <c r="H16" i="27"/>
  <c r="I16" i="27" s="1"/>
  <c r="J16" i="27"/>
  <c r="K16" i="27" s="1"/>
  <c r="C17" i="27"/>
  <c r="E17" i="27"/>
  <c r="G17" i="27"/>
  <c r="H17" i="27"/>
  <c r="I17" i="27" s="1"/>
  <c r="J17" i="27"/>
  <c r="K17" i="27" s="1"/>
  <c r="C18" i="27"/>
  <c r="E18" i="27"/>
  <c r="G18" i="27"/>
  <c r="H18" i="27"/>
  <c r="I18" i="27" s="1"/>
  <c r="J18" i="27"/>
  <c r="K18" i="27"/>
  <c r="C19" i="27"/>
  <c r="E19" i="27"/>
  <c r="G19" i="27"/>
  <c r="H19" i="27"/>
  <c r="J19" i="27"/>
  <c r="C20" i="27"/>
  <c r="E20" i="27"/>
  <c r="G20" i="27"/>
  <c r="H20" i="27"/>
  <c r="I20" i="27" s="1"/>
  <c r="J20" i="27"/>
  <c r="K20" i="27"/>
  <c r="C21" i="27"/>
  <c r="E21" i="27"/>
  <c r="G21" i="27"/>
  <c r="H21" i="27"/>
  <c r="J21" i="27"/>
  <c r="C22" i="27"/>
  <c r="E22" i="27"/>
  <c r="G22" i="27"/>
  <c r="H22" i="27"/>
  <c r="I22" i="27" s="1"/>
  <c r="J22" i="27"/>
  <c r="K22" i="27" s="1"/>
  <c r="C23" i="27"/>
  <c r="E23" i="27"/>
  <c r="G23" i="27"/>
  <c r="H23" i="27"/>
  <c r="J23" i="27"/>
  <c r="C24" i="27"/>
  <c r="E24" i="27"/>
  <c r="G24" i="27"/>
  <c r="H24" i="27"/>
  <c r="I24" i="27" s="1"/>
  <c r="J24" i="27"/>
  <c r="K24" i="27" s="1"/>
  <c r="C25" i="27"/>
  <c r="E25" i="27"/>
  <c r="G25" i="27"/>
  <c r="H25" i="27"/>
  <c r="J25" i="27"/>
  <c r="C26" i="27"/>
  <c r="E26" i="27"/>
  <c r="G26" i="27"/>
  <c r="H26" i="27"/>
  <c r="I26" i="27" s="1"/>
  <c r="J26" i="27"/>
  <c r="K26" i="27"/>
  <c r="C27" i="27"/>
  <c r="E27" i="27"/>
  <c r="G27" i="27"/>
  <c r="H27" i="27"/>
  <c r="J27" i="27"/>
  <c r="C28" i="27"/>
  <c r="E28" i="27"/>
  <c r="G28" i="27"/>
  <c r="H28" i="27"/>
  <c r="I28" i="27" s="1"/>
  <c r="J28" i="27"/>
  <c r="K28" i="27"/>
  <c r="C29" i="27"/>
  <c r="E29" i="27"/>
  <c r="G29" i="27"/>
  <c r="H29" i="27"/>
  <c r="I29" i="27" s="1"/>
  <c r="J29" i="27"/>
  <c r="K29" i="27" s="1"/>
  <c r="C30" i="27"/>
  <c r="E30" i="27"/>
  <c r="G30" i="27"/>
  <c r="H30" i="27"/>
  <c r="I30" i="27" s="1"/>
  <c r="J30" i="27"/>
  <c r="K30" i="27" s="1"/>
  <c r="C31" i="27"/>
  <c r="E31" i="27"/>
  <c r="G31" i="27"/>
  <c r="H31" i="27"/>
  <c r="I31" i="27" s="1"/>
  <c r="J31" i="27"/>
  <c r="K31" i="27" s="1"/>
  <c r="C32" i="27"/>
  <c r="E32" i="27"/>
  <c r="G32" i="27"/>
  <c r="H32" i="27"/>
  <c r="I32" i="27" s="1"/>
  <c r="J32" i="27"/>
  <c r="K32" i="27" s="1"/>
  <c r="C33" i="27"/>
  <c r="E33" i="27"/>
  <c r="G33" i="27"/>
  <c r="H33" i="27"/>
  <c r="I33" i="27" s="1"/>
  <c r="J33" i="27"/>
  <c r="K33" i="27" s="1"/>
  <c r="C34" i="27"/>
  <c r="E34" i="27"/>
  <c r="G34" i="27"/>
  <c r="H34" i="27"/>
  <c r="I34" i="27" s="1"/>
  <c r="J34" i="27"/>
  <c r="K34" i="27"/>
  <c r="C35" i="27"/>
  <c r="E35" i="27"/>
  <c r="G35" i="27"/>
  <c r="H35" i="27"/>
  <c r="I35" i="27" s="1"/>
  <c r="J35" i="27"/>
  <c r="K35" i="27" s="1"/>
  <c r="C36" i="27"/>
  <c r="E36" i="27"/>
  <c r="G36" i="27"/>
  <c r="H36" i="27"/>
  <c r="I36" i="27" s="1"/>
  <c r="J36" i="27"/>
  <c r="K36" i="27"/>
  <c r="B37" i="27"/>
  <c r="C37" i="27" s="1"/>
  <c r="D37" i="27"/>
  <c r="E37" i="27" s="1"/>
  <c r="F37" i="27"/>
  <c r="G37" i="27" s="1"/>
  <c r="B38" i="27"/>
  <c r="C38" i="27" s="1"/>
  <c r="D38" i="27"/>
  <c r="E38" i="27" s="1"/>
  <c r="F38" i="27"/>
  <c r="G38" i="27"/>
  <c r="B40" i="27"/>
  <c r="C40" i="27" s="1"/>
  <c r="D40" i="27"/>
  <c r="E40" i="27"/>
  <c r="F40" i="27"/>
  <c r="G40" i="27" s="1"/>
  <c r="B41" i="27"/>
  <c r="C41" i="27"/>
  <c r="D41" i="27"/>
  <c r="E41" i="27" s="1"/>
  <c r="F41" i="27"/>
  <c r="G41" i="27"/>
  <c r="B42" i="27"/>
  <c r="C42" i="27" s="1"/>
  <c r="D42" i="27"/>
  <c r="E42" i="27"/>
  <c r="F42" i="27"/>
  <c r="G42" i="27" s="1"/>
  <c r="B44" i="27"/>
  <c r="C44" i="27"/>
  <c r="D44" i="27"/>
  <c r="E44" i="27" s="1"/>
  <c r="F44" i="27"/>
  <c r="G44" i="27"/>
  <c r="B45" i="27"/>
  <c r="C45" i="27" s="1"/>
  <c r="D45" i="27"/>
  <c r="E45" i="27"/>
  <c r="F45" i="27"/>
  <c r="G45" i="27" s="1"/>
  <c r="B46" i="27"/>
  <c r="C46" i="27"/>
  <c r="D46" i="27"/>
  <c r="E46" i="27" s="1"/>
  <c r="F46" i="27"/>
  <c r="G46" i="27"/>
  <c r="B47" i="27"/>
  <c r="C47" i="27" s="1"/>
  <c r="D47" i="27"/>
  <c r="E47" i="27"/>
  <c r="F47" i="27"/>
  <c r="G47" i="27" s="1"/>
  <c r="B48" i="27"/>
  <c r="C48" i="27"/>
  <c r="D48" i="27"/>
  <c r="E48" i="27" s="1"/>
  <c r="F48" i="27"/>
  <c r="G48" i="27"/>
  <c r="B49" i="27"/>
  <c r="C49" i="27" s="1"/>
  <c r="D49" i="27"/>
  <c r="E49" i="27"/>
  <c r="F49" i="27"/>
  <c r="G49" i="27" s="1"/>
  <c r="B50" i="27"/>
  <c r="C50" i="27"/>
  <c r="D50" i="27"/>
  <c r="E50" i="27" s="1"/>
  <c r="F50" i="27"/>
  <c r="G50" i="27"/>
  <c r="B51" i="27"/>
  <c r="C51" i="27" s="1"/>
  <c r="D51" i="27"/>
  <c r="E51" i="27"/>
  <c r="F51" i="27"/>
  <c r="G51" i="27" s="1"/>
  <c r="B52" i="27"/>
  <c r="C52" i="27"/>
  <c r="D52" i="27"/>
  <c r="E52" i="27" s="1"/>
  <c r="F52" i="27"/>
  <c r="G52" i="27"/>
  <c r="B53" i="27"/>
  <c r="C53" i="27" s="1"/>
  <c r="D53" i="27"/>
  <c r="E53" i="27"/>
  <c r="F53" i="27"/>
  <c r="G53" i="27" s="1"/>
  <c r="B55" i="27"/>
  <c r="C55" i="27"/>
  <c r="D55" i="27"/>
  <c r="E55" i="27" s="1"/>
  <c r="F55" i="27"/>
  <c r="G55" i="27"/>
  <c r="B57" i="27"/>
  <c r="C57" i="27" s="1"/>
  <c r="D57" i="27"/>
  <c r="E57" i="27"/>
  <c r="F57" i="27"/>
  <c r="G57" i="27" s="1"/>
  <c r="B58" i="27"/>
  <c r="C58" i="27"/>
  <c r="D58" i="27"/>
  <c r="E58" i="27" s="1"/>
  <c r="F58" i="27"/>
  <c r="G58" i="27"/>
  <c r="B59" i="27"/>
  <c r="C59" i="27" s="1"/>
  <c r="D59" i="27"/>
  <c r="E59" i="27"/>
  <c r="F59" i="27"/>
  <c r="G59" i="27" s="1"/>
  <c r="B60" i="27"/>
  <c r="C60" i="27"/>
  <c r="D60" i="27"/>
  <c r="E60" i="27" s="1"/>
  <c r="F60" i="27"/>
  <c r="G60" i="27"/>
  <c r="B61" i="27"/>
  <c r="C61" i="27" s="1"/>
  <c r="D61" i="27"/>
  <c r="E61" i="27"/>
  <c r="F61" i="27"/>
  <c r="G61" i="27" s="1"/>
  <c r="B62" i="27"/>
  <c r="C62" i="27"/>
  <c r="D62" i="27"/>
  <c r="E62" i="27" s="1"/>
  <c r="F62" i="27"/>
  <c r="G62" i="27"/>
  <c r="B73" i="27"/>
  <c r="C73" i="27" s="1"/>
  <c r="D73" i="27"/>
  <c r="E73" i="27"/>
  <c r="F73" i="27"/>
  <c r="G73" i="27" s="1"/>
  <c r="B74" i="27"/>
  <c r="C74" i="27"/>
  <c r="D74" i="27"/>
  <c r="E74" i="27" s="1"/>
  <c r="F74" i="27"/>
  <c r="G74" i="27"/>
  <c r="B75" i="27"/>
  <c r="C75" i="27" s="1"/>
  <c r="D75" i="27"/>
  <c r="E75" i="27"/>
  <c r="F75" i="27"/>
  <c r="G75" i="27" s="1"/>
  <c r="B76" i="27"/>
  <c r="C76" i="27"/>
  <c r="D76" i="27"/>
  <c r="E76" i="27" s="1"/>
  <c r="F76" i="27"/>
  <c r="G76" i="27"/>
  <c r="B77" i="27"/>
  <c r="C77" i="27" s="1"/>
  <c r="D77" i="27"/>
  <c r="E77" i="27"/>
  <c r="F77" i="27"/>
  <c r="G77" i="27" s="1"/>
  <c r="B78" i="27"/>
  <c r="C78" i="27"/>
  <c r="D78" i="27"/>
  <c r="E78" i="27" s="1"/>
  <c r="F78" i="27"/>
  <c r="G78" i="27"/>
  <c r="H4" i="27" l="1"/>
  <c r="I4" i="27" s="1"/>
  <c r="L4" i="27" s="1"/>
  <c r="M4" i="27" s="1"/>
  <c r="N4" i="27" s="1"/>
  <c r="H6" i="27"/>
  <c r="I6" i="27" s="1"/>
  <c r="L6" i="27" s="1"/>
  <c r="M6" i="27" s="1"/>
  <c r="N6" i="27" s="1"/>
  <c r="K77" i="27"/>
  <c r="J64" i="27"/>
  <c r="I37" i="27"/>
  <c r="H64" i="27"/>
  <c r="I76" i="27"/>
  <c r="K73" i="27"/>
  <c r="I62" i="27"/>
  <c r="I59" i="27"/>
  <c r="K57" i="27"/>
  <c r="I55" i="27"/>
  <c r="K52" i="27"/>
  <c r="I51" i="27"/>
  <c r="I50" i="27"/>
  <c r="I48" i="27"/>
  <c r="K45" i="27"/>
  <c r="I42" i="27"/>
  <c r="I41" i="27"/>
  <c r="I40" i="27"/>
  <c r="I38" i="27"/>
  <c r="I23" i="27"/>
  <c r="H56" i="27"/>
  <c r="I78" i="27"/>
  <c r="K75" i="27"/>
  <c r="I74" i="27"/>
  <c r="I61" i="27"/>
  <c r="I60" i="27"/>
  <c r="I58" i="27"/>
  <c r="I53" i="27"/>
  <c r="I52" i="27"/>
  <c r="K49" i="27"/>
  <c r="I47" i="27"/>
  <c r="I44" i="27"/>
  <c r="J70" i="27"/>
  <c r="H70" i="27"/>
  <c r="K23" i="27"/>
  <c r="J56" i="27"/>
  <c r="I45" i="27"/>
  <c r="H68" i="27"/>
  <c r="H69" i="27"/>
  <c r="K27" i="27"/>
  <c r="J67" i="27"/>
  <c r="J65" i="27"/>
  <c r="J66" i="27"/>
  <c r="K25" i="27"/>
  <c r="J63" i="27"/>
  <c r="K21" i="27"/>
  <c r="J54" i="27"/>
  <c r="K19" i="27"/>
  <c r="J43" i="27"/>
  <c r="I27" i="27"/>
  <c r="H65" i="27"/>
  <c r="H67" i="27"/>
  <c r="H66" i="27"/>
  <c r="I25" i="27"/>
  <c r="H63" i="27"/>
  <c r="I21" i="27"/>
  <c r="H54" i="27"/>
  <c r="I19" i="27"/>
  <c r="H43" i="27"/>
  <c r="J68" i="27"/>
  <c r="J69" i="27"/>
  <c r="I46" i="27"/>
  <c r="M39" i="28"/>
  <c r="I36" i="28"/>
  <c r="M35" i="28"/>
  <c r="M32" i="28"/>
  <c r="M36" i="28"/>
  <c r="M34" i="28"/>
  <c r="M23" i="28"/>
  <c r="M40" i="28"/>
  <c r="M38" i="28"/>
  <c r="M37" i="28"/>
  <c r="M33" i="28"/>
  <c r="I37" i="28"/>
  <c r="I38" i="28"/>
  <c r="I34" i="28"/>
  <c r="I33" i="28"/>
  <c r="I39" i="28"/>
  <c r="I35" i="28"/>
  <c r="I40" i="28"/>
  <c r="E40" i="28"/>
  <c r="E39" i="28"/>
  <c r="E38" i="28"/>
  <c r="E37" i="28"/>
  <c r="E36" i="28"/>
  <c r="E34" i="28"/>
  <c r="E33" i="28"/>
  <c r="E23" i="28"/>
  <c r="E35" i="28"/>
  <c r="I32" i="28"/>
  <c r="M31" i="28"/>
  <c r="E31" i="28"/>
  <c r="I30" i="28"/>
  <c r="M29" i="28"/>
  <c r="E29" i="28"/>
  <c r="I28" i="28"/>
  <c r="M27" i="28"/>
  <c r="E27" i="28"/>
  <c r="I26" i="28"/>
  <c r="I24" i="28"/>
  <c r="E32" i="28"/>
  <c r="I31" i="28"/>
  <c r="M30" i="28"/>
  <c r="E30" i="28"/>
  <c r="I29" i="28"/>
  <c r="M28" i="28"/>
  <c r="E28" i="28"/>
  <c r="I27" i="28"/>
  <c r="M26" i="28"/>
  <c r="E26" i="28"/>
  <c r="M24" i="28"/>
  <c r="E24" i="28"/>
  <c r="I23" i="28"/>
  <c r="I77" i="27"/>
  <c r="I75" i="27"/>
  <c r="I57" i="27"/>
  <c r="K50" i="27"/>
  <c r="K48" i="27"/>
  <c r="K46" i="27"/>
  <c r="J78" i="27"/>
  <c r="H77" i="27"/>
  <c r="J76" i="27"/>
  <c r="H75" i="27"/>
  <c r="J74" i="27"/>
  <c r="H73" i="27"/>
  <c r="J62" i="27"/>
  <c r="H61" i="27"/>
  <c r="J60" i="27"/>
  <c r="H59" i="27"/>
  <c r="J58" i="27"/>
  <c r="H57" i="27"/>
  <c r="J55" i="27"/>
  <c r="H53" i="27"/>
  <c r="J52" i="27"/>
  <c r="H51" i="27"/>
  <c r="J50" i="27"/>
  <c r="H49" i="27"/>
  <c r="J48" i="27"/>
  <c r="H47" i="27"/>
  <c r="J46" i="27"/>
  <c r="H45" i="27"/>
  <c r="J44" i="27"/>
  <c r="H42" i="27"/>
  <c r="J41" i="27"/>
  <c r="H40" i="27"/>
  <c r="J38" i="27"/>
  <c r="H37" i="27"/>
  <c r="H7" i="27"/>
  <c r="I7" i="27" s="1"/>
  <c r="L7" i="27" s="1"/>
  <c r="M7" i="27" s="1"/>
  <c r="N7" i="27" s="1"/>
  <c r="K78" i="27"/>
  <c r="K76" i="27"/>
  <c r="K74" i="27"/>
  <c r="K62" i="27"/>
  <c r="K60" i="27"/>
  <c r="K58" i="27"/>
  <c r="K55" i="27"/>
  <c r="I49" i="27"/>
  <c r="K44" i="27"/>
  <c r="K41" i="27"/>
  <c r="K38" i="27"/>
  <c r="K61" i="27"/>
  <c r="K59" i="27"/>
  <c r="K53" i="27"/>
  <c r="K51" i="27"/>
  <c r="K47" i="27"/>
  <c r="K42" i="27"/>
  <c r="K40" i="27"/>
  <c r="K37" i="27"/>
  <c r="H5" i="27"/>
  <c r="I5" i="27" s="1"/>
  <c r="L5" i="27" s="1"/>
  <c r="M5" i="27" s="1"/>
  <c r="N5" i="27" s="1"/>
  <c r="I73" i="27"/>
  <c r="H78" i="27"/>
  <c r="J77" i="27"/>
  <c r="H76" i="27"/>
  <c r="J75" i="27"/>
  <c r="H74" i="27"/>
  <c r="J73" i="27"/>
  <c r="H62" i="27"/>
  <c r="J61" i="27"/>
  <c r="H60" i="27"/>
  <c r="J59" i="27"/>
  <c r="H58" i="27"/>
  <c r="J57" i="27"/>
  <c r="H55" i="27"/>
  <c r="J53" i="27"/>
  <c r="H52" i="27"/>
  <c r="J51" i="27"/>
  <c r="H50" i="27"/>
  <c r="J49" i="27"/>
  <c r="H48" i="27"/>
  <c r="J47" i="27"/>
  <c r="H46" i="27"/>
  <c r="J45" i="27"/>
  <c r="H44" i="27"/>
  <c r="J42" i="27"/>
  <c r="H41" i="27"/>
  <c r="J40" i="27"/>
  <c r="H38" i="27"/>
  <c r="J37" i="27"/>
  <c r="M41" i="28" l="1"/>
  <c r="I41" i="28"/>
  <c r="E41" i="28"/>
  <c r="L8" i="27"/>
  <c r="B21" i="22"/>
  <c r="B22" i="22"/>
  <c r="B30" i="22"/>
  <c r="B29" i="22"/>
  <c r="B28" i="22"/>
  <c r="B27" i="22"/>
  <c r="B26" i="22"/>
  <c r="B25" i="22"/>
  <c r="B24" i="22"/>
  <c r="B23" i="22"/>
  <c r="B20" i="22"/>
  <c r="B19" i="22"/>
  <c r="B18" i="22"/>
  <c r="B17" i="22"/>
  <c r="M8" i="28" l="1"/>
  <c r="M9" i="28" s="1"/>
  <c r="M10" i="28" s="1"/>
  <c r="M11" i="28" s="1"/>
  <c r="M12" i="28" s="1"/>
  <c r="F55" i="19"/>
  <c r="F55" i="21"/>
  <c r="G55" i="21" s="1"/>
  <c r="F55" i="23"/>
  <c r="G55" i="23" s="1"/>
  <c r="D55" i="19"/>
  <c r="D55" i="21"/>
  <c r="E55" i="21" s="1"/>
  <c r="D55" i="23"/>
  <c r="E55" i="23" s="1"/>
  <c r="B55" i="19"/>
  <c r="B55" i="21"/>
  <c r="C55" i="21" s="1"/>
  <c r="B55" i="23"/>
  <c r="C55" i="23" s="1"/>
  <c r="F74" i="21"/>
  <c r="G74" i="21" s="1"/>
  <c r="D74" i="21"/>
  <c r="E74" i="21" s="1"/>
  <c r="B74" i="21"/>
  <c r="C74" i="21" s="1"/>
  <c r="F74" i="23"/>
  <c r="G74" i="23" s="1"/>
  <c r="D74" i="23"/>
  <c r="E74" i="23" s="1"/>
  <c r="B74" i="23"/>
  <c r="C74" i="23" s="1"/>
  <c r="F74" i="19"/>
  <c r="D74" i="19"/>
  <c r="B74" i="19"/>
  <c r="I55" i="23" l="1"/>
  <c r="I55" i="21"/>
  <c r="K55" i="21"/>
  <c r="K55" i="23"/>
  <c r="I74" i="21"/>
  <c r="K74" i="21"/>
  <c r="I74" i="23"/>
  <c r="K74" i="23"/>
  <c r="F48" i="23" l="1"/>
  <c r="G48" i="23" s="1"/>
  <c r="D48" i="23"/>
  <c r="E48" i="23" s="1"/>
  <c r="B48" i="23"/>
  <c r="C48" i="23" s="1"/>
  <c r="F48" i="21"/>
  <c r="G48" i="21" s="1"/>
  <c r="D48" i="21"/>
  <c r="E48" i="21" s="1"/>
  <c r="B48" i="21"/>
  <c r="C48" i="21" s="1"/>
  <c r="F48" i="19"/>
  <c r="D48" i="19"/>
  <c r="B48" i="19"/>
  <c r="I48" i="23" l="1"/>
  <c r="K48" i="23"/>
  <c r="I48" i="21"/>
  <c r="K48" i="21"/>
  <c r="F78" i="23"/>
  <c r="G78" i="23" s="1"/>
  <c r="D78" i="23"/>
  <c r="E78" i="23" s="1"/>
  <c r="B78" i="23"/>
  <c r="C78" i="23" s="1"/>
  <c r="F77" i="23"/>
  <c r="G77" i="23" s="1"/>
  <c r="D77" i="23"/>
  <c r="E77" i="23" s="1"/>
  <c r="B77" i="23"/>
  <c r="C77" i="23" s="1"/>
  <c r="F76" i="23"/>
  <c r="G76" i="23" s="1"/>
  <c r="D76" i="23"/>
  <c r="E76" i="23" s="1"/>
  <c r="B76" i="23"/>
  <c r="C76" i="23" s="1"/>
  <c r="F75" i="23"/>
  <c r="G75" i="23" s="1"/>
  <c r="D75" i="23"/>
  <c r="E75" i="23" s="1"/>
  <c r="B75" i="23"/>
  <c r="C75" i="23" s="1"/>
  <c r="F73" i="23"/>
  <c r="G73" i="23" s="1"/>
  <c r="D73" i="23"/>
  <c r="E73" i="23" s="1"/>
  <c r="B73" i="23"/>
  <c r="C73" i="23" s="1"/>
  <c r="F62" i="23"/>
  <c r="G62" i="23" s="1"/>
  <c r="D62" i="23"/>
  <c r="E62" i="23" s="1"/>
  <c r="B62" i="23"/>
  <c r="C62" i="23" s="1"/>
  <c r="F61" i="23"/>
  <c r="G61" i="23" s="1"/>
  <c r="D61" i="23"/>
  <c r="E61" i="23" s="1"/>
  <c r="B61" i="23"/>
  <c r="C61" i="23" s="1"/>
  <c r="F60" i="23"/>
  <c r="G60" i="23" s="1"/>
  <c r="D60" i="23"/>
  <c r="E60" i="23" s="1"/>
  <c r="B60" i="23"/>
  <c r="C60" i="23" s="1"/>
  <c r="F59" i="23"/>
  <c r="G59" i="23" s="1"/>
  <c r="D59" i="23"/>
  <c r="E59" i="23" s="1"/>
  <c r="B59" i="23"/>
  <c r="C59" i="23" s="1"/>
  <c r="F58" i="23"/>
  <c r="G58" i="23" s="1"/>
  <c r="D58" i="23"/>
  <c r="E58" i="23" s="1"/>
  <c r="B58" i="23"/>
  <c r="C58" i="23" s="1"/>
  <c r="F57" i="23"/>
  <c r="G57" i="23" s="1"/>
  <c r="D57" i="23"/>
  <c r="E57" i="23" s="1"/>
  <c r="B57" i="23"/>
  <c r="C57" i="23" s="1"/>
  <c r="F53" i="23"/>
  <c r="G53" i="23" s="1"/>
  <c r="D53" i="23"/>
  <c r="E53" i="23" s="1"/>
  <c r="B53" i="23"/>
  <c r="C53" i="23" s="1"/>
  <c r="F52" i="23"/>
  <c r="G52" i="23" s="1"/>
  <c r="D52" i="23"/>
  <c r="E52" i="23" s="1"/>
  <c r="B52" i="23"/>
  <c r="C52" i="23" s="1"/>
  <c r="F51" i="23"/>
  <c r="G51" i="23" s="1"/>
  <c r="D51" i="23"/>
  <c r="E51" i="23" s="1"/>
  <c r="B51" i="23"/>
  <c r="C51" i="23" s="1"/>
  <c r="F50" i="23"/>
  <c r="G50" i="23" s="1"/>
  <c r="D50" i="23"/>
  <c r="E50" i="23" s="1"/>
  <c r="B50" i="23"/>
  <c r="C50" i="23" s="1"/>
  <c r="F49" i="23"/>
  <c r="G49" i="23" s="1"/>
  <c r="D49" i="23"/>
  <c r="E49" i="23" s="1"/>
  <c r="B49" i="23"/>
  <c r="C49" i="23" s="1"/>
  <c r="F47" i="23"/>
  <c r="G47" i="23" s="1"/>
  <c r="D47" i="23"/>
  <c r="E47" i="23" s="1"/>
  <c r="B47" i="23"/>
  <c r="C47" i="23" s="1"/>
  <c r="F46" i="23"/>
  <c r="G46" i="23" s="1"/>
  <c r="D46" i="23"/>
  <c r="E46" i="23" s="1"/>
  <c r="B46" i="23"/>
  <c r="C46" i="23" s="1"/>
  <c r="F45" i="23"/>
  <c r="G45" i="23" s="1"/>
  <c r="D45" i="23"/>
  <c r="E45" i="23" s="1"/>
  <c r="B45" i="23"/>
  <c r="C45" i="23" s="1"/>
  <c r="F44" i="23"/>
  <c r="G44" i="23" s="1"/>
  <c r="D44" i="23"/>
  <c r="E44" i="23" s="1"/>
  <c r="B44" i="23"/>
  <c r="C44" i="23" s="1"/>
  <c r="F42" i="23"/>
  <c r="G42" i="23" s="1"/>
  <c r="D42" i="23"/>
  <c r="E42" i="23" s="1"/>
  <c r="B42" i="23"/>
  <c r="C42" i="23" s="1"/>
  <c r="F41" i="23"/>
  <c r="G41" i="23" s="1"/>
  <c r="D41" i="23"/>
  <c r="E41" i="23" s="1"/>
  <c r="B41" i="23"/>
  <c r="C41" i="23" s="1"/>
  <c r="F40" i="23"/>
  <c r="G40" i="23" s="1"/>
  <c r="D40" i="23"/>
  <c r="E40" i="23" s="1"/>
  <c r="B40" i="23"/>
  <c r="C40" i="23" s="1"/>
  <c r="F38" i="23"/>
  <c r="G38" i="23" s="1"/>
  <c r="D38" i="23"/>
  <c r="E38" i="23" s="1"/>
  <c r="B38" i="23"/>
  <c r="C38" i="23" s="1"/>
  <c r="F78" i="21"/>
  <c r="G78" i="21" s="1"/>
  <c r="D78" i="21"/>
  <c r="E78" i="21" s="1"/>
  <c r="B78" i="21"/>
  <c r="C78" i="21" s="1"/>
  <c r="F77" i="21"/>
  <c r="G77" i="21" s="1"/>
  <c r="D77" i="21"/>
  <c r="E77" i="21" s="1"/>
  <c r="B77" i="21"/>
  <c r="C77" i="21" s="1"/>
  <c r="F76" i="21"/>
  <c r="G76" i="21" s="1"/>
  <c r="D76" i="21"/>
  <c r="E76" i="21" s="1"/>
  <c r="B76" i="21"/>
  <c r="C76" i="21" s="1"/>
  <c r="F75" i="21"/>
  <c r="G75" i="21" s="1"/>
  <c r="D75" i="21"/>
  <c r="E75" i="21" s="1"/>
  <c r="B75" i="21"/>
  <c r="C75" i="21" s="1"/>
  <c r="F73" i="21"/>
  <c r="G73" i="21" s="1"/>
  <c r="D73" i="21"/>
  <c r="E73" i="21" s="1"/>
  <c r="B73" i="21"/>
  <c r="C73" i="21" s="1"/>
  <c r="F62" i="21"/>
  <c r="G62" i="21" s="1"/>
  <c r="D62" i="21"/>
  <c r="E62" i="21" s="1"/>
  <c r="B62" i="21"/>
  <c r="C62" i="21" s="1"/>
  <c r="F61" i="21"/>
  <c r="G61" i="21" s="1"/>
  <c r="D61" i="21"/>
  <c r="E61" i="21" s="1"/>
  <c r="B61" i="21"/>
  <c r="C61" i="21" s="1"/>
  <c r="F60" i="21"/>
  <c r="G60" i="21" s="1"/>
  <c r="D60" i="21"/>
  <c r="E60" i="21" s="1"/>
  <c r="B60" i="21"/>
  <c r="C60" i="21" s="1"/>
  <c r="F59" i="21"/>
  <c r="G59" i="21" s="1"/>
  <c r="D59" i="21"/>
  <c r="E59" i="21" s="1"/>
  <c r="B59" i="21"/>
  <c r="C59" i="21" s="1"/>
  <c r="F58" i="21"/>
  <c r="G58" i="21" s="1"/>
  <c r="D58" i="21"/>
  <c r="E58" i="21" s="1"/>
  <c r="B58" i="21"/>
  <c r="C58" i="21" s="1"/>
  <c r="F57" i="21"/>
  <c r="G57" i="21" s="1"/>
  <c r="D57" i="21"/>
  <c r="E57" i="21" s="1"/>
  <c r="B57" i="21"/>
  <c r="C57" i="21" s="1"/>
  <c r="F53" i="21"/>
  <c r="G53" i="21" s="1"/>
  <c r="D53" i="21"/>
  <c r="E53" i="21" s="1"/>
  <c r="B53" i="21"/>
  <c r="C53" i="21" s="1"/>
  <c r="F52" i="21"/>
  <c r="G52" i="21" s="1"/>
  <c r="D52" i="21"/>
  <c r="E52" i="21" s="1"/>
  <c r="B52" i="21"/>
  <c r="C52" i="21" s="1"/>
  <c r="F51" i="21"/>
  <c r="G51" i="21" s="1"/>
  <c r="D51" i="21"/>
  <c r="E51" i="21" s="1"/>
  <c r="B51" i="21"/>
  <c r="C51" i="21" s="1"/>
  <c r="F50" i="21"/>
  <c r="G50" i="21" s="1"/>
  <c r="D50" i="21"/>
  <c r="E50" i="21" s="1"/>
  <c r="B50" i="21"/>
  <c r="C50" i="21" s="1"/>
  <c r="F49" i="21"/>
  <c r="G49" i="21" s="1"/>
  <c r="D49" i="21"/>
  <c r="E49" i="21" s="1"/>
  <c r="B49" i="21"/>
  <c r="C49" i="21" s="1"/>
  <c r="F47" i="21"/>
  <c r="G47" i="21" s="1"/>
  <c r="D47" i="21"/>
  <c r="E47" i="21" s="1"/>
  <c r="B47" i="21"/>
  <c r="C47" i="21" s="1"/>
  <c r="F46" i="21"/>
  <c r="G46" i="21" s="1"/>
  <c r="D46" i="21"/>
  <c r="E46" i="21" s="1"/>
  <c r="B46" i="21"/>
  <c r="C46" i="21" s="1"/>
  <c r="F45" i="21"/>
  <c r="G45" i="21" s="1"/>
  <c r="D45" i="21"/>
  <c r="E45" i="21" s="1"/>
  <c r="B45" i="21"/>
  <c r="C45" i="21" s="1"/>
  <c r="F44" i="21"/>
  <c r="G44" i="21" s="1"/>
  <c r="D44" i="21"/>
  <c r="E44" i="21" s="1"/>
  <c r="B44" i="21"/>
  <c r="C44" i="21" s="1"/>
  <c r="F42" i="21"/>
  <c r="G42" i="21" s="1"/>
  <c r="D42" i="21"/>
  <c r="E42" i="21" s="1"/>
  <c r="B42" i="21"/>
  <c r="C42" i="21" s="1"/>
  <c r="F41" i="21"/>
  <c r="G41" i="21" s="1"/>
  <c r="D41" i="21"/>
  <c r="E41" i="21" s="1"/>
  <c r="B41" i="21"/>
  <c r="C41" i="21" s="1"/>
  <c r="F40" i="21"/>
  <c r="G40" i="21" s="1"/>
  <c r="D40" i="21"/>
  <c r="E40" i="21" s="1"/>
  <c r="B40" i="21"/>
  <c r="C40" i="21" s="1"/>
  <c r="F38" i="21"/>
  <c r="G38" i="21" s="1"/>
  <c r="D38" i="21"/>
  <c r="E38" i="21" s="1"/>
  <c r="B38" i="21"/>
  <c r="C38" i="21" s="1"/>
  <c r="F78" i="19"/>
  <c r="D78" i="19"/>
  <c r="B78" i="19"/>
  <c r="F77" i="19"/>
  <c r="D77" i="19"/>
  <c r="B77" i="19"/>
  <c r="F76" i="19"/>
  <c r="D76" i="19"/>
  <c r="B76" i="19"/>
  <c r="F75" i="19"/>
  <c r="D75" i="19"/>
  <c r="B75" i="19"/>
  <c r="F73" i="19"/>
  <c r="D73" i="19"/>
  <c r="B73" i="19"/>
  <c r="F62" i="19"/>
  <c r="D62" i="19"/>
  <c r="B62" i="19"/>
  <c r="F61" i="19"/>
  <c r="D61" i="19"/>
  <c r="B61" i="19"/>
  <c r="F60" i="19"/>
  <c r="D60" i="19"/>
  <c r="B60" i="19"/>
  <c r="F59" i="19"/>
  <c r="D59" i="19"/>
  <c r="B59" i="19"/>
  <c r="F58" i="19"/>
  <c r="D58" i="19"/>
  <c r="B58" i="19"/>
  <c r="F57" i="19"/>
  <c r="D57" i="19"/>
  <c r="B57" i="19"/>
  <c r="F53" i="19"/>
  <c r="D53" i="19"/>
  <c r="B53" i="19"/>
  <c r="F52" i="19"/>
  <c r="D52" i="19"/>
  <c r="B52" i="19"/>
  <c r="F51" i="19"/>
  <c r="D51" i="19"/>
  <c r="B51" i="19"/>
  <c r="F50" i="19"/>
  <c r="D50" i="19"/>
  <c r="B50" i="19"/>
  <c r="F49" i="19"/>
  <c r="D49" i="19"/>
  <c r="B49" i="19"/>
  <c r="F47" i="19"/>
  <c r="D47" i="19"/>
  <c r="B47" i="19"/>
  <c r="F46" i="19"/>
  <c r="D46" i="19"/>
  <c r="B46" i="19"/>
  <c r="F45" i="19"/>
  <c r="D45" i="19"/>
  <c r="B45" i="19"/>
  <c r="F44" i="19"/>
  <c r="D44" i="19"/>
  <c r="B44" i="19"/>
  <c r="F42" i="19"/>
  <c r="D42" i="19"/>
  <c r="B42" i="19"/>
  <c r="F41" i="19"/>
  <c r="D41" i="19"/>
  <c r="B41" i="19"/>
  <c r="F40" i="19"/>
  <c r="D40" i="19"/>
  <c r="F38" i="19"/>
  <c r="D38" i="19"/>
  <c r="AW41" i="24"/>
  <c r="AX41" i="24"/>
  <c r="AY41" i="24"/>
  <c r="AZ41" i="24"/>
  <c r="BA41" i="24"/>
  <c r="BB41" i="24"/>
  <c r="BC41" i="24"/>
  <c r="B17" i="24"/>
  <c r="B18" i="24"/>
  <c r="B19" i="24"/>
  <c r="B20" i="24"/>
  <c r="B21" i="24"/>
  <c r="F17" i="24"/>
  <c r="F18" i="24"/>
  <c r="F19" i="24"/>
  <c r="F20" i="24"/>
  <c r="F21" i="24"/>
  <c r="J17" i="24"/>
  <c r="J18" i="24"/>
  <c r="J19" i="24"/>
  <c r="J20" i="24"/>
  <c r="J21" i="24"/>
  <c r="J22" i="24"/>
  <c r="K17" i="24"/>
  <c r="L17" i="24" s="1"/>
  <c r="K18" i="24"/>
  <c r="L18" i="24" s="1"/>
  <c r="K19" i="24"/>
  <c r="L19" i="24" s="1"/>
  <c r="K20" i="24"/>
  <c r="L20" i="24" s="1"/>
  <c r="K21" i="24"/>
  <c r="L21" i="24" s="1"/>
  <c r="G17" i="24"/>
  <c r="H17" i="24" s="1"/>
  <c r="G18" i="24"/>
  <c r="H18" i="24" s="1"/>
  <c r="G19" i="24"/>
  <c r="H19" i="24" s="1"/>
  <c r="G20" i="24"/>
  <c r="H20" i="24" s="1"/>
  <c r="G21" i="24"/>
  <c r="H21" i="24" s="1"/>
  <c r="C17" i="24"/>
  <c r="D17" i="24" s="1"/>
  <c r="E17" i="24" s="1"/>
  <c r="C18" i="24"/>
  <c r="D18" i="24" s="1"/>
  <c r="E18" i="24" s="1"/>
  <c r="C19" i="24"/>
  <c r="D19" i="24" s="1"/>
  <c r="E19" i="24" s="1"/>
  <c r="C20" i="24"/>
  <c r="D20" i="24" s="1"/>
  <c r="E20" i="24" s="1"/>
  <c r="C21" i="24"/>
  <c r="D21" i="24" s="1"/>
  <c r="E21" i="24" s="1"/>
  <c r="J13" i="23"/>
  <c r="J14" i="23"/>
  <c r="J15" i="23"/>
  <c r="J16" i="23"/>
  <c r="J17" i="23"/>
  <c r="H13" i="23"/>
  <c r="H14" i="23"/>
  <c r="H15" i="23"/>
  <c r="H16" i="23"/>
  <c r="H17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13" i="23"/>
  <c r="C14" i="23"/>
  <c r="K14" i="23" s="1"/>
  <c r="C15" i="23"/>
  <c r="K15" i="23" s="1"/>
  <c r="C16" i="23"/>
  <c r="K16" i="23" s="1"/>
  <c r="C17" i="23"/>
  <c r="I17" i="23" s="1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13" i="23"/>
  <c r="I16" i="23"/>
  <c r="K42" i="21" l="1"/>
  <c r="K52" i="21"/>
  <c r="K42" i="23"/>
  <c r="K17" i="23"/>
  <c r="K40" i="23"/>
  <c r="K50" i="23"/>
  <c r="K45" i="21"/>
  <c r="K57" i="21"/>
  <c r="K52" i="23"/>
  <c r="K73" i="23"/>
  <c r="K61" i="23"/>
  <c r="I58" i="23"/>
  <c r="K58" i="23"/>
  <c r="I41" i="23"/>
  <c r="K41" i="23"/>
  <c r="K45" i="23"/>
  <c r="I51" i="23"/>
  <c r="K51" i="23"/>
  <c r="K57" i="23"/>
  <c r="I62" i="23"/>
  <c r="K62" i="23"/>
  <c r="K76" i="23"/>
  <c r="I46" i="23"/>
  <c r="K46" i="23"/>
  <c r="I77" i="23"/>
  <c r="K77" i="23"/>
  <c r="I38" i="23"/>
  <c r="K38" i="23"/>
  <c r="I49" i="23"/>
  <c r="K49" i="23"/>
  <c r="I60" i="23"/>
  <c r="K60" i="23"/>
  <c r="I44" i="23"/>
  <c r="K44" i="23"/>
  <c r="K47" i="23"/>
  <c r="I53" i="23"/>
  <c r="K53" i="23"/>
  <c r="K59" i="23"/>
  <c r="I75" i="23"/>
  <c r="K75" i="23"/>
  <c r="K78" i="23"/>
  <c r="I40" i="23"/>
  <c r="I42" i="23"/>
  <c r="I45" i="23"/>
  <c r="I47" i="23"/>
  <c r="I50" i="23"/>
  <c r="I52" i="23"/>
  <c r="I57" i="23"/>
  <c r="I59" i="23"/>
  <c r="I61" i="23"/>
  <c r="I73" i="23"/>
  <c r="I76" i="23"/>
  <c r="I78" i="23"/>
  <c r="K73" i="21"/>
  <c r="K76" i="21"/>
  <c r="I38" i="21"/>
  <c r="K38" i="21"/>
  <c r="I51" i="21"/>
  <c r="K51" i="21"/>
  <c r="I62" i="21"/>
  <c r="K62" i="21"/>
  <c r="I44" i="21"/>
  <c r="K44" i="21"/>
  <c r="K47" i="21"/>
  <c r="I53" i="21"/>
  <c r="K53" i="21"/>
  <c r="K59" i="21"/>
  <c r="I75" i="21"/>
  <c r="K75" i="21"/>
  <c r="K78" i="21"/>
  <c r="I49" i="21"/>
  <c r="K49" i="21"/>
  <c r="I60" i="21"/>
  <c r="K60" i="21"/>
  <c r="I41" i="21"/>
  <c r="K41" i="21"/>
  <c r="K40" i="21"/>
  <c r="I46" i="21"/>
  <c r="K46" i="21"/>
  <c r="K50" i="21"/>
  <c r="I58" i="21"/>
  <c r="K58" i="21"/>
  <c r="K61" i="21"/>
  <c r="I77" i="21"/>
  <c r="K77" i="21"/>
  <c r="I40" i="21"/>
  <c r="I42" i="21"/>
  <c r="I45" i="21"/>
  <c r="I47" i="21"/>
  <c r="I50" i="21"/>
  <c r="I52" i="21"/>
  <c r="I57" i="21"/>
  <c r="I59" i="21"/>
  <c r="I61" i="21"/>
  <c r="I73" i="21"/>
  <c r="I76" i="21"/>
  <c r="I78" i="21"/>
  <c r="I17" i="24"/>
  <c r="I21" i="24"/>
  <c r="I18" i="24"/>
  <c r="M20" i="24"/>
  <c r="I20" i="24"/>
  <c r="I19" i="24"/>
  <c r="M19" i="24"/>
  <c r="M18" i="24"/>
  <c r="M17" i="24"/>
  <c r="M21" i="24"/>
  <c r="I14" i="23"/>
  <c r="I15" i="23"/>
  <c r="BF22" i="24" l="1"/>
  <c r="K22" i="24"/>
  <c r="G22" i="24"/>
  <c r="H22" i="24" s="1"/>
  <c r="F22" i="24"/>
  <c r="C22" i="24"/>
  <c r="D22" i="24" s="1"/>
  <c r="E22" i="24" s="1"/>
  <c r="B22" i="24"/>
  <c r="BE6" i="24"/>
  <c r="Q16" i="24" s="1"/>
  <c r="BF6" i="24"/>
  <c r="BF17" i="24"/>
  <c r="B23" i="24"/>
  <c r="C23" i="24"/>
  <c r="D23" i="24" s="1"/>
  <c r="E23" i="24" s="1"/>
  <c r="F23" i="24"/>
  <c r="G23" i="24"/>
  <c r="H23" i="24" s="1"/>
  <c r="J23" i="24"/>
  <c r="K23" i="24"/>
  <c r="L23" i="24" s="1"/>
  <c r="BF23" i="24"/>
  <c r="B24" i="24"/>
  <c r="C24" i="24"/>
  <c r="F24" i="24"/>
  <c r="G24" i="24"/>
  <c r="H24" i="24" s="1"/>
  <c r="J24" i="24"/>
  <c r="K24" i="24"/>
  <c r="BF24" i="24"/>
  <c r="BF25" i="24" s="1"/>
  <c r="B25" i="24"/>
  <c r="C25" i="24"/>
  <c r="D25" i="24" s="1"/>
  <c r="E25" i="24" s="1"/>
  <c r="F25" i="24"/>
  <c r="G25" i="24"/>
  <c r="H25" i="24" s="1"/>
  <c r="J25" i="24"/>
  <c r="K25" i="24"/>
  <c r="L25" i="24" s="1"/>
  <c r="BG25" i="24"/>
  <c r="B26" i="24"/>
  <c r="C26" i="24"/>
  <c r="D26" i="24" s="1"/>
  <c r="E26" i="24" s="1"/>
  <c r="F26" i="24"/>
  <c r="G26" i="24"/>
  <c r="J26" i="24"/>
  <c r="K26" i="24"/>
  <c r="L26" i="24" s="1"/>
  <c r="B27" i="24"/>
  <c r="C27" i="24"/>
  <c r="F27" i="24"/>
  <c r="G27" i="24"/>
  <c r="H27" i="24" s="1"/>
  <c r="J27" i="24"/>
  <c r="K27" i="24"/>
  <c r="B28" i="24"/>
  <c r="C28" i="24"/>
  <c r="D28" i="24" s="1"/>
  <c r="E28" i="24" s="1"/>
  <c r="F28" i="24"/>
  <c r="G28" i="24"/>
  <c r="J28" i="24"/>
  <c r="K28" i="24"/>
  <c r="L28" i="24" s="1"/>
  <c r="B29" i="24"/>
  <c r="C29" i="24"/>
  <c r="F29" i="24"/>
  <c r="G29" i="24"/>
  <c r="H29" i="24" s="1"/>
  <c r="J29" i="24"/>
  <c r="K29" i="24"/>
  <c r="B30" i="24"/>
  <c r="C30" i="24"/>
  <c r="D30" i="24" s="1"/>
  <c r="E30" i="24" s="1"/>
  <c r="F30" i="24"/>
  <c r="G30" i="24"/>
  <c r="J30" i="24"/>
  <c r="K30" i="24"/>
  <c r="L30" i="24" s="1"/>
  <c r="B31" i="24"/>
  <c r="C31" i="24"/>
  <c r="F31" i="24"/>
  <c r="G31" i="24"/>
  <c r="H31" i="24" s="1"/>
  <c r="J31" i="24"/>
  <c r="K31" i="24"/>
  <c r="B32" i="24"/>
  <c r="C32" i="24"/>
  <c r="D32" i="24" s="1"/>
  <c r="E32" i="24" s="1"/>
  <c r="F32" i="24"/>
  <c r="G32" i="24"/>
  <c r="J32" i="24"/>
  <c r="K32" i="24"/>
  <c r="L32" i="24" s="1"/>
  <c r="B33" i="24"/>
  <c r="C33" i="24"/>
  <c r="F33" i="24"/>
  <c r="G33" i="24"/>
  <c r="H33" i="24" s="1"/>
  <c r="J33" i="24"/>
  <c r="K33" i="24"/>
  <c r="B34" i="24"/>
  <c r="C34" i="24"/>
  <c r="D34" i="24" s="1"/>
  <c r="E34" i="24" s="1"/>
  <c r="F34" i="24"/>
  <c r="G34" i="24"/>
  <c r="J34" i="24"/>
  <c r="K34" i="24"/>
  <c r="L34" i="24" s="1"/>
  <c r="B35" i="24"/>
  <c r="C35" i="24"/>
  <c r="F35" i="24"/>
  <c r="G35" i="24"/>
  <c r="H35" i="24" s="1"/>
  <c r="J35" i="24"/>
  <c r="K35" i="24"/>
  <c r="B36" i="24"/>
  <c r="C36" i="24"/>
  <c r="D36" i="24" s="1"/>
  <c r="E36" i="24" s="1"/>
  <c r="F36" i="24"/>
  <c r="G36" i="24"/>
  <c r="J36" i="24"/>
  <c r="K36" i="24"/>
  <c r="L36" i="24" s="1"/>
  <c r="B37" i="24"/>
  <c r="C37" i="24"/>
  <c r="F37" i="24"/>
  <c r="G37" i="24"/>
  <c r="H37" i="24" s="1"/>
  <c r="J37" i="24"/>
  <c r="K37" i="24"/>
  <c r="B38" i="24"/>
  <c r="C38" i="24"/>
  <c r="D38" i="24" s="1"/>
  <c r="E38" i="24" s="1"/>
  <c r="F38" i="24"/>
  <c r="G38" i="24"/>
  <c r="J38" i="24"/>
  <c r="K38" i="24"/>
  <c r="L38" i="24" s="1"/>
  <c r="B39" i="24"/>
  <c r="C39" i="24"/>
  <c r="F39" i="24"/>
  <c r="G39" i="24"/>
  <c r="H39" i="24" s="1"/>
  <c r="J39" i="24"/>
  <c r="K39" i="24"/>
  <c r="B40" i="24"/>
  <c r="C40" i="24"/>
  <c r="D40" i="24" s="1"/>
  <c r="E40" i="24" s="1"/>
  <c r="F40" i="24"/>
  <c r="G40" i="24"/>
  <c r="J40" i="24"/>
  <c r="K40" i="24"/>
  <c r="L40" i="24" s="1"/>
  <c r="N41" i="24"/>
  <c r="O41" i="24"/>
  <c r="P41" i="24"/>
  <c r="Q41" i="24"/>
  <c r="R41" i="24"/>
  <c r="S41" i="24"/>
  <c r="T41" i="24"/>
  <c r="U41" i="24"/>
  <c r="V41" i="24"/>
  <c r="W41" i="24"/>
  <c r="X41" i="24"/>
  <c r="Y41" i="24"/>
  <c r="Z41" i="24"/>
  <c r="AA41" i="24"/>
  <c r="AB41" i="24"/>
  <c r="AC41" i="24"/>
  <c r="AD41" i="24"/>
  <c r="AE41" i="24"/>
  <c r="AF41" i="24"/>
  <c r="AG41" i="24"/>
  <c r="AH41" i="24"/>
  <c r="AI41" i="24"/>
  <c r="AJ41" i="24"/>
  <c r="AK41" i="24"/>
  <c r="AL41" i="24"/>
  <c r="AM41" i="24"/>
  <c r="AN41" i="24"/>
  <c r="AO41" i="24"/>
  <c r="AP41" i="24"/>
  <c r="AQ41" i="24"/>
  <c r="AR41" i="24"/>
  <c r="AS41" i="24"/>
  <c r="AT41" i="24"/>
  <c r="AU41" i="24"/>
  <c r="AV41" i="24"/>
  <c r="K13" i="23"/>
  <c r="I18" i="23"/>
  <c r="H18" i="23"/>
  <c r="J18" i="23"/>
  <c r="H19" i="23"/>
  <c r="J19" i="23"/>
  <c r="K20" i="23"/>
  <c r="H20" i="23"/>
  <c r="J20" i="23"/>
  <c r="H21" i="23"/>
  <c r="J21" i="23"/>
  <c r="I22" i="23"/>
  <c r="H22" i="23"/>
  <c r="J22" i="23"/>
  <c r="H23" i="23"/>
  <c r="J23" i="23"/>
  <c r="I24" i="23"/>
  <c r="H24" i="23"/>
  <c r="J24" i="23"/>
  <c r="H25" i="23"/>
  <c r="J25" i="23"/>
  <c r="I26" i="23"/>
  <c r="H26" i="23"/>
  <c r="J26" i="23"/>
  <c r="H27" i="23"/>
  <c r="J27" i="23"/>
  <c r="H28" i="23"/>
  <c r="J28" i="23"/>
  <c r="H29" i="23"/>
  <c r="J29" i="23"/>
  <c r="H30" i="23"/>
  <c r="J30" i="23"/>
  <c r="J72" i="23" s="1"/>
  <c r="H31" i="23"/>
  <c r="J31" i="23"/>
  <c r="I32" i="23"/>
  <c r="H32" i="23"/>
  <c r="J32" i="23"/>
  <c r="H33" i="23"/>
  <c r="J33" i="23"/>
  <c r="H34" i="23"/>
  <c r="J34" i="23"/>
  <c r="H35" i="23"/>
  <c r="J35" i="23"/>
  <c r="H36" i="23"/>
  <c r="J36" i="23"/>
  <c r="B37" i="23"/>
  <c r="C37" i="23" s="1"/>
  <c r="H6" i="23" s="1"/>
  <c r="I6" i="23" s="1"/>
  <c r="L6" i="23" s="1"/>
  <c r="M6" i="23" s="1"/>
  <c r="N6" i="23" s="1"/>
  <c r="D37" i="23"/>
  <c r="E37" i="23" s="1"/>
  <c r="F37" i="23"/>
  <c r="G37" i="23" s="1"/>
  <c r="J18" i="22"/>
  <c r="J19" i="22"/>
  <c r="J20" i="22"/>
  <c r="J21" i="22"/>
  <c r="F18" i="22"/>
  <c r="F19" i="22"/>
  <c r="F20" i="22"/>
  <c r="F21" i="22"/>
  <c r="F22" i="22"/>
  <c r="F23" i="22"/>
  <c r="F24" i="22"/>
  <c r="F25" i="22"/>
  <c r="F26" i="22"/>
  <c r="H72" i="23" l="1"/>
  <c r="J71" i="23"/>
  <c r="H71" i="23"/>
  <c r="J39" i="23"/>
  <c r="H39" i="23"/>
  <c r="H64" i="23"/>
  <c r="J64" i="23"/>
  <c r="J70" i="23"/>
  <c r="J56" i="23"/>
  <c r="H70" i="23"/>
  <c r="H56" i="23"/>
  <c r="H68" i="23"/>
  <c r="J68" i="23"/>
  <c r="J69" i="23"/>
  <c r="H69" i="23"/>
  <c r="H67" i="23"/>
  <c r="H43" i="23"/>
  <c r="J43" i="23"/>
  <c r="J67" i="23"/>
  <c r="H65" i="23"/>
  <c r="J65" i="23"/>
  <c r="J63" i="23"/>
  <c r="H63" i="23"/>
  <c r="J66" i="23"/>
  <c r="H74" i="23"/>
  <c r="H66" i="23"/>
  <c r="J54" i="23"/>
  <c r="H54" i="23"/>
  <c r="H7" i="23"/>
  <c r="I7" i="23" s="1"/>
  <c r="L7" i="23" s="1"/>
  <c r="M7" i="23" s="1"/>
  <c r="N7" i="23" s="1"/>
  <c r="H4" i="23"/>
  <c r="I4" i="23" s="1"/>
  <c r="L4" i="23" s="1"/>
  <c r="H5" i="23"/>
  <c r="I5" i="23" s="1"/>
  <c r="L5" i="23" s="1"/>
  <c r="M5" i="23" s="1"/>
  <c r="N5" i="23" s="1"/>
  <c r="H55" i="23"/>
  <c r="I37" i="23"/>
  <c r="K37" i="23"/>
  <c r="J55" i="23"/>
  <c r="J74" i="23"/>
  <c r="H48" i="23"/>
  <c r="J48" i="23"/>
  <c r="J77" i="23"/>
  <c r="H45" i="23"/>
  <c r="H41" i="23"/>
  <c r="H42" i="23"/>
  <c r="H46" i="23"/>
  <c r="H47" i="23"/>
  <c r="H44" i="23"/>
  <c r="H77" i="23"/>
  <c r="J73" i="23"/>
  <c r="J60" i="23"/>
  <c r="J61" i="23"/>
  <c r="J58" i="23"/>
  <c r="J59" i="23"/>
  <c r="J62" i="23"/>
  <c r="J57" i="23"/>
  <c r="J38" i="23"/>
  <c r="J40" i="23"/>
  <c r="J78" i="23"/>
  <c r="H76" i="23"/>
  <c r="H75" i="23"/>
  <c r="H73" i="23"/>
  <c r="H62" i="23"/>
  <c r="H57" i="23"/>
  <c r="H60" i="23"/>
  <c r="H61" i="23"/>
  <c r="H58" i="23"/>
  <c r="H59" i="23"/>
  <c r="J52" i="23"/>
  <c r="J49" i="23"/>
  <c r="J50" i="23"/>
  <c r="J53" i="23"/>
  <c r="J51" i="23"/>
  <c r="H38" i="23"/>
  <c r="H40" i="23"/>
  <c r="H78" i="23"/>
  <c r="J75" i="23"/>
  <c r="J76" i="23"/>
  <c r="H51" i="23"/>
  <c r="H52" i="23"/>
  <c r="H49" i="23"/>
  <c r="H50" i="23"/>
  <c r="H53" i="23"/>
  <c r="J42" i="23"/>
  <c r="J46" i="23"/>
  <c r="J47" i="23"/>
  <c r="J44" i="23"/>
  <c r="J45" i="23"/>
  <c r="J41" i="23"/>
  <c r="H40" i="24"/>
  <c r="I40" i="24" s="1"/>
  <c r="L39" i="24"/>
  <c r="M39" i="24" s="1"/>
  <c r="D39" i="24"/>
  <c r="E39" i="24" s="1"/>
  <c r="H38" i="24"/>
  <c r="I38" i="24" s="1"/>
  <c r="L37" i="24"/>
  <c r="M37" i="24" s="1"/>
  <c r="D37" i="24"/>
  <c r="E37" i="24" s="1"/>
  <c r="H36" i="24"/>
  <c r="I36" i="24" s="1"/>
  <c r="L35" i="24"/>
  <c r="M35" i="24" s="1"/>
  <c r="D35" i="24"/>
  <c r="E35" i="24" s="1"/>
  <c r="H34" i="24"/>
  <c r="I34" i="24" s="1"/>
  <c r="L33" i="24"/>
  <c r="M33" i="24" s="1"/>
  <c r="D33" i="24"/>
  <c r="E33" i="24" s="1"/>
  <c r="H32" i="24"/>
  <c r="I32" i="24" s="1"/>
  <c r="L31" i="24"/>
  <c r="M31" i="24" s="1"/>
  <c r="D31" i="24"/>
  <c r="E31" i="24" s="1"/>
  <c r="H30" i="24"/>
  <c r="I30" i="24" s="1"/>
  <c r="L29" i="24"/>
  <c r="M29" i="24" s="1"/>
  <c r="D29" i="24"/>
  <c r="E29" i="24" s="1"/>
  <c r="H28" i="24"/>
  <c r="I28" i="24" s="1"/>
  <c r="L27" i="24"/>
  <c r="M27" i="24" s="1"/>
  <c r="D27" i="24"/>
  <c r="E27" i="24" s="1"/>
  <c r="H26" i="24"/>
  <c r="I26" i="24" s="1"/>
  <c r="L24" i="24"/>
  <c r="M24" i="24" s="1"/>
  <c r="D24" i="24"/>
  <c r="E24" i="24" s="1"/>
  <c r="L22" i="24"/>
  <c r="M22" i="24" s="1"/>
  <c r="BH25" i="24"/>
  <c r="M23" i="24"/>
  <c r="I22" i="24"/>
  <c r="M40" i="24"/>
  <c r="I39" i="24"/>
  <c r="M38" i="24"/>
  <c r="I37" i="24"/>
  <c r="M36" i="24"/>
  <c r="I35" i="24"/>
  <c r="M34" i="24"/>
  <c r="I33" i="24"/>
  <c r="M32" i="24"/>
  <c r="I31" i="24"/>
  <c r="M30" i="24"/>
  <c r="I29" i="24"/>
  <c r="M28" i="24"/>
  <c r="I27" i="24"/>
  <c r="M26" i="24"/>
  <c r="I23" i="24"/>
  <c r="I24" i="24"/>
  <c r="I13" i="23"/>
  <c r="K18" i="23"/>
  <c r="K24" i="23"/>
  <c r="I34" i="23"/>
  <c r="K31" i="23"/>
  <c r="K29" i="23"/>
  <c r="I28" i="23"/>
  <c r="I25" i="23"/>
  <c r="K23" i="23"/>
  <c r="K32" i="23"/>
  <c r="K28" i="23"/>
  <c r="K36" i="23"/>
  <c r="K34" i="23"/>
  <c r="I33" i="23"/>
  <c r="I30" i="23"/>
  <c r="I36" i="23"/>
  <c r="K35" i="23"/>
  <c r="K33" i="23"/>
  <c r="K22" i="23"/>
  <c r="I21" i="23"/>
  <c r="I20" i="23"/>
  <c r="K19" i="23"/>
  <c r="K26" i="23"/>
  <c r="J37" i="23"/>
  <c r="K21" i="23"/>
  <c r="K30" i="23"/>
  <c r="I29" i="23"/>
  <c r="K27" i="23"/>
  <c r="K25" i="23"/>
  <c r="I25" i="24"/>
  <c r="M25" i="24"/>
  <c r="N16" i="24"/>
  <c r="P16" i="24"/>
  <c r="R16" i="24"/>
  <c r="F41" i="24"/>
  <c r="O16" i="24"/>
  <c r="J41" i="24"/>
  <c r="B41" i="24"/>
  <c r="H37" i="23"/>
  <c r="I35" i="23"/>
  <c r="I31" i="23"/>
  <c r="I27" i="23"/>
  <c r="I23" i="23"/>
  <c r="I19" i="23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13" i="21"/>
  <c r="J13" i="21"/>
  <c r="K13" i="21" s="1"/>
  <c r="J14" i="21"/>
  <c r="K14" i="21" s="1"/>
  <c r="J15" i="21"/>
  <c r="K15" i="21" s="1"/>
  <c r="J16" i="21"/>
  <c r="K16" i="21" s="1"/>
  <c r="J17" i="21"/>
  <c r="K17" i="21" s="1"/>
  <c r="H13" i="21"/>
  <c r="I13" i="21" s="1"/>
  <c r="H14" i="21"/>
  <c r="I14" i="21" s="1"/>
  <c r="H15" i="21"/>
  <c r="I15" i="21" s="1"/>
  <c r="H16" i="21"/>
  <c r="I16" i="21" s="1"/>
  <c r="H17" i="21"/>
  <c r="I17" i="21" s="1"/>
  <c r="L8" i="23" l="1"/>
  <c r="M4" i="23"/>
  <c r="N4" i="23" s="1"/>
  <c r="M41" i="24"/>
  <c r="I41" i="24"/>
  <c r="E41" i="24"/>
  <c r="M6" i="24"/>
  <c r="M7" i="24" s="1"/>
  <c r="K17" i="22"/>
  <c r="L17" i="22" s="1"/>
  <c r="K18" i="22"/>
  <c r="K19" i="22"/>
  <c r="K20" i="22"/>
  <c r="L20" i="22" s="1"/>
  <c r="M20" i="22" s="1"/>
  <c r="K21" i="22"/>
  <c r="L21" i="22" s="1"/>
  <c r="M21" i="22" s="1"/>
  <c r="K22" i="22"/>
  <c r="G17" i="22"/>
  <c r="H17" i="22" s="1"/>
  <c r="G18" i="22"/>
  <c r="H18" i="22" s="1"/>
  <c r="I18" i="22" s="1"/>
  <c r="G19" i="22"/>
  <c r="H19" i="22" s="1"/>
  <c r="I19" i="22" s="1"/>
  <c r="G20" i="22"/>
  <c r="H20" i="22" s="1"/>
  <c r="I20" i="22" s="1"/>
  <c r="G21" i="22"/>
  <c r="H21" i="22" s="1"/>
  <c r="I21" i="22" s="1"/>
  <c r="G22" i="22"/>
  <c r="C17" i="22"/>
  <c r="D17" i="22" s="1"/>
  <c r="E17" i="22" s="1"/>
  <c r="C18" i="22"/>
  <c r="D18" i="22" s="1"/>
  <c r="E18" i="22" s="1"/>
  <c r="C19" i="22"/>
  <c r="D19" i="22" s="1"/>
  <c r="E19" i="22" s="1"/>
  <c r="C20" i="22"/>
  <c r="D20" i="22" s="1"/>
  <c r="E20" i="22" s="1"/>
  <c r="C21" i="22"/>
  <c r="D21" i="22" s="1"/>
  <c r="E21" i="22" s="1"/>
  <c r="C22" i="22"/>
  <c r="J18" i="21"/>
  <c r="H18" i="21"/>
  <c r="BF22" i="22"/>
  <c r="J22" i="22"/>
  <c r="I18" i="21" l="1"/>
  <c r="K18" i="21"/>
  <c r="H22" i="22"/>
  <c r="I22" i="22" s="1"/>
  <c r="L19" i="22"/>
  <c r="M19" i="22" s="1"/>
  <c r="D22" i="22"/>
  <c r="E22" i="22" s="1"/>
  <c r="L22" i="22"/>
  <c r="M22" i="22" s="1"/>
  <c r="L18" i="22"/>
  <c r="M18" i="22" s="1"/>
  <c r="M8" i="24"/>
  <c r="M9" i="24" s="1"/>
  <c r="BE6" i="22"/>
  <c r="Q16" i="22" s="1"/>
  <c r="BF6" i="22"/>
  <c r="F17" i="22"/>
  <c r="I17" i="22" s="1"/>
  <c r="J17" i="22"/>
  <c r="M17" i="22" s="1"/>
  <c r="BF17" i="22"/>
  <c r="C23" i="22"/>
  <c r="D23" i="22" s="1"/>
  <c r="E23" i="22" s="1"/>
  <c r="G23" i="22"/>
  <c r="H23" i="22" s="1"/>
  <c r="J23" i="22"/>
  <c r="K23" i="22"/>
  <c r="L23" i="22" s="1"/>
  <c r="BF23" i="22"/>
  <c r="BF25" i="22" s="1"/>
  <c r="BH25" i="22" s="1"/>
  <c r="C24" i="22"/>
  <c r="D24" i="22" s="1"/>
  <c r="E24" i="22" s="1"/>
  <c r="G24" i="22"/>
  <c r="H24" i="22" s="1"/>
  <c r="J24" i="22"/>
  <c r="K24" i="22"/>
  <c r="L24" i="22" s="1"/>
  <c r="BF24" i="22"/>
  <c r="C25" i="22"/>
  <c r="D25" i="22" s="1"/>
  <c r="E25" i="22" s="1"/>
  <c r="G25" i="22"/>
  <c r="H25" i="22" s="1"/>
  <c r="J25" i="22"/>
  <c r="K25" i="22"/>
  <c r="L25" i="22" s="1"/>
  <c r="BG25" i="22"/>
  <c r="C26" i="22"/>
  <c r="D26" i="22" s="1"/>
  <c r="E26" i="22" s="1"/>
  <c r="G26" i="22"/>
  <c r="H26" i="22" s="1"/>
  <c r="J26" i="22"/>
  <c r="K26" i="22"/>
  <c r="L26" i="22" s="1"/>
  <c r="C27" i="22"/>
  <c r="D27" i="22" s="1"/>
  <c r="E27" i="22" s="1"/>
  <c r="F27" i="22"/>
  <c r="G27" i="22"/>
  <c r="H27" i="22" s="1"/>
  <c r="J27" i="22"/>
  <c r="K27" i="22"/>
  <c r="L27" i="22" s="1"/>
  <c r="C28" i="22"/>
  <c r="D28" i="22" s="1"/>
  <c r="E28" i="22" s="1"/>
  <c r="F28" i="22"/>
  <c r="G28" i="22"/>
  <c r="H28" i="22" s="1"/>
  <c r="J28" i="22"/>
  <c r="K28" i="22"/>
  <c r="L28" i="22" s="1"/>
  <c r="C29" i="22"/>
  <c r="D29" i="22" s="1"/>
  <c r="E29" i="22" s="1"/>
  <c r="F29" i="22"/>
  <c r="G29" i="22"/>
  <c r="H29" i="22" s="1"/>
  <c r="J29" i="22"/>
  <c r="K29" i="22"/>
  <c r="L29" i="22" s="1"/>
  <c r="C30" i="22"/>
  <c r="D30" i="22" s="1"/>
  <c r="E30" i="22" s="1"/>
  <c r="F30" i="22"/>
  <c r="G30" i="22"/>
  <c r="H30" i="22" s="1"/>
  <c r="J30" i="22"/>
  <c r="K30" i="22"/>
  <c r="L30" i="22" s="1"/>
  <c r="B31" i="22"/>
  <c r="C31" i="22"/>
  <c r="D31" i="22" s="1"/>
  <c r="F31" i="22"/>
  <c r="G31" i="22"/>
  <c r="H31" i="22" s="1"/>
  <c r="J31" i="22"/>
  <c r="K31" i="22"/>
  <c r="L31" i="22" s="1"/>
  <c r="B32" i="22"/>
  <c r="C32" i="22"/>
  <c r="F32" i="22"/>
  <c r="G32" i="22"/>
  <c r="H32" i="22" s="1"/>
  <c r="J32" i="22"/>
  <c r="K32" i="22"/>
  <c r="B33" i="22"/>
  <c r="C33" i="22"/>
  <c r="D33" i="22" s="1"/>
  <c r="F33" i="22"/>
  <c r="G33" i="22"/>
  <c r="J33" i="22"/>
  <c r="K33" i="22"/>
  <c r="L33" i="22" s="1"/>
  <c r="B34" i="22"/>
  <c r="C34" i="22"/>
  <c r="F34" i="22"/>
  <c r="G34" i="22"/>
  <c r="H34" i="22" s="1"/>
  <c r="J34" i="22"/>
  <c r="K34" i="22"/>
  <c r="B35" i="22"/>
  <c r="C35" i="22"/>
  <c r="D35" i="22" s="1"/>
  <c r="F35" i="22"/>
  <c r="G35" i="22"/>
  <c r="J35" i="22"/>
  <c r="K35" i="22"/>
  <c r="L35" i="22" s="1"/>
  <c r="B36" i="22"/>
  <c r="C36" i="22"/>
  <c r="F36" i="22"/>
  <c r="G36" i="22"/>
  <c r="H36" i="22" s="1"/>
  <c r="J36" i="22"/>
  <c r="K36" i="22"/>
  <c r="L36" i="22" s="1"/>
  <c r="B37" i="22"/>
  <c r="C37" i="22"/>
  <c r="D37" i="22" s="1"/>
  <c r="F37" i="22"/>
  <c r="G37" i="22"/>
  <c r="H37" i="22" s="1"/>
  <c r="J37" i="22"/>
  <c r="K37" i="22"/>
  <c r="L37" i="22" s="1"/>
  <c r="B38" i="22"/>
  <c r="C38" i="22"/>
  <c r="D38" i="22" s="1"/>
  <c r="F38" i="22"/>
  <c r="G38" i="22"/>
  <c r="H38" i="22" s="1"/>
  <c r="J38" i="22"/>
  <c r="K38" i="22"/>
  <c r="L38" i="22" s="1"/>
  <c r="B39" i="22"/>
  <c r="C39" i="22"/>
  <c r="D39" i="22" s="1"/>
  <c r="F39" i="22"/>
  <c r="G39" i="22"/>
  <c r="H39" i="22" s="1"/>
  <c r="J39" i="22"/>
  <c r="K39" i="22"/>
  <c r="L39" i="22" s="1"/>
  <c r="B40" i="22"/>
  <c r="C40" i="22"/>
  <c r="D40" i="22" s="1"/>
  <c r="F40" i="22"/>
  <c r="G40" i="22"/>
  <c r="H40" i="22" s="1"/>
  <c r="J40" i="22"/>
  <c r="K40" i="22"/>
  <c r="L40" i="22" s="1"/>
  <c r="N41" i="22"/>
  <c r="O41" i="22"/>
  <c r="P41" i="22"/>
  <c r="Q41" i="22"/>
  <c r="R41" i="22"/>
  <c r="S41" i="22"/>
  <c r="T41" i="22"/>
  <c r="U41" i="22"/>
  <c r="V41" i="22"/>
  <c r="W41" i="22"/>
  <c r="X41" i="22"/>
  <c r="Y41" i="22"/>
  <c r="Z41" i="22"/>
  <c r="AA41" i="22"/>
  <c r="AB41" i="22"/>
  <c r="AC41" i="22"/>
  <c r="AD41" i="22"/>
  <c r="AE41" i="22"/>
  <c r="AF41" i="22"/>
  <c r="AG41" i="22"/>
  <c r="AH41" i="22"/>
  <c r="AI41" i="22"/>
  <c r="AJ41" i="22"/>
  <c r="AK41" i="22"/>
  <c r="AL41" i="22"/>
  <c r="AM41" i="22"/>
  <c r="AN41" i="22"/>
  <c r="AO41" i="22"/>
  <c r="AP41" i="22"/>
  <c r="AQ41" i="22"/>
  <c r="AR41" i="22"/>
  <c r="AS41" i="22"/>
  <c r="AT41" i="22"/>
  <c r="AU41" i="22"/>
  <c r="AV41" i="22"/>
  <c r="AW41" i="22"/>
  <c r="AX41" i="22"/>
  <c r="AY41" i="22"/>
  <c r="AZ41" i="22"/>
  <c r="BA41" i="22"/>
  <c r="BB41" i="22"/>
  <c r="BC41" i="22"/>
  <c r="H19" i="21"/>
  <c r="J19" i="21"/>
  <c r="H20" i="21"/>
  <c r="J20" i="21"/>
  <c r="H21" i="21"/>
  <c r="J21" i="21"/>
  <c r="H22" i="21"/>
  <c r="J22" i="21"/>
  <c r="H23" i="21"/>
  <c r="J23" i="21"/>
  <c r="H24" i="21"/>
  <c r="I24" i="21" s="1"/>
  <c r="J24" i="21"/>
  <c r="K24" i="21" s="1"/>
  <c r="H25" i="21"/>
  <c r="J25" i="21"/>
  <c r="H26" i="21"/>
  <c r="I26" i="21" s="1"/>
  <c r="J26" i="21"/>
  <c r="K26" i="21" s="1"/>
  <c r="H27" i="21"/>
  <c r="J27" i="21"/>
  <c r="H28" i="21"/>
  <c r="J28" i="21"/>
  <c r="H29" i="21"/>
  <c r="J29" i="21"/>
  <c r="H30" i="21"/>
  <c r="J30" i="21"/>
  <c r="H31" i="21"/>
  <c r="J31" i="21"/>
  <c r="H32" i="21"/>
  <c r="J32" i="21"/>
  <c r="H33" i="21"/>
  <c r="J33" i="21"/>
  <c r="H34" i="21"/>
  <c r="I34" i="21" s="1"/>
  <c r="J34" i="21"/>
  <c r="K34" i="21" s="1"/>
  <c r="H35" i="21"/>
  <c r="I35" i="21" s="1"/>
  <c r="J35" i="21"/>
  <c r="K35" i="21" s="1"/>
  <c r="H36" i="21"/>
  <c r="I36" i="21" s="1"/>
  <c r="J36" i="21"/>
  <c r="K36" i="21" s="1"/>
  <c r="B37" i="21"/>
  <c r="C37" i="21" s="1"/>
  <c r="H6" i="21" s="1"/>
  <c r="I6" i="21" s="1"/>
  <c r="L6" i="21" s="1"/>
  <c r="M6" i="21" s="1"/>
  <c r="N6" i="21" s="1"/>
  <c r="D37" i="21"/>
  <c r="E37" i="21" s="1"/>
  <c r="F37" i="21"/>
  <c r="G37" i="21" s="1"/>
  <c r="B18" i="20"/>
  <c r="C18" i="20"/>
  <c r="D18" i="20" s="1"/>
  <c r="E18" i="20" s="1"/>
  <c r="F18" i="20"/>
  <c r="G18" i="20"/>
  <c r="H18" i="20" s="1"/>
  <c r="J18" i="20"/>
  <c r="K18" i="20"/>
  <c r="L18" i="20" s="1"/>
  <c r="B19" i="20"/>
  <c r="C19" i="20"/>
  <c r="D19" i="20" s="1"/>
  <c r="E19" i="20" s="1"/>
  <c r="F19" i="20"/>
  <c r="G19" i="20"/>
  <c r="H19" i="20" s="1"/>
  <c r="J19" i="20"/>
  <c r="K19" i="20"/>
  <c r="L19" i="20" s="1"/>
  <c r="B20" i="20"/>
  <c r="C20" i="20"/>
  <c r="D20" i="20" s="1"/>
  <c r="E20" i="20" s="1"/>
  <c r="F20" i="20"/>
  <c r="G20" i="20"/>
  <c r="H20" i="20" s="1"/>
  <c r="J20" i="20"/>
  <c r="K20" i="20"/>
  <c r="L20" i="20" s="1"/>
  <c r="B21" i="20"/>
  <c r="C21" i="20"/>
  <c r="D21" i="20" s="1"/>
  <c r="E21" i="20" s="1"/>
  <c r="F21" i="20"/>
  <c r="G21" i="20"/>
  <c r="H21" i="20" s="1"/>
  <c r="J21" i="20"/>
  <c r="K21" i="20"/>
  <c r="L21" i="20" s="1"/>
  <c r="B22" i="20"/>
  <c r="C22" i="20"/>
  <c r="D22" i="20" s="1"/>
  <c r="E22" i="20" s="1"/>
  <c r="F22" i="20"/>
  <c r="G22" i="20"/>
  <c r="H22" i="20" s="1"/>
  <c r="J22" i="20"/>
  <c r="K22" i="20"/>
  <c r="L22" i="20" s="1"/>
  <c r="B17" i="20"/>
  <c r="C17" i="20"/>
  <c r="D17" i="20" s="1"/>
  <c r="E17" i="20" s="1"/>
  <c r="F17" i="20"/>
  <c r="G17" i="20"/>
  <c r="H17" i="20" s="1"/>
  <c r="J17" i="20"/>
  <c r="K17" i="20"/>
  <c r="L17" i="20" s="1"/>
  <c r="BF18" i="20"/>
  <c r="BF17" i="20"/>
  <c r="BF19" i="20"/>
  <c r="BF20" i="20"/>
  <c r="BF21" i="20"/>
  <c r="J39" i="21" l="1"/>
  <c r="H39" i="21"/>
  <c r="J72" i="21"/>
  <c r="H72" i="21"/>
  <c r="K29" i="21"/>
  <c r="J71" i="21"/>
  <c r="I29" i="21"/>
  <c r="H71" i="21"/>
  <c r="J64" i="21"/>
  <c r="H64" i="21"/>
  <c r="J70" i="21"/>
  <c r="H70" i="21"/>
  <c r="J56" i="21"/>
  <c r="H56" i="21"/>
  <c r="J68" i="21"/>
  <c r="H68" i="21"/>
  <c r="K28" i="21"/>
  <c r="J69" i="21"/>
  <c r="I28" i="21"/>
  <c r="H69" i="21"/>
  <c r="J43" i="21"/>
  <c r="H43" i="21"/>
  <c r="J67" i="21"/>
  <c r="H67" i="21"/>
  <c r="J65" i="21"/>
  <c r="H65" i="21"/>
  <c r="K25" i="21"/>
  <c r="J63" i="21"/>
  <c r="I25" i="21"/>
  <c r="H63" i="21"/>
  <c r="K27" i="21"/>
  <c r="J66" i="21"/>
  <c r="I27" i="21"/>
  <c r="H66" i="21"/>
  <c r="E39" i="22"/>
  <c r="E37" i="22"/>
  <c r="E35" i="22"/>
  <c r="E33" i="22"/>
  <c r="E31" i="22"/>
  <c r="E40" i="22"/>
  <c r="E38" i="22"/>
  <c r="I37" i="21"/>
  <c r="H54" i="21"/>
  <c r="J54" i="21"/>
  <c r="H7" i="21"/>
  <c r="I7" i="21" s="1"/>
  <c r="L7" i="21" s="1"/>
  <c r="M7" i="21" s="1"/>
  <c r="N7" i="21" s="1"/>
  <c r="H5" i="21"/>
  <c r="I5" i="21" s="1"/>
  <c r="L5" i="21" s="1"/>
  <c r="M5" i="21" s="1"/>
  <c r="N5" i="21" s="1"/>
  <c r="H4" i="21"/>
  <c r="I4" i="21" s="1"/>
  <c r="L4" i="21" s="1"/>
  <c r="K37" i="21"/>
  <c r="I22" i="21"/>
  <c r="H55" i="21"/>
  <c r="K22" i="21"/>
  <c r="J55" i="21"/>
  <c r="J74" i="21"/>
  <c r="H74" i="21"/>
  <c r="K20" i="21"/>
  <c r="J48" i="21"/>
  <c r="I20" i="21"/>
  <c r="H48" i="21"/>
  <c r="J73" i="21"/>
  <c r="K30" i="21"/>
  <c r="H73" i="21"/>
  <c r="I30" i="21"/>
  <c r="J78" i="21"/>
  <c r="K33" i="21"/>
  <c r="J75" i="21"/>
  <c r="J76" i="21"/>
  <c r="K31" i="21"/>
  <c r="J60" i="21"/>
  <c r="J61" i="21"/>
  <c r="J58" i="21"/>
  <c r="J59" i="21"/>
  <c r="J62" i="21"/>
  <c r="J57" i="21"/>
  <c r="K23" i="21"/>
  <c r="J52" i="21"/>
  <c r="J49" i="21"/>
  <c r="J50" i="21"/>
  <c r="J53" i="21"/>
  <c r="J51" i="21"/>
  <c r="K21" i="21"/>
  <c r="J42" i="21"/>
  <c r="J38" i="21"/>
  <c r="J40" i="21"/>
  <c r="J46" i="21"/>
  <c r="J47" i="21"/>
  <c r="J44" i="21"/>
  <c r="J45" i="21"/>
  <c r="J41" i="21"/>
  <c r="K19" i="21"/>
  <c r="H78" i="21"/>
  <c r="I33" i="21"/>
  <c r="H76" i="21"/>
  <c r="H75" i="21"/>
  <c r="I31" i="21"/>
  <c r="H62" i="21"/>
  <c r="H57" i="21"/>
  <c r="H60" i="21"/>
  <c r="H61" i="21"/>
  <c r="H58" i="21"/>
  <c r="H59" i="21"/>
  <c r="I23" i="21"/>
  <c r="H51" i="21"/>
  <c r="H52" i="21"/>
  <c r="H49" i="21"/>
  <c r="H50" i="21"/>
  <c r="H53" i="21"/>
  <c r="I21" i="21"/>
  <c r="H45" i="21"/>
  <c r="H41" i="21"/>
  <c r="H38" i="21"/>
  <c r="H42" i="21"/>
  <c r="H46" i="21"/>
  <c r="H40" i="21"/>
  <c r="H47" i="21"/>
  <c r="H44" i="21"/>
  <c r="I19" i="21"/>
  <c r="J77" i="21"/>
  <c r="K32" i="21"/>
  <c r="H77" i="21"/>
  <c r="I32" i="21"/>
  <c r="D36" i="22"/>
  <c r="E36" i="22" s="1"/>
  <c r="H35" i="22"/>
  <c r="I35" i="22" s="1"/>
  <c r="L34" i="22"/>
  <c r="M34" i="22" s="1"/>
  <c r="D34" i="22"/>
  <c r="E34" i="22" s="1"/>
  <c r="H33" i="22"/>
  <c r="I33" i="22" s="1"/>
  <c r="L32" i="22"/>
  <c r="M32" i="22" s="1"/>
  <c r="D32" i="22"/>
  <c r="E32" i="22" s="1"/>
  <c r="M10" i="24"/>
  <c r="M11" i="24" s="1"/>
  <c r="M12" i="24" s="1"/>
  <c r="J37" i="21"/>
  <c r="H37" i="21"/>
  <c r="I31" i="22"/>
  <c r="M30" i="22"/>
  <c r="I29" i="22"/>
  <c r="M28" i="22"/>
  <c r="I27" i="22"/>
  <c r="M26" i="22"/>
  <c r="I24" i="22"/>
  <c r="I36" i="22"/>
  <c r="M36" i="22"/>
  <c r="I38" i="22"/>
  <c r="M37" i="22"/>
  <c r="B41" i="22"/>
  <c r="M35" i="22"/>
  <c r="M39" i="22"/>
  <c r="M40" i="22"/>
  <c r="J41" i="22"/>
  <c r="R16" i="22"/>
  <c r="P16" i="22"/>
  <c r="I39" i="22"/>
  <c r="M38" i="22"/>
  <c r="I37" i="22"/>
  <c r="N16" i="22"/>
  <c r="I40" i="22"/>
  <c r="I34" i="22"/>
  <c r="M33" i="22"/>
  <c r="I32" i="22"/>
  <c r="M31" i="22"/>
  <c r="I30" i="22"/>
  <c r="M29" i="22"/>
  <c r="I28" i="22"/>
  <c r="M27" i="22"/>
  <c r="I26" i="22"/>
  <c r="M24" i="22"/>
  <c r="M25" i="22"/>
  <c r="I23" i="22"/>
  <c r="M23" i="22"/>
  <c r="I25" i="22"/>
  <c r="F41" i="22"/>
  <c r="O16" i="22"/>
  <c r="M22" i="20"/>
  <c r="I21" i="20"/>
  <c r="M20" i="20"/>
  <c r="I19" i="20"/>
  <c r="M18" i="20"/>
  <c r="I22" i="20"/>
  <c r="M21" i="20"/>
  <c r="I20" i="20"/>
  <c r="M19" i="20"/>
  <c r="I18" i="20"/>
  <c r="I17" i="20"/>
  <c r="M17" i="20"/>
  <c r="L8" i="21" l="1"/>
  <c r="M4" i="21"/>
  <c r="N4" i="21" s="1"/>
  <c r="E41" i="22"/>
  <c r="M6" i="22"/>
  <c r="M7" i="22" s="1"/>
  <c r="M41" i="22"/>
  <c r="I41" i="22"/>
  <c r="M8" i="22" l="1"/>
  <c r="M9" i="22" s="1"/>
  <c r="M10" i="22" s="1"/>
  <c r="M11" i="22" l="1"/>
  <c r="M12" i="22" s="1"/>
  <c r="J13" i="19" l="1"/>
  <c r="H13" i="19"/>
  <c r="J14" i="19"/>
  <c r="H14" i="19"/>
  <c r="J15" i="19"/>
  <c r="H15" i="19"/>
  <c r="J16" i="19"/>
  <c r="H16" i="19"/>
  <c r="BE6" i="20"/>
  <c r="Q16" i="20" s="1"/>
  <c r="BF6" i="20"/>
  <c r="N16" i="20"/>
  <c r="O16" i="20"/>
  <c r="P16" i="20"/>
  <c r="R16" i="20"/>
  <c r="BF22" i="20"/>
  <c r="BF25" i="20" s="1"/>
  <c r="BH25" i="20" s="1"/>
  <c r="B23" i="20"/>
  <c r="C23" i="20"/>
  <c r="D23" i="20" s="1"/>
  <c r="E23" i="20" s="1"/>
  <c r="F23" i="20"/>
  <c r="G23" i="20"/>
  <c r="H23" i="20" s="1"/>
  <c r="J23" i="20"/>
  <c r="K23" i="20"/>
  <c r="L23" i="20" s="1"/>
  <c r="BF23" i="20"/>
  <c r="B24" i="20"/>
  <c r="C24" i="20"/>
  <c r="F24" i="20"/>
  <c r="G24" i="20"/>
  <c r="J24" i="20"/>
  <c r="K24" i="20"/>
  <c r="BF24" i="20"/>
  <c r="B25" i="20"/>
  <c r="C25" i="20"/>
  <c r="D25" i="20" s="1"/>
  <c r="E25" i="20" s="1"/>
  <c r="F25" i="20"/>
  <c r="G25" i="20"/>
  <c r="H25" i="20" s="1"/>
  <c r="J25" i="20"/>
  <c r="K25" i="20"/>
  <c r="L25" i="20" s="1"/>
  <c r="BG25" i="20"/>
  <c r="B26" i="20"/>
  <c r="C26" i="20"/>
  <c r="F26" i="20"/>
  <c r="G26" i="20"/>
  <c r="J26" i="20"/>
  <c r="K26" i="20"/>
  <c r="B27" i="20"/>
  <c r="C27" i="20"/>
  <c r="F27" i="20"/>
  <c r="G27" i="20"/>
  <c r="J27" i="20"/>
  <c r="K27" i="20"/>
  <c r="B28" i="20"/>
  <c r="C28" i="20"/>
  <c r="F28" i="20"/>
  <c r="G28" i="20"/>
  <c r="J28" i="20"/>
  <c r="K28" i="20"/>
  <c r="B29" i="20"/>
  <c r="C29" i="20"/>
  <c r="F29" i="20"/>
  <c r="G29" i="20"/>
  <c r="J29" i="20"/>
  <c r="K29" i="20"/>
  <c r="B30" i="20"/>
  <c r="C30" i="20"/>
  <c r="F30" i="20"/>
  <c r="G30" i="20"/>
  <c r="J30" i="20"/>
  <c r="K30" i="20"/>
  <c r="B31" i="20"/>
  <c r="C31" i="20"/>
  <c r="F31" i="20"/>
  <c r="G31" i="20"/>
  <c r="J31" i="20"/>
  <c r="K31" i="20"/>
  <c r="B32" i="20"/>
  <c r="C32" i="20"/>
  <c r="F32" i="20"/>
  <c r="G32" i="20"/>
  <c r="J32" i="20"/>
  <c r="K32" i="20"/>
  <c r="B33" i="20"/>
  <c r="C33" i="20"/>
  <c r="F33" i="20"/>
  <c r="G33" i="20"/>
  <c r="J33" i="20"/>
  <c r="K33" i="20"/>
  <c r="B34" i="20"/>
  <c r="C34" i="20"/>
  <c r="F34" i="20"/>
  <c r="G34" i="20"/>
  <c r="J34" i="20"/>
  <c r="K34" i="20"/>
  <c r="B35" i="20"/>
  <c r="C35" i="20"/>
  <c r="F35" i="20"/>
  <c r="G35" i="20"/>
  <c r="J35" i="20"/>
  <c r="K35" i="20"/>
  <c r="B36" i="20"/>
  <c r="C36" i="20"/>
  <c r="F36" i="20"/>
  <c r="G36" i="20"/>
  <c r="J36" i="20"/>
  <c r="K36" i="20"/>
  <c r="B37" i="20"/>
  <c r="C37" i="20"/>
  <c r="F37" i="20"/>
  <c r="G37" i="20"/>
  <c r="J37" i="20"/>
  <c r="K37" i="20"/>
  <c r="B38" i="20"/>
  <c r="C38" i="20"/>
  <c r="F38" i="20"/>
  <c r="G38" i="20"/>
  <c r="J38" i="20"/>
  <c r="K38" i="20"/>
  <c r="B39" i="20"/>
  <c r="C39" i="20"/>
  <c r="F39" i="20"/>
  <c r="G39" i="20"/>
  <c r="J39" i="20"/>
  <c r="K39" i="20"/>
  <c r="B40" i="20"/>
  <c r="C40" i="20"/>
  <c r="F40" i="20"/>
  <c r="G40" i="20"/>
  <c r="J40" i="20"/>
  <c r="K40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AY41" i="20"/>
  <c r="AZ41" i="20"/>
  <c r="BA41" i="20"/>
  <c r="BB41" i="20"/>
  <c r="BC41" i="20"/>
  <c r="H17" i="19"/>
  <c r="J17" i="19"/>
  <c r="H18" i="19"/>
  <c r="J18" i="19"/>
  <c r="H19" i="19"/>
  <c r="J19" i="19"/>
  <c r="H20" i="19"/>
  <c r="J20" i="19"/>
  <c r="H21" i="19"/>
  <c r="J21" i="19"/>
  <c r="H22" i="19"/>
  <c r="J22" i="19"/>
  <c r="H23" i="19"/>
  <c r="J23" i="19"/>
  <c r="H24" i="19"/>
  <c r="J24" i="19"/>
  <c r="H25" i="19"/>
  <c r="J25" i="19"/>
  <c r="H26" i="19"/>
  <c r="J26" i="19"/>
  <c r="H27" i="19"/>
  <c r="J27" i="19"/>
  <c r="H28" i="19"/>
  <c r="J28" i="19"/>
  <c r="H29" i="19"/>
  <c r="J29" i="19"/>
  <c r="H30" i="19"/>
  <c r="H72" i="19" s="1"/>
  <c r="J30" i="19"/>
  <c r="H31" i="19"/>
  <c r="J31" i="19"/>
  <c r="H32" i="19"/>
  <c r="J32" i="19"/>
  <c r="H33" i="19"/>
  <c r="J33" i="19"/>
  <c r="H34" i="19"/>
  <c r="J34" i="19"/>
  <c r="H35" i="19"/>
  <c r="J35" i="19"/>
  <c r="H36" i="19"/>
  <c r="J36" i="19"/>
  <c r="D37" i="19"/>
  <c r="F37" i="19"/>
  <c r="H39" i="19" l="1"/>
  <c r="J71" i="19"/>
  <c r="H71" i="19"/>
  <c r="J72" i="19"/>
  <c r="J39" i="19"/>
  <c r="J64" i="19"/>
  <c r="H64" i="19"/>
  <c r="H56" i="19"/>
  <c r="H70" i="19"/>
  <c r="J56" i="19"/>
  <c r="J70" i="19"/>
  <c r="H68" i="19"/>
  <c r="J68" i="19"/>
  <c r="H69" i="19"/>
  <c r="J69" i="19"/>
  <c r="J43" i="19"/>
  <c r="H43" i="19"/>
  <c r="J67" i="19"/>
  <c r="H67" i="19"/>
  <c r="J65" i="19"/>
  <c r="H65" i="19"/>
  <c r="J63" i="19"/>
  <c r="H63" i="19"/>
  <c r="J66" i="19"/>
  <c r="H66" i="19"/>
  <c r="J54" i="19"/>
  <c r="H54" i="19"/>
  <c r="J55" i="19"/>
  <c r="H55" i="19"/>
  <c r="J74" i="19"/>
  <c r="H74" i="19"/>
  <c r="J48" i="19"/>
  <c r="H48" i="19"/>
  <c r="H78" i="19"/>
  <c r="H75" i="19"/>
  <c r="H76" i="19"/>
  <c r="H60" i="19"/>
  <c r="H59" i="19"/>
  <c r="H62" i="19"/>
  <c r="H58" i="19"/>
  <c r="H61" i="19"/>
  <c r="H57" i="19"/>
  <c r="H52" i="19"/>
  <c r="H49" i="19"/>
  <c r="H50" i="19"/>
  <c r="H53" i="19"/>
  <c r="H51" i="19"/>
  <c r="H42" i="19"/>
  <c r="H45" i="19"/>
  <c r="H46" i="19"/>
  <c r="H41" i="19"/>
  <c r="H47" i="19"/>
  <c r="H44" i="19"/>
  <c r="J78" i="19"/>
  <c r="J59" i="19"/>
  <c r="J62" i="19"/>
  <c r="J58" i="19"/>
  <c r="J61" i="19"/>
  <c r="J57" i="19"/>
  <c r="J60" i="19"/>
  <c r="J46" i="19"/>
  <c r="J47" i="19"/>
  <c r="J44" i="19"/>
  <c r="J45" i="19"/>
  <c r="J41" i="19"/>
  <c r="J42" i="19"/>
  <c r="J77" i="19"/>
  <c r="J73" i="19"/>
  <c r="J40" i="19"/>
  <c r="J38" i="19"/>
  <c r="J76" i="19"/>
  <c r="J75" i="19"/>
  <c r="J50" i="19"/>
  <c r="J52" i="19"/>
  <c r="J53" i="19"/>
  <c r="J49" i="19"/>
  <c r="J51" i="19"/>
  <c r="H77" i="19"/>
  <c r="H73" i="19"/>
  <c r="H38" i="19"/>
  <c r="H40" i="19"/>
  <c r="D38" i="20"/>
  <c r="E38" i="20" s="1"/>
  <c r="D36" i="20"/>
  <c r="E36" i="20" s="1"/>
  <c r="D34" i="20"/>
  <c r="E34" i="20" s="1"/>
  <c r="D32" i="20"/>
  <c r="E32" i="20" s="1"/>
  <c r="D30" i="20"/>
  <c r="E30" i="20" s="1"/>
  <c r="H27" i="20"/>
  <c r="I27" i="20" s="1"/>
  <c r="H24" i="20"/>
  <c r="I24" i="20" s="1"/>
  <c r="L40" i="20"/>
  <c r="M40" i="20" s="1"/>
  <c r="H39" i="20"/>
  <c r="I39" i="20" s="1"/>
  <c r="H37" i="20"/>
  <c r="I37" i="20" s="1"/>
  <c r="L34" i="20"/>
  <c r="M34" i="20" s="1"/>
  <c r="H31" i="20"/>
  <c r="I31" i="20" s="1"/>
  <c r="H29" i="20"/>
  <c r="I29" i="20" s="1"/>
  <c r="D28" i="20"/>
  <c r="E28" i="20" s="1"/>
  <c r="L26" i="20"/>
  <c r="M26" i="20" s="1"/>
  <c r="H40" i="20"/>
  <c r="I40" i="20" s="1"/>
  <c r="L39" i="20"/>
  <c r="M39" i="20" s="1"/>
  <c r="D39" i="20"/>
  <c r="E39" i="20" s="1"/>
  <c r="H38" i="20"/>
  <c r="I38" i="20" s="1"/>
  <c r="L37" i="20"/>
  <c r="M37" i="20" s="1"/>
  <c r="D37" i="20"/>
  <c r="E37" i="20" s="1"/>
  <c r="H36" i="20"/>
  <c r="I36" i="20" s="1"/>
  <c r="L35" i="20"/>
  <c r="M35" i="20" s="1"/>
  <c r="D35" i="20"/>
  <c r="E35" i="20" s="1"/>
  <c r="H34" i="20"/>
  <c r="I34" i="20" s="1"/>
  <c r="L33" i="20"/>
  <c r="M33" i="20" s="1"/>
  <c r="D33" i="20"/>
  <c r="E33" i="20" s="1"/>
  <c r="H32" i="20"/>
  <c r="I32" i="20" s="1"/>
  <c r="L31" i="20"/>
  <c r="M31" i="20" s="1"/>
  <c r="D31" i="20"/>
  <c r="E31" i="20" s="1"/>
  <c r="H30" i="20"/>
  <c r="I30" i="20" s="1"/>
  <c r="L29" i="20"/>
  <c r="M29" i="20" s="1"/>
  <c r="D29" i="20"/>
  <c r="E29" i="20" s="1"/>
  <c r="H28" i="20"/>
  <c r="I28" i="20" s="1"/>
  <c r="L27" i="20"/>
  <c r="M27" i="20" s="1"/>
  <c r="D27" i="20"/>
  <c r="E27" i="20" s="1"/>
  <c r="H26" i="20"/>
  <c r="I26" i="20" s="1"/>
  <c r="L24" i="20"/>
  <c r="M24" i="20" s="1"/>
  <c r="D24" i="20"/>
  <c r="E24" i="20" s="1"/>
  <c r="D40" i="20"/>
  <c r="E40" i="20" s="1"/>
  <c r="L38" i="20"/>
  <c r="M38" i="20" s="1"/>
  <c r="L36" i="20"/>
  <c r="M36" i="20" s="1"/>
  <c r="H35" i="20"/>
  <c r="I35" i="20" s="1"/>
  <c r="H33" i="20"/>
  <c r="I33" i="20" s="1"/>
  <c r="L32" i="20"/>
  <c r="M32" i="20" s="1"/>
  <c r="L30" i="20"/>
  <c r="M30" i="20" s="1"/>
  <c r="L28" i="20"/>
  <c r="M28" i="20" s="1"/>
  <c r="D26" i="20"/>
  <c r="E26" i="20" s="1"/>
  <c r="I25" i="20"/>
  <c r="M23" i="20"/>
  <c r="M25" i="20"/>
  <c r="I23" i="20"/>
  <c r="M6" i="20"/>
  <c r="M7" i="20" s="1"/>
  <c r="H37" i="19"/>
  <c r="J37" i="19"/>
  <c r="I41" i="20" l="1"/>
  <c r="M41" i="20"/>
  <c r="E41" i="20"/>
  <c r="M8" i="20" l="1"/>
  <c r="M9" i="20" s="1"/>
  <c r="M10" i="20" s="1"/>
  <c r="M11" i="20" s="1"/>
  <c r="M12" i="20" s="1"/>
  <c r="G74" i="19"/>
  <c r="E50" i="19"/>
  <c r="G61" i="19"/>
  <c r="E41" i="19"/>
  <c r="E45" i="19"/>
  <c r="G57" i="19"/>
  <c r="G42" i="19"/>
  <c r="G46" i="19"/>
  <c r="G50" i="19"/>
  <c r="E78" i="19"/>
  <c r="G49" i="19"/>
  <c r="G52" i="19"/>
  <c r="E73" i="19"/>
  <c r="G14" i="19"/>
  <c r="G30" i="19"/>
  <c r="E22" i="19"/>
  <c r="C14" i="19"/>
  <c r="C30" i="19"/>
  <c r="G25" i="19"/>
  <c r="C21" i="19"/>
  <c r="G19" i="19"/>
  <c r="G35" i="19"/>
  <c r="E27" i="19"/>
  <c r="C19" i="19"/>
  <c r="C35" i="19"/>
  <c r="G28" i="19"/>
  <c r="E24" i="19"/>
  <c r="C16" i="19"/>
  <c r="C32" i="19"/>
  <c r="G13" i="19"/>
  <c r="E13" i="19"/>
  <c r="K35" i="19"/>
  <c r="I35" i="19"/>
  <c r="K20" i="19"/>
  <c r="K30" i="19"/>
  <c r="K33" i="19"/>
  <c r="K27" i="19"/>
  <c r="K29" i="19"/>
  <c r="I14" i="19"/>
  <c r="I25" i="19"/>
  <c r="I17" i="19"/>
  <c r="I20" i="19"/>
  <c r="K18" i="19"/>
  <c r="I23" i="19"/>
  <c r="E48" i="19"/>
  <c r="G75" i="19"/>
  <c r="E49" i="19"/>
  <c r="E40" i="19"/>
  <c r="G53" i="19"/>
  <c r="E60" i="19"/>
  <c r="E77" i="19"/>
  <c r="E34" i="19"/>
  <c r="G17" i="19"/>
  <c r="G15" i="19"/>
  <c r="E23" i="19"/>
  <c r="C31" i="19"/>
  <c r="E36" i="19"/>
  <c r="E33" i="19"/>
  <c r="G55" i="19"/>
  <c r="G58" i="19"/>
  <c r="G44" i="19"/>
  <c r="G47" i="19"/>
  <c r="G51" i="19"/>
  <c r="G38" i="19"/>
  <c r="E58" i="19"/>
  <c r="E61" i="19"/>
  <c r="E75" i="19"/>
  <c r="E51" i="19"/>
  <c r="E46" i="19"/>
  <c r="G41" i="19"/>
  <c r="G45" i="19"/>
  <c r="G18" i="19"/>
  <c r="G34" i="19"/>
  <c r="E26" i="19"/>
  <c r="C18" i="19"/>
  <c r="C34" i="19"/>
  <c r="G33" i="19"/>
  <c r="C29" i="19"/>
  <c r="G23" i="19"/>
  <c r="E15" i="19"/>
  <c r="E31" i="19"/>
  <c r="C23" i="19"/>
  <c r="G16" i="19"/>
  <c r="G32" i="19"/>
  <c r="E28" i="19"/>
  <c r="C20" i="19"/>
  <c r="C36" i="19"/>
  <c r="E17" i="19"/>
  <c r="C17" i="19"/>
  <c r="K14" i="19"/>
  <c r="I36" i="19"/>
  <c r="I31" i="19"/>
  <c r="K21" i="19"/>
  <c r="K16" i="19"/>
  <c r="I29" i="19"/>
  <c r="I27" i="19"/>
  <c r="I13" i="19"/>
  <c r="K34" i="19"/>
  <c r="I28" i="19"/>
  <c r="I33" i="19"/>
  <c r="I32" i="19"/>
  <c r="K19" i="19"/>
  <c r="E55" i="19"/>
  <c r="E53" i="19"/>
  <c r="G78" i="19"/>
  <c r="G60" i="19"/>
  <c r="E44" i="19"/>
  <c r="E57" i="19"/>
  <c r="G76" i="19"/>
  <c r="E18" i="19"/>
  <c r="C26" i="19"/>
  <c r="E29" i="19"/>
  <c r="G31" i="19"/>
  <c r="C15" i="19"/>
  <c r="E20" i="19"/>
  <c r="G29" i="19"/>
  <c r="E74" i="19"/>
  <c r="G48" i="19"/>
  <c r="G40" i="19"/>
  <c r="E59" i="19"/>
  <c r="E62" i="19"/>
  <c r="E76" i="19"/>
  <c r="E52" i="19"/>
  <c r="G73" i="19"/>
  <c r="G77" i="19"/>
  <c r="E47" i="19"/>
  <c r="G59" i="19"/>
  <c r="G62" i="19"/>
  <c r="E38" i="19"/>
  <c r="E42" i="19"/>
  <c r="G22" i="19"/>
  <c r="E14" i="19"/>
  <c r="E30" i="19"/>
  <c r="C22" i="19"/>
  <c r="G36" i="19"/>
  <c r="E21" i="19"/>
  <c r="C13" i="19"/>
  <c r="G27" i="19"/>
  <c r="E19" i="19"/>
  <c r="E35" i="19"/>
  <c r="C27" i="19"/>
  <c r="G20" i="19"/>
  <c r="E16" i="19"/>
  <c r="E32" i="19"/>
  <c r="C24" i="19"/>
  <c r="G21" i="19"/>
  <c r="E25" i="19"/>
  <c r="C25" i="19"/>
  <c r="K26" i="19"/>
  <c r="I24" i="19"/>
  <c r="I19" i="19"/>
  <c r="I30" i="19"/>
  <c r="I16" i="19"/>
  <c r="K36" i="19"/>
  <c r="I34" i="19"/>
  <c r="G37" i="19"/>
  <c r="I15" i="19"/>
  <c r="K13" i="19"/>
  <c r="I21" i="19"/>
  <c r="I18" i="19"/>
  <c r="G26" i="19"/>
  <c r="G24" i="19"/>
  <c r="C28" i="19"/>
  <c r="C33" i="19"/>
  <c r="K22" i="19"/>
  <c r="K24" i="19"/>
  <c r="I22" i="19"/>
  <c r="I26" i="19"/>
  <c r="K23" i="19"/>
  <c r="K15" i="19"/>
  <c r="K32" i="19"/>
  <c r="K31" i="19"/>
  <c r="K17" i="19"/>
  <c r="K28" i="19"/>
  <c r="E37" i="19"/>
  <c r="K25" i="19"/>
  <c r="C55" i="19"/>
  <c r="C48" i="19"/>
  <c r="C44" i="19"/>
  <c r="I44" i="19" s="1"/>
  <c r="C46" i="19"/>
  <c r="C77" i="19"/>
  <c r="C52" i="19"/>
  <c r="C42" i="19"/>
  <c r="C41" i="19"/>
  <c r="C53" i="19"/>
  <c r="C62" i="19"/>
  <c r="C59" i="19"/>
  <c r="C57" i="19"/>
  <c r="C47" i="19"/>
  <c r="C49" i="19"/>
  <c r="C74" i="19"/>
  <c r="C51" i="19"/>
  <c r="I51" i="19" s="1"/>
  <c r="C61" i="19"/>
  <c r="C58" i="19"/>
  <c r="C38" i="19"/>
  <c r="C73" i="19"/>
  <c r="C45" i="19"/>
  <c r="C75" i="19"/>
  <c r="C76" i="19"/>
  <c r="C60" i="19"/>
  <c r="C78" i="19"/>
  <c r="C50" i="19"/>
  <c r="C40" i="19"/>
  <c r="C37" i="19"/>
  <c r="H6" i="19" s="1"/>
  <c r="I6" i="19" s="1"/>
  <c r="L6" i="19" s="1"/>
  <c r="M6" i="19" s="1"/>
  <c r="N6" i="19" s="1"/>
  <c r="K50" i="19" l="1"/>
  <c r="I53" i="19"/>
  <c r="H7" i="19"/>
  <c r="I7" i="19" s="1"/>
  <c r="L7" i="19" s="1"/>
  <c r="M7" i="19" s="1"/>
  <c r="N7" i="19" s="1"/>
  <c r="H5" i="19"/>
  <c r="I5" i="19" s="1"/>
  <c r="L5" i="19" s="1"/>
  <c r="M5" i="19" s="1"/>
  <c r="N5" i="19" s="1"/>
  <c r="H4" i="19"/>
  <c r="I4" i="19" s="1"/>
  <c r="L4" i="19" s="1"/>
  <c r="I55" i="19"/>
  <c r="I37" i="19"/>
  <c r="K57" i="19"/>
  <c r="I76" i="19"/>
  <c r="I75" i="19"/>
  <c r="I49" i="19"/>
  <c r="I62" i="19"/>
  <c r="K52" i="19"/>
  <c r="K73" i="19"/>
  <c r="I50" i="19"/>
  <c r="K42" i="19"/>
  <c r="K44" i="19"/>
  <c r="K55" i="19"/>
  <c r="K75" i="19"/>
  <c r="K59" i="19"/>
  <c r="K60" i="19"/>
  <c r="I61" i="19"/>
  <c r="K47" i="19"/>
  <c r="I74" i="19"/>
  <c r="I40" i="19"/>
  <c r="K45" i="19"/>
  <c r="I59" i="19"/>
  <c r="I42" i="19"/>
  <c r="I46" i="19"/>
  <c r="I38" i="19"/>
  <c r="I57" i="19"/>
  <c r="K78" i="19"/>
  <c r="I58" i="19"/>
  <c r="K41" i="19"/>
  <c r="K77" i="19"/>
  <c r="I48" i="19"/>
  <c r="K58" i="19"/>
  <c r="I41" i="19"/>
  <c r="I47" i="19"/>
  <c r="K53" i="19"/>
  <c r="I77" i="19"/>
  <c r="K40" i="19"/>
  <c r="I78" i="19"/>
  <c r="K76" i="19"/>
  <c r="I45" i="19"/>
  <c r="K38" i="19"/>
  <c r="K61" i="19"/>
  <c r="K74" i="19"/>
  <c r="K46" i="19"/>
  <c r="I60" i="19"/>
  <c r="I73" i="19"/>
  <c r="K51" i="19"/>
  <c r="K49" i="19"/>
  <c r="K62" i="19"/>
  <c r="I52" i="19"/>
  <c r="K48" i="19"/>
  <c r="K37" i="19"/>
  <c r="L8" i="19" l="1"/>
  <c r="M4" i="19"/>
  <c r="N4" i="19" s="1"/>
</calcChain>
</file>

<file path=xl/sharedStrings.xml><?xml version="1.0" encoding="utf-8"?>
<sst xmlns="http://schemas.openxmlformats.org/spreadsheetml/2006/main" count="1929" uniqueCount="173">
  <si>
    <t>Sa</t>
  </si>
  <si>
    <t>Kunde:</t>
  </si>
  <si>
    <t>Spots Gesamt</t>
  </si>
  <si>
    <t>Produkt:</t>
  </si>
  <si>
    <t>Sekunden Ges.</t>
  </si>
  <si>
    <t>Agentur:</t>
  </si>
  <si>
    <t xml:space="preserve">Euro </t>
  </si>
  <si>
    <t>Spotlänge in Sekunden:</t>
  </si>
  <si>
    <t>UHRZEIT</t>
  </si>
  <si>
    <t>MONTAG - FREITAG</t>
  </si>
  <si>
    <t>SAMSTAG</t>
  </si>
  <si>
    <t>SONNTAG</t>
  </si>
  <si>
    <t>WOCHE 4</t>
  </si>
  <si>
    <t>WOCHE 5</t>
  </si>
  <si>
    <t>WOCHE 6</t>
  </si>
  <si>
    <t>Euro/</t>
  </si>
  <si>
    <t>Mo</t>
  </si>
  <si>
    <t>Di</t>
  </si>
  <si>
    <t>Mi</t>
  </si>
  <si>
    <t>Do</t>
  </si>
  <si>
    <t>Fr</t>
  </si>
  <si>
    <t>So</t>
  </si>
  <si>
    <t>Anz.</t>
  </si>
  <si>
    <t>Sek.</t>
  </si>
  <si>
    <t>Spot</t>
  </si>
  <si>
    <t>ges.</t>
  </si>
  <si>
    <t>5-6 Uhr</t>
  </si>
  <si>
    <t>6-7 Uhr</t>
  </si>
  <si>
    <t>7-8 Uhr</t>
  </si>
  <si>
    <t>8-9 Uhr</t>
  </si>
  <si>
    <t>9-10 Uhr</t>
  </si>
  <si>
    <t>10-11 Uhr</t>
  </si>
  <si>
    <t>11-12 Uhr</t>
  </si>
  <si>
    <t>12-13 Uhr</t>
  </si>
  <si>
    <t>13-14 Uhr</t>
  </si>
  <si>
    <t>14-15 Uhr</t>
  </si>
  <si>
    <t>15-16 Uhr</t>
  </si>
  <si>
    <t>16-17 Uhr</t>
  </si>
  <si>
    <t>17-18 Uhr</t>
  </si>
  <si>
    <t>18-19 Uhr</t>
  </si>
  <si>
    <t>19-20 Uhr</t>
  </si>
  <si>
    <t>20-21 Uhr</t>
  </si>
  <si>
    <t>21-22 Uhr</t>
  </si>
  <si>
    <t>22-23 Uhr</t>
  </si>
  <si>
    <t>23-24 Uhr</t>
  </si>
  <si>
    <t>SUMME</t>
  </si>
  <si>
    <t xml:space="preserve">Rabatt </t>
  </si>
  <si>
    <t>Netto 1</t>
  </si>
  <si>
    <t xml:space="preserve">AE </t>
  </si>
  <si>
    <t>Netto 2</t>
  </si>
  <si>
    <t>WOCHE 1</t>
  </si>
  <si>
    <t>WOCHE 2</t>
  </si>
  <si>
    <t>WOCHE 3</t>
  </si>
  <si>
    <t>Sekundenlänge:</t>
  </si>
  <si>
    <t>SPOTPREIS</t>
  </si>
  <si>
    <t>Mo-Fr</t>
  </si>
  <si>
    <t>MO-SA</t>
  </si>
  <si>
    <t>MO-SO</t>
  </si>
  <si>
    <t>ZEITSCHIENE</t>
  </si>
  <si>
    <t>€/SPOT</t>
  </si>
  <si>
    <t xml:space="preserve"> 5-6</t>
  </si>
  <si>
    <t xml:space="preserve"> 6-7</t>
  </si>
  <si>
    <t xml:space="preserve"> 7-8</t>
  </si>
  <si>
    <t xml:space="preserve"> 8-9</t>
  </si>
  <si>
    <t xml:space="preserve"> 9-10</t>
  </si>
  <si>
    <t xml:space="preserve"> 10-11</t>
  </si>
  <si>
    <t xml:space="preserve"> 11-12</t>
  </si>
  <si>
    <t xml:space="preserve"> 12-13</t>
  </si>
  <si>
    <t xml:space="preserve"> 13-14</t>
  </si>
  <si>
    <t xml:space="preserve"> 14-15</t>
  </si>
  <si>
    <t xml:space="preserve"> 15-16</t>
  </si>
  <si>
    <t xml:space="preserve"> 16-17</t>
  </si>
  <si>
    <t xml:space="preserve"> 17-18</t>
  </si>
  <si>
    <t xml:space="preserve"> 18-19</t>
  </si>
  <si>
    <t xml:space="preserve"> 19-20</t>
  </si>
  <si>
    <t xml:space="preserve"> 20-21</t>
  </si>
  <si>
    <t xml:space="preserve"> 21-22</t>
  </si>
  <si>
    <t xml:space="preserve"> 22-23</t>
  </si>
  <si>
    <t xml:space="preserve"> 23-24</t>
  </si>
  <si>
    <t>ø 06-18</t>
  </si>
  <si>
    <t>ø 05-10</t>
  </si>
  <si>
    <t>ø 06-09</t>
  </si>
  <si>
    <t>ø 06-10</t>
  </si>
  <si>
    <t>ø 06-19</t>
  </si>
  <si>
    <t>ø 06-20</t>
  </si>
  <si>
    <t>ø 06-22</t>
  </si>
  <si>
    <t>ø 08-13</t>
  </si>
  <si>
    <t>ø 08-18</t>
  </si>
  <si>
    <t>ø 08-20</t>
  </si>
  <si>
    <t>ø 08-22</t>
  </si>
  <si>
    <t>ø 10-16</t>
  </si>
  <si>
    <t>ø 10-18</t>
  </si>
  <si>
    <t>ø 10-20</t>
  </si>
  <si>
    <t>ø 10-22</t>
  </si>
  <si>
    <t>ø 18-22</t>
  </si>
  <si>
    <t>ø 18-24</t>
  </si>
  <si>
    <t>ø 19-24</t>
  </si>
  <si>
    <t>ø 20-24</t>
  </si>
  <si>
    <t>Aufschlag in %</t>
  </si>
  <si>
    <t>ø 10-19</t>
  </si>
  <si>
    <t>ø 08-19</t>
  </si>
  <si>
    <t>ø 17-21</t>
  </si>
  <si>
    <t>ø 05-24</t>
  </si>
  <si>
    <t xml:space="preserve"> 0-1</t>
  </si>
  <si>
    <t xml:space="preserve"> 4-5</t>
  </si>
  <si>
    <t xml:space="preserve"> 3-4</t>
  </si>
  <si>
    <t xml:space="preserve"> 2-3</t>
  </si>
  <si>
    <t xml:space="preserve"> 1-2</t>
  </si>
  <si>
    <t>ø 10-24</t>
  </si>
  <si>
    <t>€/SEK. (Index 100)</t>
  </si>
  <si>
    <t>Spotlängenbonus</t>
  </si>
  <si>
    <t>Sekunden</t>
  </si>
  <si>
    <t>-</t>
  </si>
  <si>
    <t>Index</t>
  </si>
  <si>
    <r>
      <t>€/SEK.</t>
    </r>
    <r>
      <rPr>
        <sz val="8"/>
        <color indexed="9"/>
        <rFont val="HelveticaNeueLT Pro 47 LtCn"/>
      </rPr>
      <t xml:space="preserve"> (Index 100)</t>
    </r>
  </si>
  <si>
    <t>ø 06-24</t>
  </si>
  <si>
    <t>4-5 Uhr</t>
  </si>
  <si>
    <t>3-4 Uhr</t>
  </si>
  <si>
    <t>2-3 Uhr</t>
  </si>
  <si>
    <t>1-2 Uhr</t>
  </si>
  <si>
    <t>0-1 Uhr</t>
  </si>
  <si>
    <t>€/SEK.</t>
  </si>
  <si>
    <t>ø 07-24</t>
  </si>
  <si>
    <t>ø 18-21</t>
  </si>
  <si>
    <t>ø 09-24</t>
  </si>
  <si>
    <t>Berechnung</t>
  </si>
  <si>
    <t>Anzahl Spots</t>
  </si>
  <si>
    <t>Gesamtinvestition</t>
  </si>
  <si>
    <t>Invesition pro Spot</t>
  </si>
  <si>
    <t>Wochentag</t>
  </si>
  <si>
    <t>Abzgl. Cash-Rabatt</t>
  </si>
  <si>
    <t>Abzgl. 15%AE</t>
  </si>
  <si>
    <t>Bitte Wochentag und Zeitschine per Dropdown auswählen. Anzahl der Spots, Sekundenlänge und ggf. Rabatte eingeben</t>
  </si>
  <si>
    <t>kummulierter Rabatt</t>
  </si>
  <si>
    <t>Payfaktor</t>
  </si>
  <si>
    <t>N/N Invest</t>
  </si>
  <si>
    <t>Mo-Sa</t>
  </si>
  <si>
    <t>Mo-So</t>
  </si>
  <si>
    <t>ø 08-24</t>
  </si>
  <si>
    <t>Wo soll's hingehen?</t>
  </si>
  <si>
    <t>Radio Hamburg</t>
  </si>
  <si>
    <t>ROCK ANTENNE Hamburg</t>
  </si>
  <si>
    <t>Hamburg-Kombi+</t>
  </si>
  <si>
    <t>CARAVAN.fm</t>
  </si>
  <si>
    <t>Preise</t>
  </si>
  <si>
    <t>Planer</t>
  </si>
  <si>
    <t>Die Hamburg-Kombi+ beinhaltet die 5 Sender: Radio Hamburg, HAMBURG ZWEI &amp; ROCK ANTENNE Hamburg, ffn für die Hamburger UKW-Frequenz (100.6) und DAB+ Frequenz, Radio Bollerwagen für die Hamburger DAB+ Frequenz</t>
  </si>
  <si>
    <t>Radio Bollerwagen für HH DAB+ Frequenz</t>
  </si>
  <si>
    <t>ffn für die Hamburger UKW-Frequenz (100.6) und DAB+ Frequenz</t>
  </si>
  <si>
    <t>ø 14-22</t>
  </si>
  <si>
    <t>ø 12-24</t>
  </si>
  <si>
    <t>ø 14-20</t>
  </si>
  <si>
    <t>ø 14-24</t>
  </si>
  <si>
    <t>Zeitschiene</t>
  </si>
  <si>
    <t>ø 06-14</t>
  </si>
  <si>
    <t>ø 15-22</t>
  </si>
  <si>
    <t>ø 15-21</t>
  </si>
  <si>
    <t>ø 10-15</t>
  </si>
  <si>
    <t>ø 15-24</t>
  </si>
  <si>
    <t>RADIO BOLLERWAGEN</t>
  </si>
  <si>
    <t>radio ffn</t>
  </si>
  <si>
    <t>Es sind keine Single-Spots buchbar!</t>
  </si>
  <si>
    <t>Single-Spot max 45 Sek. Berechnung: Länge + 50%</t>
  </si>
  <si>
    <t>Erst-Letzt-Platzierung  Berechnung: Länge + 30%</t>
  </si>
  <si>
    <t>Letzt-Platzierung  Berechnung: Länge + 30%</t>
  </si>
  <si>
    <t>ø 14-19</t>
  </si>
  <si>
    <t>ø 17-19</t>
  </si>
  <si>
    <t>ø 05-22</t>
  </si>
  <si>
    <t>Ø 16-19</t>
  </si>
  <si>
    <t>Preise 2026 (gültig ab 1. Januar 2026)</t>
  </si>
  <si>
    <t>MORE Hamburg-Kombi</t>
  </si>
  <si>
    <t>Die MORE Hamburg-Kombi beinhaltet die 3 Sender: Radio Hamburg, HAMBURG ZWEI &amp; ROCK ANTENNE Hamburg</t>
  </si>
  <si>
    <t>80er 90er OAHH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</si>
</sst>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[$€]_-;\-* #,##0\ [$€]_-;_-* &quot;-&quot;??\ [$€]_-;_-@_-"/>
    <numFmt numFmtId="166" formatCode="d/\ mmmm\ yyyy"/>
    <numFmt numFmtId="167" formatCode="#,##0_ ;\-#,##0\ "/>
    <numFmt numFmtId="168" formatCode="_-* #,##0.00\ [$€]_-;\-* #,##0.00\ [$€]_-;_-* &quot;-&quot;??\ [$€]_-;_-@_-"/>
    <numFmt numFmtId="169" formatCode="_-* #,##0\ _€_-;\-* #,##0\ _€_-;_-* &quot;-&quot;??\ _€_-;_-@_-"/>
    <numFmt numFmtId="170" formatCode="#,##0.00\ &quot;€&quot;"/>
  </numFmts>
  <fonts count="61">
    <font>
      <sz val="11"/>
      <color theme="1"/>
      <name val="Calibri"/>
      <family val="2"/>
      <scheme val="minor"/>
    </font>
    <font>
      <sz val="12"/>
      <name val="HelveticaNeueLT Pro 45 Lt"/>
      <family val="2"/>
    </font>
    <font>
      <sz val="12"/>
      <name val="HelveticaNeueLT Pro 47 LtCn"/>
      <family val="2"/>
    </font>
    <font>
      <b/>
      <sz val="12"/>
      <name val="HelveticaNeueLT Pro 47 LtCn"/>
      <family val="2"/>
    </font>
    <font>
      <sz val="10"/>
      <name val="HelveticaNeueLT Pro 47 LtCn"/>
      <family val="2"/>
    </font>
    <font>
      <sz val="12"/>
      <name val="Arial"/>
      <family val="2"/>
    </font>
    <font>
      <b/>
      <sz val="22"/>
      <name val="HelveticaNeueLT Pro 47 LtCn"/>
      <family val="2"/>
    </font>
    <font>
      <b/>
      <sz val="14"/>
      <name val="HelveticaNeueLT Pro 47 LtCn"/>
      <family val="2"/>
    </font>
    <font>
      <sz val="14"/>
      <name val="HelveticaNeueLT Pro 47 LtCn"/>
      <family val="2"/>
    </font>
    <font>
      <sz val="14"/>
      <name val="Arial"/>
      <family val="2"/>
    </font>
    <font>
      <b/>
      <sz val="15"/>
      <name val="HelveticaNeueLT Pro 47 LtCn"/>
      <family val="2"/>
    </font>
    <font>
      <b/>
      <sz val="14"/>
      <name val="HelveticaNeueLT Pro 45 Lt"/>
      <family val="2"/>
    </font>
    <font>
      <b/>
      <sz val="12"/>
      <name val="HelveticaNeueLT Pro 45 Lt"/>
      <family val="2"/>
    </font>
    <font>
      <sz val="10"/>
      <name val="HelveticaNeueLT Pro 45 Lt"/>
      <family val="2"/>
    </font>
    <font>
      <b/>
      <sz val="18"/>
      <name val="HelveticaNeue LT CYR 97 BlkCnO"/>
      <charset val="161"/>
    </font>
    <font>
      <sz val="8"/>
      <color indexed="9"/>
      <name val="HelveticaNeueLT Pro 47 LtCn"/>
    </font>
    <font>
      <sz val="11"/>
      <color theme="1"/>
      <name val="Calibri"/>
      <family val="2"/>
      <scheme val="minor"/>
    </font>
    <font>
      <b/>
      <sz val="12"/>
      <color rgb="FFE20000"/>
      <name val="HelveticaNeueLT Pro 107 XBlkCn"/>
      <family val="2"/>
    </font>
    <font>
      <sz val="12"/>
      <color rgb="FFE20000"/>
      <name val="HelveticaNeueLT Pro 47 LtCn"/>
      <family val="2"/>
    </font>
    <font>
      <b/>
      <sz val="10"/>
      <color rgb="FFE20000"/>
      <name val="HelveticaNeueLT Pro 107 XBlkCn"/>
      <family val="2"/>
    </font>
    <font>
      <b/>
      <sz val="12"/>
      <color rgb="FFDE0000"/>
      <name val="HelveticaNeueLT Pro 47 LtCn"/>
      <family val="2"/>
    </font>
    <font>
      <b/>
      <sz val="12"/>
      <color rgb="FFDE0000"/>
      <name val="Arial"/>
      <family val="2"/>
    </font>
    <font>
      <b/>
      <sz val="14"/>
      <color theme="0"/>
      <name val="HelveticaNeueLT Pro 47 LtCn"/>
      <family val="2"/>
    </font>
    <font>
      <sz val="14"/>
      <color theme="0"/>
      <name val="HelveticaNeueLT Pro 47 LtCn"/>
      <family val="2"/>
    </font>
    <font>
      <b/>
      <sz val="24"/>
      <color rgb="FFFF0000"/>
      <name val="Eagle Book"/>
      <family val="3"/>
    </font>
    <font>
      <b/>
      <sz val="36"/>
      <color rgb="FFDE0000"/>
      <name val="Eagle Book"/>
      <family val="3"/>
    </font>
    <font>
      <b/>
      <sz val="12"/>
      <color rgb="FF05557E"/>
      <name val="HelveticaNeueLT Pro 45 Lt"/>
      <family val="2"/>
    </font>
    <font>
      <b/>
      <sz val="12"/>
      <color rgb="FF05557E"/>
      <name val="HelveticaNeueLT Pro 47 LtCn"/>
      <family val="2"/>
    </font>
    <font>
      <b/>
      <sz val="12"/>
      <color rgb="FF05557E"/>
      <name val="HelveticaNeueLT Pro 107 XBlkCn"/>
      <family val="2"/>
    </font>
    <font>
      <b/>
      <sz val="10"/>
      <color rgb="FF05557E"/>
      <name val="HelveticaNeueLT Pro 107 XBlkCn"/>
      <family val="2"/>
    </font>
    <font>
      <sz val="10"/>
      <color rgb="FF05557E"/>
      <name val="HelveticaNeueLT Pro 45 Lt"/>
      <family val="2"/>
    </font>
    <font>
      <sz val="10"/>
      <color rgb="FF05557E"/>
      <name val="HelveticaNeueLT Pro 47 LtCn"/>
      <family val="2"/>
    </font>
    <font>
      <sz val="12"/>
      <color rgb="FF05557E"/>
      <name val="HelveticaNeueLT Pro 47 LtCn"/>
      <family val="2"/>
    </font>
    <font>
      <sz val="12"/>
      <name val="HelveticaNeueLT Pro 47 LtCn"/>
    </font>
    <font>
      <b/>
      <sz val="12"/>
      <color rgb="FFF6A800"/>
      <name val="HelveticaNeueLT Pro 45 Lt"/>
      <family val="2"/>
    </font>
    <font>
      <b/>
      <sz val="12"/>
      <color rgb="FFF6A800"/>
      <name val="HelveticaNeueLT Pro 47 LtCn"/>
      <family val="2"/>
    </font>
    <font>
      <b/>
      <sz val="12"/>
      <color rgb="FFF6A800"/>
      <name val="HelveticaNeueLT Pro 107 XBlkCn"/>
      <family val="2"/>
    </font>
    <font>
      <b/>
      <sz val="10"/>
      <color rgb="FFF6A800"/>
      <name val="HelveticaNeueLT Pro 107 XBlkCn"/>
      <family val="2"/>
    </font>
    <font>
      <sz val="10"/>
      <color rgb="FFF6A800"/>
      <name val="HelveticaNeueLT Pro 45 Lt"/>
      <family val="2"/>
    </font>
    <font>
      <sz val="10"/>
      <color rgb="FFF6A800"/>
      <name val="HelveticaNeueLT Pro 47 LtCn"/>
      <family val="2"/>
    </font>
    <font>
      <sz val="12"/>
      <color rgb="FFF6A800"/>
      <name val="HelveticaNeueLT Pro 47 LtCn"/>
      <family val="2"/>
    </font>
    <font>
      <b/>
      <sz val="12"/>
      <name val="HelveticaNeueLT Pro 107 XBlkCn"/>
      <family val="2"/>
    </font>
    <font>
      <b/>
      <sz val="10"/>
      <name val="HelveticaNeueLT Pro 107 XBlkCn"/>
      <family val="2"/>
    </font>
    <font>
      <b/>
      <sz val="11"/>
      <name val="HelveticaNeue LT CYR 97 BlkCnO"/>
      <charset val="161"/>
    </font>
    <font>
      <b/>
      <sz val="12"/>
      <color rgb="FFFF0000"/>
      <name val="HelveticaNeueLT Pro 47 LtCn"/>
      <family val="2"/>
    </font>
    <font>
      <b/>
      <sz val="12"/>
      <color theme="1"/>
      <name val="HelveticaNeueLT Pro 107 XBlkCn"/>
      <family val="2"/>
    </font>
    <font>
      <b/>
      <sz val="10"/>
      <color theme="1"/>
      <name val="HelveticaNeueLT Pro 107 XBlkCn"/>
      <family val="2"/>
    </font>
    <font>
      <b/>
      <sz val="12"/>
      <color theme="1"/>
      <name val="HelveticaNeueLT Pro 47 LtCn"/>
      <family val="2"/>
    </font>
    <font>
      <sz val="10"/>
      <color theme="1"/>
      <name val="HelveticaNeueLT Pro 47 LtCn"/>
      <family val="2"/>
    </font>
    <font>
      <sz val="12"/>
      <color theme="1"/>
      <name val="HelveticaNeueLT Pro 47 LtCn"/>
      <family val="2"/>
    </font>
    <font>
      <b/>
      <sz val="12"/>
      <color rgb="FF92D050"/>
      <name val="HelveticaNeueLT Pro 107 XBlkCn"/>
      <family val="2"/>
    </font>
    <font>
      <sz val="12"/>
      <color rgb="FF92D050"/>
      <name val="HelveticaNeueLT Pro 47 LtCn"/>
      <family val="2"/>
    </font>
    <font>
      <b/>
      <sz val="10"/>
      <color rgb="FF92D050"/>
      <name val="HelveticaNeueLT Pro 107 XBlkCn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Lato"/>
      <family val="2"/>
    </font>
    <font>
      <sz val="11"/>
      <color theme="1"/>
      <name val="Lato"/>
      <family val="2"/>
    </font>
    <font>
      <u/>
      <sz val="20"/>
      <color theme="10"/>
      <name val="Lato"/>
      <family val="2"/>
    </font>
    <font>
      <b/>
      <sz val="14"/>
      <color theme="1"/>
      <name val="Lato"/>
      <family val="2"/>
    </font>
    <font>
      <b/>
      <sz val="12"/>
      <color theme="1"/>
      <name val="Lato"/>
      <family val="2"/>
    </font>
    <font>
      <b/>
      <sz val="11"/>
      <color theme="1"/>
      <name val="Lato"/>
      <family val="2"/>
    </font>
    <font>
      <b/>
      <sz val="10"/>
      <name val="HelveticaNeueLT Pro 47 LtCn"/>
      <family val="2"/>
    </font>
  </fonts>
  <fills count="1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020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5557E"/>
        <bgColor indexed="64"/>
      </patternFill>
    </fill>
    <fill>
      <patternFill patternType="solid">
        <fgColor rgb="FFF6A80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E82AE"/>
        <bgColor indexed="64"/>
      </patternFill>
    </fill>
  </fills>
  <borders count="50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E2001A"/>
      </left>
      <right style="medium">
        <color rgb="FFE2001A"/>
      </right>
      <top style="medium">
        <color rgb="FFE2001A"/>
      </top>
      <bottom/>
      <diagonal/>
    </border>
    <border>
      <left style="medium">
        <color rgb="FFE2001A"/>
      </left>
      <right style="medium">
        <color rgb="FFE2001A"/>
      </right>
      <top/>
      <bottom/>
      <diagonal/>
    </border>
    <border>
      <left/>
      <right style="hair">
        <color rgb="FFFF0000"/>
      </right>
      <top/>
      <bottom/>
      <diagonal/>
    </border>
    <border>
      <left style="hair">
        <color rgb="FFFF0000"/>
      </left>
      <right style="hair">
        <color rgb="FFFF0000"/>
      </right>
      <top/>
      <bottom/>
      <diagonal/>
    </border>
    <border>
      <left style="hair">
        <color rgb="FFFF0000"/>
      </left>
      <right style="medium">
        <color rgb="FFFF0000"/>
      </right>
      <top/>
      <bottom/>
      <diagonal/>
    </border>
    <border>
      <left style="hair">
        <color rgb="FFFF0000"/>
      </left>
      <right/>
      <top/>
      <bottom/>
      <diagonal/>
    </border>
    <border>
      <left style="medium">
        <color rgb="FFE2001A"/>
      </left>
      <right style="hair">
        <color rgb="FFE20000"/>
      </right>
      <top style="hair">
        <color rgb="FFE2001A"/>
      </top>
      <bottom/>
      <diagonal/>
    </border>
    <border>
      <left style="hair">
        <color rgb="FFE20000"/>
      </left>
      <right style="hair">
        <color rgb="FFE20000"/>
      </right>
      <top style="hair">
        <color rgb="FFE2001A"/>
      </top>
      <bottom/>
      <diagonal/>
    </border>
    <border>
      <left style="hair">
        <color rgb="FFE20000"/>
      </left>
      <right style="medium">
        <color rgb="FFE2001A"/>
      </right>
      <top style="hair">
        <color rgb="FFE2001A"/>
      </top>
      <bottom/>
      <diagonal/>
    </border>
    <border>
      <left style="medium">
        <color rgb="FFE2001A"/>
      </left>
      <right style="medium">
        <color rgb="FFE2001A"/>
      </right>
      <top/>
      <bottom style="medium">
        <color rgb="FFE2001A"/>
      </bottom>
      <diagonal/>
    </border>
    <border>
      <left/>
      <right style="hair">
        <color rgb="FFFF0000"/>
      </right>
      <top/>
      <bottom style="medium">
        <color rgb="FFE2001A"/>
      </bottom>
      <diagonal/>
    </border>
    <border>
      <left style="hair">
        <color rgb="FFFF0000"/>
      </left>
      <right style="hair">
        <color rgb="FFFF0000"/>
      </right>
      <top/>
      <bottom style="medium">
        <color rgb="FFE2001A"/>
      </bottom>
      <diagonal/>
    </border>
    <border>
      <left style="hair">
        <color rgb="FFFF0000"/>
      </left>
      <right style="medium">
        <color rgb="FFFF0000"/>
      </right>
      <top/>
      <bottom style="medium">
        <color rgb="FFE2001A"/>
      </bottom>
      <diagonal/>
    </border>
    <border>
      <left style="hair">
        <color rgb="FFFF0000"/>
      </left>
      <right/>
      <top/>
      <bottom style="medium">
        <color rgb="FFE2001A"/>
      </bottom>
      <diagonal/>
    </border>
    <border>
      <left style="medium">
        <color rgb="FFE2001A"/>
      </left>
      <right style="hair">
        <color rgb="FFFF0000"/>
      </right>
      <top/>
      <bottom style="medium">
        <color rgb="FFE2001A"/>
      </bottom>
      <diagonal/>
    </border>
    <border>
      <left style="hair">
        <color rgb="FFFF0000"/>
      </left>
      <right style="medium">
        <color rgb="FFE2001A"/>
      </right>
      <top/>
      <bottom style="medium">
        <color rgb="FFE2001A"/>
      </bottom>
      <diagonal/>
    </border>
    <border>
      <left style="medium">
        <color rgb="FFE2001A"/>
      </left>
      <right/>
      <top/>
      <bottom style="hair">
        <color rgb="FFFF0000"/>
      </bottom>
      <diagonal/>
    </border>
    <border>
      <left style="medium">
        <color rgb="FFE2001A"/>
      </left>
      <right style="hair">
        <color rgb="FFE2001A"/>
      </right>
      <top style="hair">
        <color rgb="FFE2001A"/>
      </top>
      <bottom style="hair">
        <color rgb="FFE2001A"/>
      </bottom>
      <diagonal/>
    </border>
    <border>
      <left style="hair">
        <color rgb="FFE2001A"/>
      </left>
      <right style="hair">
        <color rgb="FFE2001A"/>
      </right>
      <top style="hair">
        <color rgb="FFE2001A"/>
      </top>
      <bottom style="hair">
        <color rgb="FFE2001A"/>
      </bottom>
      <diagonal/>
    </border>
    <border>
      <left style="hair">
        <color rgb="FFE2001A"/>
      </left>
      <right style="medium">
        <color rgb="FFE2001A"/>
      </right>
      <top style="hair">
        <color rgb="FFE2001A"/>
      </top>
      <bottom style="hair">
        <color rgb="FFE2001A"/>
      </bottom>
      <diagonal/>
    </border>
    <border>
      <left style="medium">
        <color rgb="FFE2001A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medium">
        <color rgb="FFE2001A"/>
      </right>
      <top style="hair">
        <color rgb="FFFF0000"/>
      </top>
      <bottom style="hair">
        <color rgb="FFFF0000"/>
      </bottom>
      <diagonal/>
    </border>
    <border>
      <left style="medium">
        <color rgb="FFE2001A"/>
      </left>
      <right/>
      <top style="hair">
        <color rgb="FFFF0000"/>
      </top>
      <bottom style="hair">
        <color rgb="FFFF0000"/>
      </bottom>
      <diagonal/>
    </border>
    <border>
      <left style="medium">
        <color rgb="FFE2001A"/>
      </left>
      <right/>
      <top style="hair">
        <color rgb="FFFF0000"/>
      </top>
      <bottom style="medium">
        <color rgb="FFE2001A"/>
      </bottom>
      <diagonal/>
    </border>
    <border>
      <left style="medium">
        <color rgb="FFE2001A"/>
      </left>
      <right style="hair">
        <color rgb="FFE2001A"/>
      </right>
      <top style="hair">
        <color rgb="FFE2001A"/>
      </top>
      <bottom style="medium">
        <color rgb="FFE20000"/>
      </bottom>
      <diagonal/>
    </border>
    <border>
      <left style="medium">
        <color rgb="FFE2001A"/>
      </left>
      <right style="hair">
        <color rgb="FFFF0000"/>
      </right>
      <top style="hair">
        <color rgb="FFFF0000"/>
      </top>
      <bottom style="medium">
        <color rgb="FFE2001A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medium">
        <color rgb="FFE2001A"/>
      </bottom>
      <diagonal/>
    </border>
    <border>
      <left style="hair">
        <color rgb="FFFF0000"/>
      </left>
      <right style="medium">
        <color rgb="FFE2001A"/>
      </right>
      <top style="hair">
        <color rgb="FFFF0000"/>
      </top>
      <bottom style="medium">
        <color rgb="FFE2001A"/>
      </bottom>
      <diagonal/>
    </border>
    <border>
      <left style="medium">
        <color rgb="FFE2001A"/>
      </left>
      <right/>
      <top style="medium">
        <color rgb="FFE2001A"/>
      </top>
      <bottom style="medium">
        <color rgb="FFE2001A"/>
      </bottom>
      <diagonal/>
    </border>
    <border>
      <left style="medium">
        <color rgb="FFE20000"/>
      </left>
      <right style="hair">
        <color rgb="FFE20000"/>
      </right>
      <top style="medium">
        <color rgb="FFE20000"/>
      </top>
      <bottom style="medium">
        <color rgb="FFE20000"/>
      </bottom>
      <diagonal/>
    </border>
    <border>
      <left style="hair">
        <color rgb="FFE20000"/>
      </left>
      <right style="hair">
        <color rgb="FFE20000"/>
      </right>
      <top style="medium">
        <color rgb="FFE20000"/>
      </top>
      <bottom style="medium">
        <color rgb="FFE20000"/>
      </bottom>
      <diagonal/>
    </border>
    <border>
      <left style="hair">
        <color rgb="FFE20000"/>
      </left>
      <right style="medium">
        <color rgb="FFE20000"/>
      </right>
      <top style="medium">
        <color rgb="FFE20000"/>
      </top>
      <bottom style="medium">
        <color rgb="FFE20000"/>
      </bottom>
      <diagonal/>
    </border>
    <border>
      <left style="hair">
        <color rgb="FFE20000"/>
      </left>
      <right/>
      <top style="medium">
        <color rgb="FFE20000"/>
      </top>
      <bottom style="medium">
        <color rgb="FFE20000"/>
      </bottom>
      <diagonal/>
    </border>
    <border>
      <left style="medium">
        <color rgb="FFE2001A"/>
      </left>
      <right style="hair">
        <color rgb="FFE20000"/>
      </right>
      <top style="medium">
        <color rgb="FFE2001A"/>
      </top>
      <bottom style="medium">
        <color rgb="FFE2001A"/>
      </bottom>
      <diagonal/>
    </border>
    <border>
      <left style="hair">
        <color rgb="FFE20000"/>
      </left>
      <right style="hair">
        <color rgb="FFE20000"/>
      </right>
      <top style="medium">
        <color rgb="FFE2001A"/>
      </top>
      <bottom style="medium">
        <color rgb="FFE2001A"/>
      </bottom>
      <diagonal/>
    </border>
    <border>
      <left style="hair">
        <color rgb="FFE20000"/>
      </left>
      <right style="medium">
        <color rgb="FFE2001A"/>
      </right>
      <top style="medium">
        <color rgb="FFE2001A"/>
      </top>
      <bottom style="medium">
        <color rgb="FFE2001A"/>
      </bottom>
      <diagonal/>
    </border>
    <border>
      <left/>
      <right style="hair">
        <color rgb="FFE20000"/>
      </right>
      <top style="medium">
        <color rgb="FFE2001A"/>
      </top>
      <bottom style="medium">
        <color rgb="FFE2001A"/>
      </bottom>
      <diagonal/>
    </border>
    <border>
      <left style="medium">
        <color rgb="FFE20000"/>
      </left>
      <right style="hair">
        <color rgb="FFE20000"/>
      </right>
      <top style="medium">
        <color rgb="FFE2001A"/>
      </top>
      <bottom style="medium">
        <color rgb="FFE2001A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hair">
        <color rgb="FFFF0000"/>
      </top>
      <bottom style="hair">
        <color rgb="FFFF0000"/>
      </bottom>
      <diagonal/>
    </border>
    <border>
      <left style="medium">
        <color rgb="FFFF0000"/>
      </left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 style="medium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medium">
        <color rgb="FFFF0000"/>
      </right>
      <top/>
      <bottom style="hair">
        <color rgb="FFFF0000"/>
      </bottom>
      <diagonal/>
    </border>
    <border>
      <left style="hair">
        <color rgb="FFFF0000"/>
      </left>
      <right style="medium">
        <color rgb="FFFF0000"/>
      </right>
      <top style="hair">
        <color rgb="FFFF0000"/>
      </top>
      <bottom style="medium">
        <color rgb="FFFF0000"/>
      </bottom>
      <diagonal/>
    </border>
    <border>
      <left style="medium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medium">
        <color rgb="FFFF0000"/>
      </left>
      <right style="hair">
        <color rgb="FFFF0000"/>
      </right>
      <top style="hair">
        <color rgb="FFFF0000"/>
      </top>
      <bottom style="medium">
        <color rgb="FFFF0000"/>
      </bottom>
      <diagonal/>
    </border>
    <border>
      <left style="medium">
        <color rgb="FFFF0000"/>
      </left>
      <right/>
      <top style="hair">
        <color rgb="FFFF0000"/>
      </top>
      <bottom style="medium">
        <color rgb="FFFF0000"/>
      </bottom>
      <diagonal/>
    </border>
    <border>
      <left style="medium">
        <color rgb="FFFF0000"/>
      </left>
      <right style="hair">
        <color rgb="FFFF0000"/>
      </right>
      <top style="medium">
        <color rgb="FFFF0000"/>
      </top>
      <bottom style="hair">
        <color rgb="FFFF0000"/>
      </bottom>
      <diagonal/>
    </border>
    <border>
      <left style="hair">
        <color rgb="FFFF0000"/>
      </left>
      <right style="medium">
        <color rgb="FFFF0000"/>
      </right>
      <top style="medium">
        <color rgb="FFFF0000"/>
      </top>
      <bottom style="hair">
        <color rgb="FFFF0000"/>
      </bottom>
      <diagonal/>
    </border>
    <border>
      <left style="hair">
        <color rgb="FFFF0000"/>
      </left>
      <right style="medium">
        <color rgb="FFFF0000"/>
      </right>
      <top style="hair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hair">
        <color rgb="FFFF0000"/>
      </bottom>
      <diagonal/>
    </border>
    <border>
      <left style="medium">
        <color rgb="FFFF0000"/>
      </left>
      <right/>
      <top/>
      <bottom/>
      <diagonal/>
    </border>
    <border>
      <left style="hair">
        <color indexed="64"/>
      </left>
      <right style="medium">
        <color theme="0"/>
      </right>
      <top/>
      <bottom style="medium">
        <color theme="0"/>
      </bottom>
      <diagonal/>
    </border>
    <border>
      <left style="hair">
        <color indexed="64"/>
      </left>
      <right style="medium">
        <color theme="0"/>
      </right>
      <top/>
      <bottom/>
      <diagonal/>
    </border>
    <border>
      <left style="hair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hair">
        <color rgb="FFFF0000"/>
      </right>
      <top style="hair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/>
      <top style="hair">
        <color rgb="FFFF0000"/>
      </top>
      <bottom/>
      <diagonal/>
    </border>
    <border>
      <left style="medium">
        <color rgb="FFFF0000"/>
      </left>
      <right style="hair">
        <color rgb="FFFF0000"/>
      </right>
      <top/>
      <bottom style="medium">
        <color rgb="FFFF0000"/>
      </bottom>
      <diagonal/>
    </border>
    <border>
      <left style="hair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theme="0"/>
      </left>
      <right style="hair">
        <color indexed="64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hair">
        <color indexed="64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E2001A"/>
      </left>
      <right style="hair">
        <color indexed="64"/>
      </right>
      <top style="medium">
        <color rgb="FFE2001A"/>
      </top>
      <bottom style="hair">
        <color rgb="FFE2001A"/>
      </bottom>
      <diagonal/>
    </border>
    <border>
      <left style="hair">
        <color indexed="64"/>
      </left>
      <right style="hair">
        <color indexed="64"/>
      </right>
      <top style="medium">
        <color rgb="FFE2001A"/>
      </top>
      <bottom style="hair">
        <color rgb="FFE2001A"/>
      </bottom>
      <diagonal/>
    </border>
    <border>
      <left style="hair">
        <color indexed="64"/>
      </left>
      <right style="medium">
        <color rgb="FFE2001A"/>
      </right>
      <top style="medium">
        <color rgb="FFE2001A"/>
      </top>
      <bottom style="hair">
        <color rgb="FFE2001A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E2001A"/>
      </top>
      <bottom/>
      <diagonal/>
    </border>
    <border>
      <left/>
      <right/>
      <top style="medium">
        <color rgb="FFE2001A"/>
      </top>
      <bottom/>
      <diagonal/>
    </border>
    <border>
      <left/>
      <right style="medium">
        <color rgb="FFFF0000"/>
      </right>
      <top style="medium">
        <color rgb="FFE2001A"/>
      </top>
      <bottom/>
      <diagonal/>
    </border>
    <border>
      <left/>
      <right style="hair">
        <color rgb="FFFF0000"/>
      </right>
      <top style="medium">
        <color rgb="FFE2001A"/>
      </top>
      <bottom/>
      <diagonal/>
    </border>
    <border>
      <left style="hair">
        <color rgb="FFFF0000"/>
      </left>
      <right style="hair">
        <color rgb="FFFF0000"/>
      </right>
      <top style="medium">
        <color rgb="FFE2001A"/>
      </top>
      <bottom/>
      <diagonal/>
    </border>
    <border>
      <left style="hair">
        <color rgb="FFFF0000"/>
      </left>
      <right/>
      <top style="medium">
        <color rgb="FFE2001A"/>
      </top>
      <bottom/>
      <diagonal/>
    </border>
    <border>
      <left style="hair">
        <color rgb="FFFF0000"/>
      </left>
      <right style="medium">
        <color rgb="FFFF0000"/>
      </right>
      <top style="medium">
        <color rgb="FFE2001A"/>
      </top>
      <bottom/>
      <diagonal/>
    </border>
    <border>
      <left style="hair">
        <color rgb="FF05557E"/>
      </left>
      <right style="medium">
        <color rgb="FF05557E"/>
      </right>
      <top style="hair">
        <color rgb="FF05557E"/>
      </top>
      <bottom style="medium">
        <color rgb="FF05557E"/>
      </bottom>
      <diagonal/>
    </border>
    <border>
      <left style="medium">
        <color rgb="FF05557E"/>
      </left>
      <right style="hair">
        <color rgb="FF05557E"/>
      </right>
      <top style="hair">
        <color rgb="FF05557E"/>
      </top>
      <bottom style="medium">
        <color rgb="FF05557E"/>
      </bottom>
      <diagonal/>
    </border>
    <border>
      <left style="medium">
        <color rgb="FF05557E"/>
      </left>
      <right style="medium">
        <color rgb="FF05557E"/>
      </right>
      <top style="hair">
        <color rgb="FF05557E"/>
      </top>
      <bottom style="medium">
        <color rgb="FF05557E"/>
      </bottom>
      <diagonal/>
    </border>
    <border>
      <left style="hair">
        <color rgb="FF05557E"/>
      </left>
      <right style="medium">
        <color rgb="FF05557E"/>
      </right>
      <top style="hair">
        <color rgb="FF05557E"/>
      </top>
      <bottom/>
      <diagonal/>
    </border>
    <border>
      <left style="medium">
        <color rgb="FF05557E"/>
      </left>
      <right style="hair">
        <color rgb="FF05557E"/>
      </right>
      <top style="hair">
        <color rgb="FF05557E"/>
      </top>
      <bottom/>
      <diagonal/>
    </border>
    <border>
      <left style="medium">
        <color rgb="FF05557E"/>
      </left>
      <right style="medium">
        <color rgb="FF05557E"/>
      </right>
      <top style="hair">
        <color rgb="FF05557E"/>
      </top>
      <bottom/>
      <diagonal/>
    </border>
    <border>
      <left style="hair">
        <color rgb="FF05557E"/>
      </left>
      <right style="medium">
        <color rgb="FF05557E"/>
      </right>
      <top style="hair">
        <color rgb="FF05557E"/>
      </top>
      <bottom style="hair">
        <color rgb="FF05557E"/>
      </bottom>
      <diagonal/>
    </border>
    <border>
      <left style="medium">
        <color rgb="FF05557E"/>
      </left>
      <right style="hair">
        <color rgb="FF05557E"/>
      </right>
      <top style="hair">
        <color rgb="FF05557E"/>
      </top>
      <bottom style="hair">
        <color rgb="FF05557E"/>
      </bottom>
      <diagonal/>
    </border>
    <border>
      <left style="medium">
        <color rgb="FF05557E"/>
      </left>
      <right style="medium">
        <color rgb="FF05557E"/>
      </right>
      <top style="hair">
        <color rgb="FF05557E"/>
      </top>
      <bottom style="hair">
        <color rgb="FF05557E"/>
      </bottom>
      <diagonal/>
    </border>
    <border>
      <left/>
      <right/>
      <top/>
      <bottom style="dotted">
        <color rgb="FF05557E"/>
      </bottom>
      <diagonal/>
    </border>
    <border>
      <left style="hair">
        <color rgb="FF05557E"/>
      </left>
      <right style="medium">
        <color rgb="FF05557E"/>
      </right>
      <top style="medium">
        <color rgb="FF05557E"/>
      </top>
      <bottom style="hair">
        <color rgb="FF05557E"/>
      </bottom>
      <diagonal/>
    </border>
    <border>
      <left style="medium">
        <color rgb="FF05557E"/>
      </left>
      <right style="hair">
        <color rgb="FF05557E"/>
      </right>
      <top style="medium">
        <color rgb="FF05557E"/>
      </top>
      <bottom style="hair">
        <color rgb="FF05557E"/>
      </bottom>
      <diagonal/>
    </border>
    <border>
      <left style="medium">
        <color rgb="FF05557E"/>
      </left>
      <right style="medium">
        <color rgb="FF05557E"/>
      </right>
      <top style="medium">
        <color rgb="FF05557E"/>
      </top>
      <bottom style="hair">
        <color rgb="FF05557E"/>
      </bottom>
      <diagonal/>
    </border>
    <border>
      <left style="hair">
        <color rgb="FF05557E"/>
      </left>
      <right/>
      <top style="medium">
        <color rgb="FF05557E"/>
      </top>
      <bottom style="medium">
        <color rgb="FF05557E"/>
      </bottom>
      <diagonal/>
    </border>
    <border>
      <left style="hair">
        <color rgb="FF05557E"/>
      </left>
      <right style="hair">
        <color rgb="FF05557E"/>
      </right>
      <top style="medium">
        <color rgb="FF05557E"/>
      </top>
      <bottom style="medium">
        <color rgb="FF05557E"/>
      </bottom>
      <diagonal/>
    </border>
    <border>
      <left style="hair">
        <color theme="3"/>
      </left>
      <right style="hair">
        <color theme="3"/>
      </right>
      <top style="medium">
        <color rgb="FF05557E"/>
      </top>
      <bottom style="medium">
        <color rgb="FF05557E"/>
      </bottom>
      <diagonal/>
    </border>
    <border>
      <left style="medium">
        <color rgb="FF05557E"/>
      </left>
      <right style="hair">
        <color rgb="FF05557E"/>
      </right>
      <top style="medium">
        <color rgb="FF05557E"/>
      </top>
      <bottom style="medium">
        <color rgb="FF05557E"/>
      </bottom>
      <diagonal/>
    </border>
    <border>
      <left style="medium">
        <color theme="3"/>
      </left>
      <right style="medium">
        <color rgb="FF05557E"/>
      </right>
      <top style="hair">
        <color theme="3"/>
      </top>
      <bottom style="medium">
        <color rgb="FF05557E"/>
      </bottom>
      <diagonal/>
    </border>
    <border>
      <left style="medium">
        <color theme="3"/>
      </left>
      <right style="medium">
        <color rgb="FF05557E"/>
      </right>
      <top style="hair">
        <color theme="3"/>
      </top>
      <bottom/>
      <diagonal/>
    </border>
    <border>
      <left style="medium">
        <color theme="3"/>
      </left>
      <right style="medium">
        <color rgb="FF05557E"/>
      </right>
      <top style="hair">
        <color theme="3"/>
      </top>
      <bottom style="hair">
        <color theme="3"/>
      </bottom>
      <diagonal/>
    </border>
    <border>
      <left/>
      <right/>
      <top/>
      <bottom style="medium">
        <color theme="0"/>
      </bottom>
      <diagonal/>
    </border>
    <border>
      <left style="medium">
        <color rgb="FF05557E"/>
      </left>
      <right style="medium">
        <color rgb="FF05557E"/>
      </right>
      <top style="medium">
        <color rgb="FF05557E"/>
      </top>
      <bottom style="medium">
        <color rgb="FF05557E"/>
      </bottom>
      <diagonal/>
    </border>
    <border>
      <left/>
      <right style="medium">
        <color rgb="FF05557E"/>
      </right>
      <top/>
      <bottom/>
      <diagonal/>
    </border>
    <border>
      <left style="medium">
        <color rgb="FF05557E"/>
      </left>
      <right/>
      <top/>
      <bottom/>
      <diagonal/>
    </border>
    <border>
      <left/>
      <right style="medium">
        <color rgb="FF05557E"/>
      </right>
      <top/>
      <bottom style="medium">
        <color rgb="FF05557E"/>
      </bottom>
      <diagonal/>
    </border>
    <border>
      <left style="medium">
        <color rgb="FF05557E"/>
      </left>
      <right style="medium">
        <color rgb="FF05557E"/>
      </right>
      <top/>
      <bottom style="medium">
        <color rgb="FF05557E"/>
      </bottom>
      <diagonal/>
    </border>
    <border>
      <left style="hair">
        <color theme="3"/>
      </left>
      <right style="medium">
        <color rgb="FF05557E"/>
      </right>
      <top style="hair">
        <color theme="3"/>
      </top>
      <bottom style="medium">
        <color rgb="FF05557E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medium">
        <color rgb="FF05557E"/>
      </bottom>
      <diagonal/>
    </border>
    <border>
      <left style="hair">
        <color rgb="FF05557E"/>
      </left>
      <right/>
      <top style="hair">
        <color rgb="FF05557E"/>
      </top>
      <bottom style="medium">
        <color rgb="FF05557E"/>
      </bottom>
      <diagonal/>
    </border>
    <border>
      <left style="hair">
        <color rgb="FF05557E"/>
      </left>
      <right style="hair">
        <color rgb="FF05557E"/>
      </right>
      <top style="hair">
        <color rgb="FF05557E"/>
      </top>
      <bottom style="medium">
        <color rgb="FF05557E"/>
      </bottom>
      <diagonal/>
    </border>
    <border>
      <left style="hair">
        <color rgb="FF05557E"/>
      </left>
      <right style="medium">
        <color rgb="FF05557E"/>
      </right>
      <top style="hair">
        <color rgb="FF05557E"/>
      </top>
      <bottom style="medium">
        <color theme="3"/>
      </bottom>
      <diagonal/>
    </border>
    <border>
      <left style="hair">
        <color theme="3"/>
      </left>
      <right style="medium">
        <color rgb="FF05557E"/>
      </right>
      <top style="hair">
        <color theme="3"/>
      </top>
      <bottom/>
      <diagonal/>
    </border>
    <border>
      <left style="hair">
        <color theme="3"/>
      </left>
      <right style="hair">
        <color theme="3"/>
      </right>
      <top style="hair">
        <color theme="3"/>
      </top>
      <bottom/>
      <diagonal/>
    </border>
    <border>
      <left style="hair">
        <color rgb="FF05557E"/>
      </left>
      <right style="hair">
        <color rgb="FF05557E"/>
      </right>
      <top style="hair">
        <color rgb="FF05557E"/>
      </top>
      <bottom/>
      <diagonal/>
    </border>
    <border>
      <left style="hair">
        <color theme="3"/>
      </left>
      <right style="medium">
        <color rgb="FF05557E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rgb="FF05557E"/>
      </left>
      <right style="hair">
        <color rgb="FF05557E"/>
      </right>
      <top style="hair">
        <color rgb="FF05557E"/>
      </top>
      <bottom style="hair">
        <color rgb="FF05557E"/>
      </bottom>
      <diagonal/>
    </border>
    <border>
      <left style="hair">
        <color rgb="FF05557E"/>
      </left>
      <right/>
      <top style="hair">
        <color rgb="FF05557E"/>
      </top>
      <bottom style="hair">
        <color rgb="FF05557E"/>
      </bottom>
      <diagonal/>
    </border>
    <border>
      <left style="hair">
        <color theme="3"/>
      </left>
      <right style="medium">
        <color rgb="FF05557E"/>
      </right>
      <top style="medium">
        <color rgb="FF05557E"/>
      </top>
      <bottom style="hair">
        <color theme="3"/>
      </bottom>
      <diagonal/>
    </border>
    <border>
      <left style="hair">
        <color theme="3"/>
      </left>
      <right style="hair">
        <color theme="3"/>
      </right>
      <top style="medium">
        <color rgb="FF05557E"/>
      </top>
      <bottom style="hair">
        <color theme="3"/>
      </bottom>
      <diagonal/>
    </border>
    <border>
      <left style="hair">
        <color rgb="FF05557E"/>
      </left>
      <right/>
      <top style="medium">
        <color rgb="FF05557E"/>
      </top>
      <bottom style="hair">
        <color rgb="FF05557E"/>
      </bottom>
      <diagonal/>
    </border>
    <border>
      <left style="hair">
        <color rgb="FF05557E"/>
      </left>
      <right style="hair">
        <color rgb="FF05557E"/>
      </right>
      <top style="medium">
        <color rgb="FF05557E"/>
      </top>
      <bottom style="hair">
        <color rgb="FF05557E"/>
      </bottom>
      <diagonal/>
    </border>
    <border>
      <left style="hair">
        <color theme="3"/>
      </left>
      <right style="medium">
        <color rgb="FF05557E"/>
      </right>
      <top/>
      <bottom style="medium">
        <color rgb="FF05557E"/>
      </bottom>
      <diagonal/>
    </border>
    <border>
      <left style="hair">
        <color rgb="FF05557E"/>
      </left>
      <right/>
      <top/>
      <bottom style="medium">
        <color rgb="FF05557E"/>
      </bottom>
      <diagonal/>
    </border>
    <border>
      <left style="hair">
        <color rgb="FF05557E"/>
      </left>
      <right style="hair">
        <color rgb="FF05557E"/>
      </right>
      <top/>
      <bottom style="medium">
        <color rgb="FF05557E"/>
      </bottom>
      <diagonal/>
    </border>
    <border>
      <left style="medium">
        <color rgb="FF05557E"/>
      </left>
      <right style="hair">
        <color rgb="FF05557E"/>
      </right>
      <top/>
      <bottom style="medium">
        <color rgb="FF05557E"/>
      </bottom>
      <diagonal/>
    </border>
    <border>
      <left style="hair">
        <color rgb="FF05557E"/>
      </left>
      <right style="hair">
        <color rgb="FF05557E"/>
      </right>
      <top/>
      <bottom/>
      <diagonal/>
    </border>
    <border>
      <left style="medium">
        <color rgb="FF05557E"/>
      </left>
      <right style="hair">
        <color rgb="FF05557E"/>
      </right>
      <top/>
      <bottom/>
      <diagonal/>
    </border>
    <border>
      <left style="hair">
        <color theme="3"/>
      </left>
      <right style="medium">
        <color rgb="FF05557E"/>
      </right>
      <top style="hair">
        <color rgb="FF05557E"/>
      </top>
      <bottom/>
      <diagonal/>
    </border>
    <border>
      <left style="hair">
        <color rgb="FF05557E"/>
      </left>
      <right/>
      <top style="hair">
        <color rgb="FF05557E"/>
      </top>
      <bottom/>
      <diagonal/>
    </border>
    <border>
      <left style="medium">
        <color rgb="FF05557E"/>
      </left>
      <right style="medium">
        <color rgb="FF05557E"/>
      </right>
      <top/>
      <bottom/>
      <diagonal/>
    </border>
    <border>
      <left style="hair">
        <color indexed="64"/>
      </left>
      <right style="medium">
        <color rgb="FF05557E"/>
      </right>
      <top style="medium">
        <color rgb="FF05557E"/>
      </top>
      <bottom style="hair">
        <color rgb="FF05557E"/>
      </bottom>
      <diagonal/>
    </border>
    <border>
      <left style="hair">
        <color indexed="64"/>
      </left>
      <right style="hair">
        <color indexed="64"/>
      </right>
      <top style="medium">
        <color rgb="FF05557E"/>
      </top>
      <bottom style="hair">
        <color rgb="FF05557E"/>
      </bottom>
      <diagonal/>
    </border>
    <border>
      <left style="medium">
        <color rgb="FF05557E"/>
      </left>
      <right style="hair">
        <color indexed="64"/>
      </right>
      <top style="medium">
        <color rgb="FF05557E"/>
      </top>
      <bottom style="hair">
        <color rgb="FF05557E"/>
      </bottom>
      <diagonal/>
    </border>
    <border>
      <left style="hair">
        <color rgb="FFFF0000"/>
      </left>
      <right style="medium">
        <color rgb="FF05557E"/>
      </right>
      <top style="medium">
        <color rgb="FF05557E"/>
      </top>
      <bottom/>
      <diagonal/>
    </border>
    <border>
      <left style="hair">
        <color rgb="FFFF0000"/>
      </left>
      <right style="hair">
        <color rgb="FFFF0000"/>
      </right>
      <top style="medium">
        <color rgb="FF05557E"/>
      </top>
      <bottom/>
      <diagonal/>
    </border>
    <border>
      <left style="medium">
        <color rgb="FF05557E"/>
      </left>
      <right style="hair">
        <color rgb="FFFF0000"/>
      </right>
      <top style="medium">
        <color rgb="FF05557E"/>
      </top>
      <bottom/>
      <diagonal/>
    </border>
    <border>
      <left style="medium">
        <color rgb="FF05557E"/>
      </left>
      <right style="medium">
        <color rgb="FF05557E"/>
      </right>
      <top style="medium">
        <color rgb="FF05557E"/>
      </top>
      <bottom/>
      <diagonal/>
    </border>
    <border>
      <left/>
      <right/>
      <top/>
      <bottom style="medium">
        <color rgb="FF05557E"/>
      </bottom>
      <diagonal/>
    </border>
    <border>
      <left style="medium">
        <color rgb="FF05557E"/>
      </left>
      <right/>
      <top/>
      <bottom style="medium">
        <color rgb="FF05557E"/>
      </bottom>
      <diagonal/>
    </border>
    <border>
      <left/>
      <right style="medium">
        <color rgb="FF05557E"/>
      </right>
      <top style="medium">
        <color rgb="FF05557E"/>
      </top>
      <bottom style="medium">
        <color rgb="FF05557E"/>
      </bottom>
      <diagonal/>
    </border>
    <border>
      <left/>
      <right/>
      <top style="medium">
        <color rgb="FF05557E"/>
      </top>
      <bottom style="medium">
        <color rgb="FF05557E"/>
      </bottom>
      <diagonal/>
    </border>
    <border>
      <left style="medium">
        <color rgb="FF05557E"/>
      </left>
      <right/>
      <top style="medium">
        <color rgb="FF05557E"/>
      </top>
      <bottom style="medium">
        <color rgb="FF05557E"/>
      </bottom>
      <diagonal/>
    </border>
    <border>
      <left/>
      <right style="medium">
        <color rgb="FF05557E"/>
      </right>
      <top style="medium">
        <color rgb="FF05557E"/>
      </top>
      <bottom/>
      <diagonal/>
    </border>
    <border>
      <left/>
      <right/>
      <top style="medium">
        <color rgb="FF05557E"/>
      </top>
      <bottom/>
      <diagonal/>
    </border>
    <border>
      <left style="medium">
        <color rgb="FF05557E"/>
      </left>
      <right/>
      <top style="medium">
        <color rgb="FF05557E"/>
      </top>
      <bottom/>
      <diagonal/>
    </border>
    <border>
      <left style="hair">
        <color rgb="FFFF0000"/>
      </left>
      <right style="medium">
        <color rgb="FFF6A800"/>
      </right>
      <top style="hair">
        <color rgb="FFFF0000"/>
      </top>
      <bottom style="medium">
        <color rgb="FFF6A800"/>
      </bottom>
      <diagonal/>
    </border>
    <border>
      <left/>
      <right/>
      <top style="hair">
        <color rgb="FFFF0000"/>
      </top>
      <bottom style="medium">
        <color rgb="FFF6A800"/>
      </bottom>
      <diagonal/>
    </border>
    <border>
      <left style="medium">
        <color rgb="FFF6A800"/>
      </left>
      <right style="hair">
        <color rgb="FFFF0000"/>
      </right>
      <top style="hair">
        <color rgb="FFFF0000"/>
      </top>
      <bottom style="medium">
        <color rgb="FFF6A800"/>
      </bottom>
      <diagonal/>
    </border>
    <border>
      <left style="medium">
        <color rgb="FFF6A800"/>
      </left>
      <right/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medium">
        <color rgb="FFF6A800"/>
      </right>
      <top style="hair">
        <color rgb="FFFF0000"/>
      </top>
      <bottom style="hair">
        <color rgb="FFFF0000"/>
      </bottom>
      <diagonal/>
    </border>
    <border>
      <left/>
      <right/>
      <top style="hair">
        <color rgb="FFFF0000"/>
      </top>
      <bottom style="hair">
        <color rgb="FFFF0000"/>
      </bottom>
      <diagonal/>
    </border>
    <border>
      <left style="medium">
        <color rgb="FFF6A8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medium">
        <color rgb="FFF6A800"/>
      </left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 style="medium">
        <color rgb="FFF6A800"/>
      </right>
      <top style="medium">
        <color rgb="FFF6A800"/>
      </top>
      <bottom style="hair">
        <color rgb="FFFF0000"/>
      </bottom>
      <diagonal/>
    </border>
    <border>
      <left/>
      <right/>
      <top style="medium">
        <color rgb="FFF6A800"/>
      </top>
      <bottom style="hair">
        <color rgb="FFFF0000"/>
      </bottom>
      <diagonal/>
    </border>
    <border>
      <left style="medium">
        <color rgb="FFF6A800"/>
      </left>
      <right style="hair">
        <color rgb="FFFF0000"/>
      </right>
      <top style="medium">
        <color rgb="FFF6A800"/>
      </top>
      <bottom style="hair">
        <color rgb="FFFF0000"/>
      </bottom>
      <diagonal/>
    </border>
    <border>
      <left style="medium">
        <color rgb="FFF6A800"/>
      </left>
      <right/>
      <top style="medium">
        <color rgb="FFF6A8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medium">
        <color rgb="FFF6A800"/>
      </top>
      <bottom style="medium">
        <color rgb="FFF6A800"/>
      </bottom>
      <diagonal/>
    </border>
    <border>
      <left style="medium">
        <color rgb="FFF6A800"/>
      </left>
      <right style="hair">
        <color rgb="FFFF0000"/>
      </right>
      <top style="medium">
        <color rgb="FFF6A800"/>
      </top>
      <bottom style="medium">
        <color rgb="FFF6A800"/>
      </bottom>
      <diagonal/>
    </border>
    <border>
      <left style="medium">
        <color rgb="FFF6A800"/>
      </left>
      <right/>
      <top style="hair">
        <color rgb="FFFF0000"/>
      </top>
      <bottom/>
      <diagonal/>
    </border>
    <border>
      <left style="medium">
        <color rgb="FFF6A800"/>
      </left>
      <right style="hair">
        <color rgb="FFFF0000"/>
      </right>
      <top style="hair">
        <color rgb="FFFF0000"/>
      </top>
      <bottom/>
      <diagonal/>
    </border>
    <border>
      <left style="hair">
        <color rgb="FFFF0000"/>
      </left>
      <right style="medium">
        <color rgb="FFF6A800"/>
      </right>
      <top/>
      <bottom style="hair">
        <color rgb="FFFF0000"/>
      </bottom>
      <diagonal/>
    </border>
    <border>
      <left style="medium">
        <color rgb="FFF6A800"/>
      </left>
      <right style="medium">
        <color rgb="FFF6A800"/>
      </right>
      <top style="medium">
        <color rgb="FFF6A800"/>
      </top>
      <bottom style="medium">
        <color rgb="FFF6A800"/>
      </bottom>
      <diagonal/>
    </border>
    <border>
      <left style="hair">
        <color rgb="FFE20000"/>
      </left>
      <right style="medium">
        <color rgb="FFF6A800"/>
      </right>
      <top/>
      <bottom style="medium">
        <color rgb="FFF6A800"/>
      </bottom>
      <diagonal/>
    </border>
    <border>
      <left style="hair">
        <color rgb="FFE20000"/>
      </left>
      <right style="hair">
        <color rgb="FFE20000"/>
      </right>
      <top/>
      <bottom style="medium">
        <color rgb="FFF6A800"/>
      </bottom>
      <diagonal/>
    </border>
    <border>
      <left/>
      <right style="hair">
        <color rgb="FFE20000"/>
      </right>
      <top/>
      <bottom style="medium">
        <color rgb="FFF6A800"/>
      </bottom>
      <diagonal/>
    </border>
    <border>
      <left/>
      <right style="medium">
        <color rgb="FFF6A800"/>
      </right>
      <top/>
      <bottom style="medium">
        <color rgb="FFF6A800"/>
      </bottom>
      <diagonal/>
    </border>
    <border>
      <left style="hair">
        <color rgb="FF003399"/>
      </left>
      <right style="hair">
        <color rgb="FF003399"/>
      </right>
      <top style="medium">
        <color rgb="FFF6A800"/>
      </top>
      <bottom style="medium">
        <color rgb="FFF6A800"/>
      </bottom>
      <diagonal/>
    </border>
    <border>
      <left style="medium">
        <color rgb="FFF6A800"/>
      </left>
      <right style="hair">
        <color rgb="FF003399"/>
      </right>
      <top style="medium">
        <color rgb="FFF6A800"/>
      </top>
      <bottom style="medium">
        <color rgb="FFF6A800"/>
      </bottom>
      <diagonal/>
    </border>
    <border>
      <left/>
      <right/>
      <top/>
      <bottom style="medium">
        <color rgb="FFF6A800"/>
      </bottom>
      <diagonal/>
    </border>
    <border>
      <left style="hair">
        <color rgb="FF003399"/>
      </left>
      <right style="hair">
        <color rgb="FF003399"/>
      </right>
      <top style="medium">
        <color theme="9"/>
      </top>
      <bottom style="medium">
        <color rgb="FFF6A800"/>
      </bottom>
      <diagonal/>
    </border>
    <border>
      <left style="medium">
        <color rgb="FFF6A800"/>
      </left>
      <right style="medium">
        <color rgb="FFF6A800"/>
      </right>
      <top/>
      <bottom style="medium">
        <color rgb="FFF6A8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medium">
        <color rgb="FFF6A800"/>
      </bottom>
      <diagonal/>
    </border>
    <border>
      <left/>
      <right style="hair">
        <color rgb="FFFF0000"/>
      </right>
      <top style="hair">
        <color rgb="FFFF0000"/>
      </top>
      <bottom style="medium">
        <color rgb="FFF6A800"/>
      </bottom>
      <diagonal/>
    </border>
    <border>
      <left style="hair">
        <color rgb="FF003399"/>
      </left>
      <right style="hair">
        <color rgb="FF003399"/>
      </right>
      <top style="hair">
        <color rgb="FF003399"/>
      </top>
      <bottom style="medium">
        <color rgb="FFF6A800"/>
      </bottom>
      <diagonal/>
    </border>
    <border>
      <left style="medium">
        <color rgb="FFF6A800"/>
      </left>
      <right style="hair">
        <color rgb="FF003399"/>
      </right>
      <top style="hair">
        <color rgb="FF003399"/>
      </top>
      <bottom style="medium">
        <color rgb="FFF6A800"/>
      </bottom>
      <diagonal/>
    </border>
    <border>
      <left style="hair">
        <color rgb="FF003399"/>
      </left>
      <right style="medium">
        <color rgb="FFF6A800"/>
      </right>
      <top style="hair">
        <color rgb="FF003399"/>
      </top>
      <bottom style="medium">
        <color rgb="FFFFC000"/>
      </bottom>
      <diagonal/>
    </border>
    <border>
      <left style="hair">
        <color rgb="FF003399"/>
      </left>
      <right style="hair">
        <color rgb="FF003399"/>
      </right>
      <top style="hair">
        <color rgb="FF003399"/>
      </top>
      <bottom style="medium">
        <color theme="9"/>
      </bottom>
      <diagonal/>
    </border>
    <border>
      <left/>
      <right style="hair">
        <color rgb="FF003399"/>
      </right>
      <top style="hair">
        <color rgb="FF003399"/>
      </top>
      <bottom style="medium">
        <color rgb="FFF6A800"/>
      </bottom>
      <diagonal/>
    </border>
    <border>
      <left style="hair">
        <color rgb="FF003399"/>
      </left>
      <right style="medium">
        <color theme="9"/>
      </right>
      <top style="hair">
        <color rgb="FF003399"/>
      </top>
      <bottom style="medium">
        <color theme="9"/>
      </bottom>
      <diagonal/>
    </border>
    <border>
      <left style="medium">
        <color rgb="FFF6A800"/>
      </left>
      <right style="medium">
        <color rgb="FFF6A800"/>
      </right>
      <top style="hair">
        <color rgb="FF003399"/>
      </top>
      <bottom style="medium">
        <color rgb="FFF6A800"/>
      </bottom>
      <diagonal/>
    </border>
    <border>
      <left/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003399"/>
      </left>
      <right style="medium">
        <color rgb="FFF6A800"/>
      </right>
      <top style="hair">
        <color rgb="FF003399"/>
      </top>
      <bottom style="hair">
        <color rgb="FF003399"/>
      </bottom>
      <diagonal/>
    </border>
    <border>
      <left style="hair">
        <color rgb="FF003399"/>
      </left>
      <right style="hair">
        <color rgb="FF003399"/>
      </right>
      <top style="hair">
        <color rgb="FF003399"/>
      </top>
      <bottom style="hair">
        <color rgb="FF003399"/>
      </bottom>
      <diagonal/>
    </border>
    <border>
      <left style="medium">
        <color rgb="FFF6A800"/>
      </left>
      <right style="hair">
        <color rgb="FF003399"/>
      </right>
      <top style="hair">
        <color rgb="FF003399"/>
      </top>
      <bottom style="hair">
        <color rgb="FF003399"/>
      </bottom>
      <diagonal/>
    </border>
    <border>
      <left/>
      <right style="hair">
        <color rgb="FF003399"/>
      </right>
      <top style="hair">
        <color rgb="FF003399"/>
      </top>
      <bottom style="hair">
        <color rgb="FF003399"/>
      </bottom>
      <diagonal/>
    </border>
    <border>
      <left style="hair">
        <color rgb="FF003399"/>
      </left>
      <right style="medium">
        <color theme="9"/>
      </right>
      <top style="hair">
        <color rgb="FF003399"/>
      </top>
      <bottom style="hair">
        <color rgb="FF003399"/>
      </bottom>
      <diagonal/>
    </border>
    <border>
      <left style="medium">
        <color rgb="FFF6A800"/>
      </left>
      <right style="medium">
        <color rgb="FFF6A800"/>
      </right>
      <top style="hair">
        <color rgb="FF003399"/>
      </top>
      <bottom style="hair">
        <color rgb="FF003399"/>
      </bottom>
      <diagonal/>
    </border>
    <border>
      <left style="hair">
        <color rgb="FFFF0000"/>
      </left>
      <right style="hair">
        <color rgb="FFFF0000"/>
      </right>
      <top style="medium">
        <color rgb="FFF6A800"/>
      </top>
      <bottom style="hair">
        <color rgb="FFFF0000"/>
      </bottom>
      <diagonal/>
    </border>
    <border>
      <left/>
      <right style="hair">
        <color rgb="FFFF0000"/>
      </right>
      <top style="medium">
        <color rgb="FFF6A800"/>
      </top>
      <bottom style="hair">
        <color rgb="FFFF0000"/>
      </bottom>
      <diagonal/>
    </border>
    <border>
      <left style="hair">
        <color rgb="FF003399"/>
      </left>
      <right style="hair">
        <color rgb="FF003399"/>
      </right>
      <top style="medium">
        <color rgb="FFF6A800"/>
      </top>
      <bottom style="hair">
        <color rgb="FF003399"/>
      </bottom>
      <diagonal/>
    </border>
    <border>
      <left style="medium">
        <color rgb="FFF6A800"/>
      </left>
      <right style="hair">
        <color rgb="FF003399"/>
      </right>
      <top style="medium">
        <color rgb="FFF6A800"/>
      </top>
      <bottom style="hair">
        <color rgb="FF003399"/>
      </bottom>
      <diagonal/>
    </border>
    <border>
      <left/>
      <right style="hair">
        <color rgb="FF003399"/>
      </right>
      <top style="medium">
        <color rgb="FFF6A800"/>
      </top>
      <bottom style="hair">
        <color rgb="FF003399"/>
      </bottom>
      <diagonal/>
    </border>
    <border>
      <left style="hair">
        <color rgb="FFFF0000"/>
      </left>
      <right style="medium">
        <color rgb="FFF6A800"/>
      </right>
      <top/>
      <bottom style="medium">
        <color rgb="FFF6A800"/>
      </bottom>
      <diagonal/>
    </border>
    <border>
      <left style="hair">
        <color rgb="FFFF0000"/>
      </left>
      <right style="hair">
        <color rgb="FFFF0000"/>
      </right>
      <top/>
      <bottom style="medium">
        <color rgb="FFF6A800"/>
      </bottom>
      <diagonal/>
    </border>
    <border>
      <left/>
      <right style="hair">
        <color rgb="FFFF0000"/>
      </right>
      <top/>
      <bottom style="medium">
        <color rgb="FFF6A800"/>
      </bottom>
      <diagonal/>
    </border>
    <border>
      <left style="hair">
        <color rgb="FF003399"/>
      </left>
      <right style="hair">
        <color rgb="FF003399"/>
      </right>
      <top/>
      <bottom style="medium">
        <color rgb="FFF6A800"/>
      </bottom>
      <diagonal/>
    </border>
    <border>
      <left style="medium">
        <color rgb="FFF6A800"/>
      </left>
      <right style="hair">
        <color rgb="FF003399"/>
      </right>
      <top/>
      <bottom style="medium">
        <color rgb="FFF6A800"/>
      </bottom>
      <diagonal/>
    </border>
    <border>
      <left style="hair">
        <color rgb="FF003399"/>
      </left>
      <right style="medium">
        <color rgb="FFF6A800"/>
      </right>
      <top/>
      <bottom/>
      <diagonal/>
    </border>
    <border>
      <left style="hair">
        <color rgb="FF003399"/>
      </left>
      <right style="medium">
        <color rgb="FFF6A800"/>
      </right>
      <top/>
      <bottom style="medium">
        <color rgb="FFF6A800"/>
      </bottom>
      <diagonal/>
    </border>
    <border>
      <left style="hair">
        <color rgb="FFE20000"/>
      </left>
      <right style="medium">
        <color rgb="FFF6A800"/>
      </right>
      <top style="hair">
        <color rgb="FFE2001A"/>
      </top>
      <bottom/>
      <diagonal/>
    </border>
    <border>
      <left/>
      <right style="hair">
        <color rgb="FFE20000"/>
      </right>
      <top style="hair">
        <color rgb="FFE2001A"/>
      </top>
      <bottom/>
      <diagonal/>
    </border>
    <border>
      <left style="hair">
        <color rgb="FF003399"/>
      </left>
      <right style="medium">
        <color rgb="FFF6A800"/>
      </right>
      <top style="hair">
        <color rgb="FF003399"/>
      </top>
      <bottom/>
      <diagonal/>
    </border>
    <border>
      <left style="hair">
        <color rgb="FF003399"/>
      </left>
      <right style="hair">
        <color rgb="FF003399"/>
      </right>
      <top style="hair">
        <color rgb="FF003399"/>
      </top>
      <bottom/>
      <diagonal/>
    </border>
    <border>
      <left style="medium">
        <color theme="9"/>
      </left>
      <right style="hair">
        <color rgb="FF003399"/>
      </right>
      <top style="hair">
        <color rgb="FF003399"/>
      </top>
      <bottom/>
      <diagonal/>
    </border>
    <border>
      <left style="hair">
        <color rgb="FF003399"/>
      </left>
      <right style="medium">
        <color theme="9"/>
      </right>
      <top/>
      <bottom/>
      <diagonal/>
    </border>
    <border>
      <left style="hair">
        <color rgb="FF003399"/>
      </left>
      <right style="hair">
        <color rgb="FF003399"/>
      </right>
      <top/>
      <bottom/>
      <diagonal/>
    </border>
    <border>
      <left style="medium">
        <color rgb="FFF6A800"/>
      </left>
      <right style="hair">
        <color rgb="FF003399"/>
      </right>
      <top/>
      <bottom/>
      <diagonal/>
    </border>
    <border>
      <left style="medium">
        <color rgb="FFF6A800"/>
      </left>
      <right style="medium">
        <color rgb="FFF6A800"/>
      </right>
      <top/>
      <bottom/>
      <diagonal/>
    </border>
    <border>
      <left style="hair">
        <color indexed="64"/>
      </left>
      <right style="medium">
        <color rgb="FFF6A800"/>
      </right>
      <top style="medium">
        <color rgb="FFF6A800"/>
      </top>
      <bottom style="hair">
        <color rgb="FFE2001A"/>
      </bottom>
      <diagonal/>
    </border>
    <border>
      <left style="hair">
        <color indexed="64"/>
      </left>
      <right style="hair">
        <color indexed="64"/>
      </right>
      <top style="medium">
        <color rgb="FFF6A800"/>
      </top>
      <bottom style="hair">
        <color rgb="FFE2001A"/>
      </bottom>
      <diagonal/>
    </border>
    <border>
      <left/>
      <right style="hair">
        <color indexed="64"/>
      </right>
      <top style="medium">
        <color rgb="FFF6A800"/>
      </top>
      <bottom style="hair">
        <color rgb="FFE2001A"/>
      </bottom>
      <diagonal/>
    </border>
    <border>
      <left style="hair">
        <color indexed="64"/>
      </left>
      <right style="medium">
        <color rgb="FFF6A800"/>
      </right>
      <top style="medium">
        <color rgb="FFF6A800"/>
      </top>
      <bottom/>
      <diagonal/>
    </border>
    <border>
      <left style="hair">
        <color indexed="64"/>
      </left>
      <right style="hair">
        <color indexed="64"/>
      </right>
      <top style="medium">
        <color rgb="FFF6A800"/>
      </top>
      <bottom/>
      <diagonal/>
    </border>
    <border>
      <left style="medium">
        <color rgb="FFF6A800"/>
      </left>
      <right style="hair">
        <color indexed="64"/>
      </right>
      <top style="medium">
        <color rgb="FFF6A800"/>
      </top>
      <bottom/>
      <diagonal/>
    </border>
    <border>
      <left style="hair">
        <color rgb="FFFF0000"/>
      </left>
      <right/>
      <top style="medium">
        <color rgb="FFF6A800"/>
      </top>
      <bottom/>
      <diagonal/>
    </border>
    <border>
      <left style="hair">
        <color rgb="FFFF0000"/>
      </left>
      <right style="hair">
        <color rgb="FFFF0000"/>
      </right>
      <top style="medium">
        <color rgb="FFF6A800"/>
      </top>
      <bottom/>
      <diagonal/>
    </border>
    <border>
      <left style="medium">
        <color rgb="FFF6A800"/>
      </left>
      <right style="hair">
        <color rgb="FFFF0000"/>
      </right>
      <top style="medium">
        <color rgb="FFF6A800"/>
      </top>
      <bottom/>
      <diagonal/>
    </border>
    <border>
      <left/>
      <right style="hair">
        <color rgb="FFFF0000"/>
      </right>
      <top style="medium">
        <color rgb="FFF6A800"/>
      </top>
      <bottom/>
      <diagonal/>
    </border>
    <border>
      <left style="medium">
        <color rgb="FFF6A800"/>
      </left>
      <right style="medium">
        <color rgb="FFF6A800"/>
      </right>
      <top style="medium">
        <color rgb="FFF6A800"/>
      </top>
      <bottom/>
      <diagonal/>
    </border>
    <border>
      <left/>
      <right/>
      <top/>
      <bottom style="dotted">
        <color rgb="FFF6A800"/>
      </bottom>
      <diagonal/>
    </border>
    <border>
      <left style="medium">
        <color rgb="FFF6A800"/>
      </left>
      <right/>
      <top/>
      <bottom style="medium">
        <color rgb="FFF6A800"/>
      </bottom>
      <diagonal/>
    </border>
    <border>
      <left/>
      <right style="medium">
        <color rgb="FFF6A800"/>
      </right>
      <top style="medium">
        <color rgb="FFF6A800"/>
      </top>
      <bottom style="medium">
        <color rgb="FFF6A800"/>
      </bottom>
      <diagonal/>
    </border>
    <border>
      <left/>
      <right/>
      <top style="medium">
        <color rgb="FFF6A800"/>
      </top>
      <bottom style="medium">
        <color rgb="FFF6A800"/>
      </bottom>
      <diagonal/>
    </border>
    <border>
      <left style="medium">
        <color rgb="FFF6A800"/>
      </left>
      <right/>
      <top style="medium">
        <color rgb="FFF6A800"/>
      </top>
      <bottom style="medium">
        <color rgb="FFF6A800"/>
      </bottom>
      <diagonal/>
    </border>
    <border>
      <left/>
      <right style="medium">
        <color rgb="FFF6A800"/>
      </right>
      <top style="medium">
        <color rgb="FFF6A800"/>
      </top>
      <bottom/>
      <diagonal/>
    </border>
    <border>
      <left/>
      <right/>
      <top style="medium">
        <color rgb="FFF6A800"/>
      </top>
      <bottom/>
      <diagonal/>
    </border>
    <border>
      <left style="medium">
        <color rgb="FFF6A800"/>
      </left>
      <right/>
      <top style="medium">
        <color rgb="FFF6A800"/>
      </top>
      <bottom/>
      <diagonal/>
    </border>
    <border>
      <left/>
      <right style="medium">
        <color rgb="FFF6A800"/>
      </right>
      <top/>
      <bottom/>
      <diagonal/>
    </border>
    <border>
      <left style="medium">
        <color rgb="FFF6A800"/>
      </left>
      <right/>
      <top/>
      <bottom/>
      <diagonal/>
    </border>
    <border>
      <left style="medium">
        <color rgb="FFF6A800"/>
      </left>
      <right style="hair">
        <color rgb="FF003399"/>
      </right>
      <top/>
      <bottom style="hair">
        <color rgb="FF003399"/>
      </bottom>
      <diagonal/>
    </border>
    <border>
      <left style="hair">
        <color rgb="FF003399"/>
      </left>
      <right style="hair">
        <color rgb="FF003399"/>
      </right>
      <top/>
      <bottom style="hair">
        <color rgb="FF003399"/>
      </bottom>
      <diagonal/>
    </border>
    <border>
      <left/>
      <right style="hair">
        <color rgb="FF003399"/>
      </right>
      <top/>
      <bottom style="hair">
        <color rgb="FF003399"/>
      </bottom>
      <diagonal/>
    </border>
    <border>
      <left/>
      <right style="hair">
        <color rgb="FFFF0000"/>
      </right>
      <top/>
      <bottom style="hair">
        <color rgb="FFFF0000"/>
      </bottom>
      <diagonal/>
    </border>
    <border>
      <left style="hair">
        <color rgb="FF003399"/>
      </left>
      <right style="medium">
        <color rgb="FF003399"/>
      </right>
      <top style="hair">
        <color theme="3"/>
      </top>
      <bottom style="hair">
        <color theme="3"/>
      </bottom>
      <diagonal/>
    </border>
    <border>
      <left style="medium">
        <color rgb="FF003399"/>
      </left>
      <right style="hair">
        <color rgb="FF003399"/>
      </right>
      <top style="hair">
        <color rgb="FF003399"/>
      </top>
      <bottom style="medium">
        <color rgb="FF003399"/>
      </bottom>
      <diagonal/>
    </border>
    <border>
      <left style="hair">
        <color indexed="64"/>
      </left>
      <right style="medium">
        <color rgb="FF003399"/>
      </right>
      <top style="hair">
        <color theme="3"/>
      </top>
      <bottom style="medium">
        <color theme="3"/>
      </bottom>
      <diagonal/>
    </border>
    <border>
      <left style="medium">
        <color rgb="FF003399"/>
      </left>
      <right style="medium">
        <color rgb="FF003399"/>
      </right>
      <top style="hair">
        <color rgb="FF003399"/>
      </top>
      <bottom style="medium">
        <color rgb="FF003399"/>
      </bottom>
      <diagonal/>
    </border>
    <border>
      <left style="hair">
        <color rgb="FF003399"/>
      </left>
      <right style="medium">
        <color rgb="FF003399"/>
      </right>
      <top style="hair">
        <color theme="3"/>
      </top>
      <bottom style="medium">
        <color theme="3"/>
      </bottom>
      <diagonal/>
    </border>
    <border>
      <left style="hair">
        <color rgb="FF003399"/>
      </left>
      <right style="medium">
        <color rgb="FF003399"/>
      </right>
      <top style="hair">
        <color theme="3"/>
      </top>
      <bottom/>
      <diagonal/>
    </border>
    <border>
      <left style="hair">
        <color rgb="FF003399"/>
      </left>
      <right style="medium">
        <color rgb="FF003399"/>
      </right>
      <top/>
      <bottom/>
      <diagonal/>
    </border>
    <border>
      <left style="medium">
        <color rgb="FF003399"/>
      </left>
      <right style="hair">
        <color rgb="FF003399"/>
      </right>
      <top style="hair">
        <color rgb="FF003399"/>
      </top>
      <bottom style="hair">
        <color rgb="FF003399"/>
      </bottom>
      <diagonal/>
    </border>
    <border>
      <left style="hair">
        <color indexed="64"/>
      </left>
      <right style="medium">
        <color rgb="FF003399"/>
      </right>
      <top style="hair">
        <color theme="3"/>
      </top>
      <bottom style="hair">
        <color theme="3"/>
      </bottom>
      <diagonal/>
    </border>
    <border>
      <left style="medium">
        <color rgb="FF003399"/>
      </left>
      <right style="medium">
        <color rgb="FF003399"/>
      </right>
      <top style="hair">
        <color rgb="FF003399"/>
      </top>
      <bottom style="hair">
        <color rgb="FF003399"/>
      </bottom>
      <diagonal/>
    </border>
    <border>
      <left style="medium">
        <color rgb="FF003399"/>
      </left>
      <right style="hair">
        <color rgb="FF003399"/>
      </right>
      <top style="hair">
        <color rgb="FF003399"/>
      </top>
      <bottom/>
      <diagonal/>
    </border>
    <border>
      <left style="medium">
        <color rgb="FF003399"/>
      </left>
      <right style="hair">
        <color rgb="FF003399"/>
      </right>
      <top/>
      <bottom style="hair">
        <color rgb="FF003399"/>
      </bottom>
      <diagonal/>
    </border>
    <border>
      <left style="medium">
        <color rgb="FF003399"/>
      </left>
      <right style="hair">
        <color rgb="FF003399"/>
      </right>
      <top style="hair">
        <color indexed="64"/>
      </top>
      <bottom style="hair">
        <color rgb="FF003399"/>
      </bottom>
      <diagonal/>
    </border>
    <border>
      <left style="medium">
        <color rgb="FF003399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003399"/>
      </right>
      <top/>
      <bottom/>
      <diagonal/>
    </border>
    <border>
      <left style="medium">
        <color rgb="FF003399"/>
      </left>
      <right style="medium">
        <color rgb="FF003399"/>
      </right>
      <top/>
      <bottom/>
      <diagonal/>
    </border>
    <border>
      <left style="medium">
        <color rgb="FF003399"/>
      </left>
      <right style="hair">
        <color rgb="FF003399"/>
      </right>
      <top style="hair">
        <color rgb="FF003399"/>
      </top>
      <bottom style="hair">
        <color indexed="64"/>
      </bottom>
      <diagonal/>
    </border>
    <border>
      <left style="hair">
        <color indexed="64"/>
      </left>
      <right style="medium">
        <color rgb="FF003399"/>
      </right>
      <top/>
      <bottom style="hair">
        <color theme="3"/>
      </bottom>
      <diagonal/>
    </border>
    <border>
      <left style="medium">
        <color rgb="FF003399"/>
      </left>
      <right/>
      <top style="hair">
        <color rgb="FF003399"/>
      </top>
      <bottom style="hair">
        <color rgb="FF003399"/>
      </bottom>
      <diagonal/>
    </border>
    <border>
      <left/>
      <right/>
      <top style="hair">
        <color rgb="FF003399"/>
      </top>
      <bottom style="hair">
        <color rgb="FF003399"/>
      </bottom>
      <diagonal/>
    </border>
    <border>
      <left style="hair">
        <color indexed="64"/>
      </left>
      <right style="medium">
        <color rgb="FF003399"/>
      </right>
      <top style="hair">
        <color theme="3"/>
      </top>
      <bottom/>
      <diagonal/>
    </border>
    <border>
      <left style="hair">
        <color theme="3"/>
      </left>
      <right style="medium">
        <color rgb="FF003399"/>
      </right>
      <top/>
      <bottom style="hair">
        <color theme="3"/>
      </bottom>
      <diagonal/>
    </border>
    <border>
      <left/>
      <right style="hair">
        <color rgb="FF003399"/>
      </right>
      <top style="hair">
        <color indexed="64"/>
      </top>
      <bottom style="hair">
        <color rgb="FF003399"/>
      </bottom>
      <diagonal/>
    </border>
    <border>
      <left style="medium">
        <color rgb="FF003399"/>
      </left>
      <right/>
      <top style="hair">
        <color indexed="64"/>
      </top>
      <bottom style="hair">
        <color rgb="FF003399"/>
      </bottom>
      <diagonal/>
    </border>
    <border>
      <left style="hair">
        <color theme="3"/>
      </left>
      <right style="medium">
        <color rgb="FF003399"/>
      </right>
      <top style="hair">
        <color theme="3"/>
      </top>
      <bottom/>
      <diagonal/>
    </border>
    <border>
      <left/>
      <right/>
      <top style="hair">
        <color indexed="64"/>
      </top>
      <bottom/>
      <diagonal/>
    </border>
    <border>
      <left style="medium">
        <color rgb="FF003399"/>
      </left>
      <right/>
      <top/>
      <bottom/>
      <diagonal/>
    </border>
    <border>
      <left style="medium">
        <color rgb="FF003399"/>
      </left>
      <right style="hair">
        <color indexed="64"/>
      </right>
      <top style="hair">
        <color indexed="64"/>
      </top>
      <bottom/>
      <diagonal/>
    </border>
    <border>
      <left style="medium">
        <color rgb="FF003399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rgb="FF003399"/>
      </right>
      <top style="hair">
        <color rgb="FF003399"/>
      </top>
      <bottom/>
      <diagonal/>
    </border>
    <border>
      <left style="medium">
        <color rgb="FF003399"/>
      </left>
      <right/>
      <top style="hair">
        <color rgb="FF003399"/>
      </top>
      <bottom style="hair">
        <color indexed="64"/>
      </bottom>
      <diagonal/>
    </border>
    <border>
      <left style="hair">
        <color rgb="FF003399"/>
      </left>
      <right style="medium">
        <color rgb="FF003399"/>
      </right>
      <top style="medium">
        <color rgb="FF003399"/>
      </top>
      <bottom/>
      <diagonal/>
    </border>
    <border>
      <left/>
      <right style="hair">
        <color rgb="FF003399"/>
      </right>
      <top style="medium">
        <color rgb="FF003399"/>
      </top>
      <bottom style="hair">
        <color rgb="FF003399"/>
      </bottom>
      <diagonal/>
    </border>
    <border>
      <left style="hair">
        <color indexed="64"/>
      </left>
      <right style="medium">
        <color rgb="FF003399"/>
      </right>
      <top style="medium">
        <color rgb="FF003399"/>
      </top>
      <bottom/>
      <diagonal/>
    </border>
    <border>
      <left style="medium">
        <color rgb="FF003399"/>
      </left>
      <right/>
      <top style="medium">
        <color rgb="FF003399"/>
      </top>
      <bottom style="hair">
        <color rgb="FF003399"/>
      </bottom>
      <diagonal/>
    </border>
    <border>
      <left style="medium">
        <color rgb="FF003399"/>
      </left>
      <right style="hair">
        <color rgb="FF003399"/>
      </right>
      <top style="medium">
        <color rgb="FF003399"/>
      </top>
      <bottom style="hair">
        <color rgb="FF003399"/>
      </bottom>
      <diagonal/>
    </border>
    <border>
      <left style="hair">
        <color rgb="FF003399"/>
      </left>
      <right style="medium">
        <color rgb="FF003399"/>
      </right>
      <top style="medium">
        <color rgb="FF003399"/>
      </top>
      <bottom style="hair">
        <color theme="3"/>
      </bottom>
      <diagonal/>
    </border>
    <border>
      <left style="medium">
        <color rgb="FF003399"/>
      </left>
      <right style="medium">
        <color rgb="FF003399"/>
      </right>
      <top style="medium">
        <color rgb="FF003399"/>
      </top>
      <bottom style="hair">
        <color rgb="FF003399"/>
      </bottom>
      <diagonal/>
    </border>
    <border>
      <left style="hair">
        <color rgb="FF003399"/>
      </left>
      <right style="hair">
        <color rgb="FF003399"/>
      </right>
      <top style="medium">
        <color rgb="FF003399"/>
      </top>
      <bottom style="hair">
        <color rgb="FF003399"/>
      </bottom>
      <diagonal/>
    </border>
    <border>
      <left style="hair">
        <color rgb="FF003399"/>
      </left>
      <right style="hair">
        <color rgb="FF003399"/>
      </right>
      <top style="medium">
        <color rgb="FF003399"/>
      </top>
      <bottom/>
      <diagonal/>
    </border>
    <border>
      <left style="hair">
        <color rgb="FF003399"/>
      </left>
      <right style="medium">
        <color rgb="FF003399"/>
      </right>
      <top style="hair">
        <color rgb="FF003399"/>
      </top>
      <bottom style="medium">
        <color rgb="FF003399"/>
      </bottom>
      <diagonal/>
    </border>
    <border>
      <left style="medium">
        <color rgb="FF003399"/>
      </left>
      <right/>
      <top style="hair">
        <color rgb="FF003399"/>
      </top>
      <bottom style="medium">
        <color rgb="FF003399"/>
      </bottom>
      <diagonal/>
    </border>
    <border>
      <left/>
      <right/>
      <top style="hair">
        <color rgb="FF003399"/>
      </top>
      <bottom style="medium">
        <color rgb="FF003399"/>
      </bottom>
      <diagonal/>
    </border>
    <border>
      <left style="medium">
        <color rgb="FF003399"/>
      </left>
      <right/>
      <top style="hair">
        <color indexed="64"/>
      </top>
      <bottom style="medium">
        <color rgb="FF003399"/>
      </bottom>
      <diagonal/>
    </border>
    <border>
      <left style="hair">
        <color rgb="FF003399"/>
      </left>
      <right style="medium">
        <color rgb="FF003399"/>
      </right>
      <top style="hair">
        <color rgb="FF003399"/>
      </top>
      <bottom/>
      <diagonal/>
    </border>
    <border>
      <left style="medium">
        <color rgb="FF003399"/>
      </left>
      <right/>
      <top style="hair">
        <color rgb="FF003399"/>
      </top>
      <bottom/>
      <diagonal/>
    </border>
    <border>
      <left style="hair">
        <color rgb="FF003399"/>
      </left>
      <right style="medium">
        <color rgb="FF003399"/>
      </right>
      <top style="hair">
        <color rgb="FF003399"/>
      </top>
      <bottom style="hair">
        <color rgb="FF003399"/>
      </bottom>
      <diagonal/>
    </border>
    <border>
      <left style="hair">
        <color rgb="FF003399"/>
      </left>
      <right style="medium">
        <color rgb="FF003399"/>
      </right>
      <top/>
      <bottom style="hair">
        <color rgb="FF003399"/>
      </bottom>
      <diagonal/>
    </border>
    <border>
      <left style="medium">
        <color rgb="FF003399"/>
      </left>
      <right/>
      <top/>
      <bottom style="hair">
        <color rgb="FF003399"/>
      </bottom>
      <diagonal/>
    </border>
    <border>
      <left/>
      <right/>
      <top/>
      <bottom style="hair">
        <color rgb="FF003399"/>
      </bottom>
      <diagonal/>
    </border>
    <border>
      <left/>
      <right style="medium">
        <color rgb="FF003399"/>
      </right>
      <top/>
      <bottom style="hair">
        <color rgb="FF003399"/>
      </bottom>
      <diagonal/>
    </border>
    <border>
      <left style="medium">
        <color rgb="FF003399"/>
      </left>
      <right style="medium">
        <color rgb="FF003399"/>
      </right>
      <top style="medium">
        <color rgb="FF003399"/>
      </top>
      <bottom style="medium">
        <color rgb="FF003399"/>
      </bottom>
      <diagonal/>
    </border>
    <border>
      <left style="hair">
        <color rgb="FF003399"/>
      </left>
      <right style="medium">
        <color rgb="FF003399"/>
      </right>
      <top style="medium">
        <color rgb="FF003399"/>
      </top>
      <bottom style="medium">
        <color rgb="FF003399"/>
      </bottom>
      <diagonal/>
    </border>
    <border>
      <left style="hair">
        <color rgb="FF003399"/>
      </left>
      <right style="hair">
        <color rgb="FF003399"/>
      </right>
      <top style="medium">
        <color rgb="FF003399"/>
      </top>
      <bottom style="medium">
        <color rgb="FF003399"/>
      </bottom>
      <diagonal/>
    </border>
    <border>
      <left style="medium">
        <color rgb="FF003399"/>
      </left>
      <right style="hair">
        <color rgb="FF003399"/>
      </right>
      <top style="medium">
        <color rgb="FF003399"/>
      </top>
      <bottom style="medium">
        <color rgb="FF003399"/>
      </bottom>
      <diagonal/>
    </border>
    <border>
      <left style="hair">
        <color indexed="64"/>
      </left>
      <right style="medium">
        <color rgb="FF003399"/>
      </right>
      <top style="medium">
        <color rgb="FF003399"/>
      </top>
      <bottom style="medium">
        <color rgb="FF003399"/>
      </bottom>
      <diagonal/>
    </border>
    <border>
      <left style="hair">
        <color indexed="64"/>
      </left>
      <right style="hair">
        <color indexed="64"/>
      </right>
      <top style="medium">
        <color rgb="FF003399"/>
      </top>
      <bottom style="medium">
        <color rgb="FF003399"/>
      </bottom>
      <diagonal/>
    </border>
    <border>
      <left style="medium">
        <color rgb="FF003399"/>
      </left>
      <right style="hair">
        <color indexed="64"/>
      </right>
      <top style="medium">
        <color rgb="FF003399"/>
      </top>
      <bottom style="medium">
        <color rgb="FF003399"/>
      </bottom>
      <diagonal/>
    </border>
    <border>
      <left style="hair">
        <color rgb="FF003399"/>
      </left>
      <right style="hair">
        <color rgb="FF003399"/>
      </right>
      <top style="hair">
        <color rgb="FF003399"/>
      </top>
      <bottom style="medium">
        <color rgb="FF00339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hair">
        <color rgb="FF003399"/>
      </left>
      <right style="medium">
        <color rgb="FF003399"/>
      </right>
      <top style="medium">
        <color rgb="FF003399"/>
      </top>
      <bottom style="hair">
        <color rgb="FF003399"/>
      </bottom>
      <diagonal/>
    </border>
    <border>
      <left style="hair">
        <color rgb="FF003399"/>
      </left>
      <right style="medium">
        <color rgb="FF003399"/>
      </right>
      <top/>
      <bottom style="medium">
        <color rgb="FF003399"/>
      </bottom>
      <diagonal/>
    </border>
    <border>
      <left style="hair">
        <color rgb="FF003399"/>
      </left>
      <right style="hair">
        <color rgb="FF003399"/>
      </right>
      <top/>
      <bottom style="medium">
        <color rgb="FF003399"/>
      </bottom>
      <diagonal/>
    </border>
    <border>
      <left style="medium">
        <color rgb="FF003399"/>
      </left>
      <right style="hair">
        <color rgb="FF003399"/>
      </right>
      <top/>
      <bottom style="medium">
        <color rgb="FF003399"/>
      </bottom>
      <diagonal/>
    </border>
    <border>
      <left style="medium">
        <color rgb="FF003399"/>
      </left>
      <right style="medium">
        <color rgb="FF003399"/>
      </right>
      <top/>
      <bottom style="medium">
        <color rgb="FF003399"/>
      </bottom>
      <diagonal/>
    </border>
    <border>
      <left style="hair">
        <color indexed="64"/>
      </left>
      <right style="hair">
        <color indexed="64"/>
      </right>
      <top style="hair">
        <color rgb="FF003399"/>
      </top>
      <bottom/>
      <diagonal/>
    </border>
    <border>
      <left style="hair">
        <color rgb="FF003399"/>
      </left>
      <right/>
      <top style="hair">
        <color rgb="FF003399"/>
      </top>
      <bottom/>
      <diagonal/>
    </border>
    <border>
      <left style="medium">
        <color rgb="FF003399"/>
      </left>
      <right style="hair">
        <color rgb="FF003399"/>
      </right>
      <top/>
      <bottom/>
      <diagonal/>
    </border>
    <border>
      <left/>
      <right style="medium">
        <color rgb="FF003399"/>
      </right>
      <top style="medium">
        <color rgb="FF003399"/>
      </top>
      <bottom/>
      <diagonal/>
    </border>
    <border>
      <left/>
      <right/>
      <top style="medium">
        <color rgb="FF003399"/>
      </top>
      <bottom/>
      <diagonal/>
    </border>
    <border>
      <left style="medium">
        <color rgb="FF003399"/>
      </left>
      <right/>
      <top style="medium">
        <color rgb="FF003399"/>
      </top>
      <bottom/>
      <diagonal/>
    </border>
    <border>
      <left style="medium">
        <color rgb="FF003399"/>
      </left>
      <right style="hair">
        <color rgb="FF003399"/>
      </right>
      <top style="medium">
        <color rgb="FF003399"/>
      </top>
      <bottom/>
      <diagonal/>
    </border>
    <border>
      <left style="medium">
        <color rgb="FF003399"/>
      </left>
      <right style="medium">
        <color rgb="FF003399"/>
      </right>
      <top style="medium">
        <color rgb="FF003399"/>
      </top>
      <bottom/>
      <diagonal/>
    </border>
    <border>
      <left/>
      <right style="medium">
        <color rgb="FF003399"/>
      </right>
      <top/>
      <bottom style="medium">
        <color rgb="FF003399"/>
      </bottom>
      <diagonal/>
    </border>
    <border>
      <left/>
      <right/>
      <top/>
      <bottom style="medium">
        <color rgb="FF003399"/>
      </bottom>
      <diagonal/>
    </border>
    <border>
      <left style="medium">
        <color rgb="FF003399"/>
      </left>
      <right/>
      <top/>
      <bottom style="medium">
        <color rgb="FF003399"/>
      </bottom>
      <diagonal/>
    </border>
    <border>
      <left/>
      <right style="medium">
        <color rgb="FF003399"/>
      </right>
      <top style="medium">
        <color rgb="FF003399"/>
      </top>
      <bottom style="medium">
        <color rgb="FF003399"/>
      </bottom>
      <diagonal/>
    </border>
    <border>
      <left/>
      <right/>
      <top style="medium">
        <color rgb="FF003399"/>
      </top>
      <bottom style="medium">
        <color rgb="FF003399"/>
      </bottom>
      <diagonal/>
    </border>
    <border>
      <left style="medium">
        <color rgb="FF003399"/>
      </left>
      <right/>
      <top style="medium">
        <color rgb="FF003399"/>
      </top>
      <bottom style="medium">
        <color rgb="FF003399"/>
      </bottom>
      <diagonal/>
    </border>
    <border>
      <left/>
      <right style="medium">
        <color rgb="FF003399"/>
      </right>
      <top/>
      <bottom/>
      <diagonal/>
    </border>
    <border>
      <left/>
      <right/>
      <top style="medium">
        <color rgb="FF003399"/>
      </top>
      <bottom style="hair">
        <color rgb="FF003399"/>
      </bottom>
      <diagonal/>
    </border>
    <border>
      <left/>
      <right style="medium">
        <color rgb="FF003399"/>
      </right>
      <top style="medium">
        <color rgb="FF003399"/>
      </top>
      <bottom style="hair">
        <color rgb="FF003399"/>
      </bottom>
      <diagonal/>
    </border>
    <border>
      <left/>
      <right style="medium">
        <color rgb="FF003399"/>
      </right>
      <top/>
      <bottom style="hair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/>
      <right style="hair">
        <color theme="1"/>
      </right>
      <top style="hair">
        <color theme="1"/>
      </top>
      <bottom style="medium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/>
      <top style="hair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medium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medium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medium">
        <color theme="1"/>
      </left>
      <right style="medium">
        <color theme="1"/>
      </right>
      <top/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/>
      <right style="hair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/>
      <top style="medium">
        <color theme="1"/>
      </top>
      <bottom style="hair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hair">
        <color rgb="FFFF0000"/>
      </left>
      <right style="hair">
        <color rgb="FFFF0000"/>
      </right>
      <top style="medium">
        <color rgb="FF92D050"/>
      </top>
      <bottom/>
      <diagonal/>
    </border>
    <border>
      <left style="hair">
        <color indexed="64"/>
      </left>
      <right style="hair">
        <color indexed="64"/>
      </right>
      <top style="medium">
        <color rgb="FF92D050"/>
      </top>
      <bottom/>
      <diagonal/>
    </border>
    <border>
      <left style="hair">
        <color indexed="64"/>
      </left>
      <right style="medium">
        <color rgb="FF92D050"/>
      </right>
      <top style="medium">
        <color rgb="FF92D050"/>
      </top>
      <bottom/>
      <diagonal/>
    </border>
    <border>
      <left style="hair">
        <color rgb="FF003399"/>
      </left>
      <right style="medium">
        <color rgb="FF92D050"/>
      </right>
      <top style="hair">
        <color rgb="FF003399"/>
      </top>
      <bottom/>
      <diagonal/>
    </border>
    <border>
      <left style="hair">
        <color rgb="FF003399"/>
      </left>
      <right style="hair">
        <color rgb="FF003399"/>
      </right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/>
      <right style="hair">
        <color rgb="FF003399"/>
      </right>
      <top/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 style="medium">
        <color rgb="FF92D050"/>
      </right>
      <top/>
      <bottom/>
      <diagonal/>
    </border>
    <border>
      <left style="medium">
        <color rgb="FF92D050"/>
      </left>
      <right style="medium">
        <color rgb="FF92D050"/>
      </right>
      <top/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/>
      <bottom style="hair">
        <color rgb="FF003399"/>
      </bottom>
      <diagonal/>
    </border>
    <border>
      <left style="medium">
        <color rgb="FF92D050"/>
      </left>
      <right style="medium">
        <color rgb="FF92D050"/>
      </right>
      <top style="hair">
        <color rgb="FF003399"/>
      </top>
      <bottom style="hair">
        <color rgb="FF003399"/>
      </bottom>
      <diagonal/>
    </border>
    <border>
      <left style="medium">
        <color rgb="FF92D050"/>
      </left>
      <right style="hair">
        <color rgb="FFFF0000"/>
      </right>
      <top style="medium">
        <color rgb="FF92D050"/>
      </top>
      <bottom/>
      <diagonal/>
    </border>
    <border>
      <left style="hair">
        <color rgb="FFFF0000"/>
      </left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 style="hair">
        <color rgb="FF003399"/>
      </right>
      <top/>
      <bottom/>
      <diagonal/>
    </border>
    <border>
      <left style="hair">
        <color rgb="FF003399"/>
      </left>
      <right style="medium">
        <color rgb="FF92D050"/>
      </right>
      <top/>
      <bottom/>
      <diagonal/>
    </border>
    <border>
      <left style="medium">
        <color rgb="FF92D050"/>
      </left>
      <right style="hair">
        <color rgb="FF003399"/>
      </right>
      <top/>
      <bottom style="medium">
        <color rgb="FF92D050"/>
      </bottom>
      <diagonal/>
    </border>
    <border>
      <left style="hair">
        <color rgb="FF003399"/>
      </left>
      <right style="medium">
        <color rgb="FF92D050"/>
      </right>
      <top/>
      <bottom style="medium">
        <color rgb="FF92D050"/>
      </bottom>
      <diagonal/>
    </border>
    <border>
      <left style="medium">
        <color rgb="FF92D050"/>
      </left>
      <right style="hair">
        <color rgb="FF003399"/>
      </right>
      <top/>
      <bottom style="hair">
        <color rgb="FF003399"/>
      </bottom>
      <diagonal/>
    </border>
    <border>
      <left style="hair">
        <color rgb="FF003399"/>
      </left>
      <right style="medium">
        <color rgb="FF92D050"/>
      </right>
      <top/>
      <bottom style="hair">
        <color rgb="FF003399"/>
      </bottom>
      <diagonal/>
    </border>
    <border>
      <left style="medium">
        <color rgb="FF92D050"/>
      </left>
      <right style="hair">
        <color rgb="FF003399"/>
      </right>
      <top style="hair">
        <color rgb="FF003399"/>
      </top>
      <bottom style="hair">
        <color rgb="FF003399"/>
      </bottom>
      <diagonal/>
    </border>
    <border>
      <left style="hair">
        <color rgb="FF003399"/>
      </left>
      <right style="medium">
        <color rgb="FF92D050"/>
      </right>
      <top style="hair">
        <color rgb="FF003399"/>
      </top>
      <bottom style="hair">
        <color rgb="FF003399"/>
      </bottom>
      <diagonal/>
    </border>
    <border>
      <left style="medium">
        <color rgb="FF92D050"/>
      </left>
      <right style="hair">
        <color rgb="FF05557E"/>
      </right>
      <top style="hair">
        <color rgb="FF05557E"/>
      </top>
      <bottom style="hair">
        <color rgb="FF05557E"/>
      </bottom>
      <diagonal/>
    </border>
    <border>
      <left style="medium">
        <color rgb="FF92D050"/>
      </left>
      <right style="medium">
        <color rgb="FF92D050"/>
      </right>
      <top style="hair">
        <color rgb="FF003399"/>
      </top>
      <bottom/>
      <diagonal/>
    </border>
    <border>
      <left style="medium">
        <color rgb="FF92D050"/>
      </left>
      <right style="hair">
        <color rgb="FF003399"/>
      </right>
      <top style="hair">
        <color rgb="FF003399"/>
      </top>
      <bottom/>
      <diagonal/>
    </border>
    <border>
      <left style="medium">
        <color rgb="FF92D050"/>
      </left>
      <right style="hair">
        <color rgb="FF003399"/>
      </right>
      <top style="medium">
        <color rgb="FF92D050"/>
      </top>
      <bottom style="medium">
        <color rgb="FF92D050"/>
      </bottom>
      <diagonal/>
    </border>
    <border>
      <left style="hair">
        <color rgb="FF003399"/>
      </left>
      <right style="hair">
        <color rgb="FF003399"/>
      </right>
      <top style="medium">
        <color rgb="FF92D050"/>
      </top>
      <bottom style="medium">
        <color rgb="FF92D050"/>
      </bottom>
      <diagonal/>
    </border>
    <border>
      <left/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/>
      <right style="hair">
        <color rgb="FF003399"/>
      </right>
      <top style="medium">
        <color rgb="FF92D050"/>
      </top>
      <bottom style="medium">
        <color rgb="FF92D050"/>
      </bottom>
      <diagonal/>
    </border>
    <border>
      <left/>
      <right/>
      <top style="medium">
        <color rgb="FF92D050"/>
      </top>
      <bottom style="medium">
        <color rgb="FF92D050"/>
      </bottom>
      <diagonal/>
    </border>
    <border>
      <left/>
      <right style="hair">
        <color indexed="64"/>
      </right>
      <top style="medium">
        <color rgb="FF92D050"/>
      </top>
      <bottom/>
      <diagonal/>
    </border>
    <border>
      <left style="medium">
        <color rgb="FF92D050"/>
      </left>
      <right style="hair">
        <color indexed="64"/>
      </right>
      <top style="medium">
        <color rgb="FF92D050"/>
      </top>
      <bottom/>
      <diagonal/>
    </border>
    <border>
      <left style="hair">
        <color indexed="64"/>
      </left>
      <right/>
      <top style="medium">
        <color rgb="FF92D050"/>
      </top>
      <bottom/>
      <diagonal/>
    </border>
    <border>
      <left/>
      <right/>
      <top/>
      <bottom style="medium">
        <color rgb="FF92D050"/>
      </bottom>
      <diagonal/>
    </border>
    <border>
      <left style="medium">
        <color rgb="FF92D050"/>
      </left>
      <right/>
      <top style="medium">
        <color rgb="FF92D050"/>
      </top>
      <bottom/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 style="medium">
        <color rgb="FF92D050"/>
      </left>
      <right/>
      <top style="medium">
        <color rgb="FF92D050"/>
      </top>
      <bottom style="medium">
        <color rgb="FF92D050"/>
      </bottom>
      <diagonal/>
    </border>
    <border>
      <left style="medium">
        <color rgb="FFF6A800"/>
      </left>
      <right style="thin">
        <color rgb="FFFFC000"/>
      </right>
      <top style="hair">
        <color rgb="FF003399"/>
      </top>
      <bottom style="hair">
        <color rgb="FF003399"/>
      </bottom>
      <diagonal/>
    </border>
    <border>
      <left style="medium">
        <color rgb="FFF6A800"/>
      </left>
      <right/>
      <top style="hair">
        <color rgb="FF003399"/>
      </top>
      <bottom style="hair">
        <color rgb="FF003399"/>
      </bottom>
      <diagonal/>
    </border>
    <border>
      <left style="hair">
        <color indexed="64"/>
      </left>
      <right/>
      <top style="medium">
        <color rgb="FFF6A800"/>
      </top>
      <bottom/>
      <diagonal/>
    </border>
    <border>
      <left style="medium">
        <color rgb="FFFFC000"/>
      </left>
      <right style="hair">
        <color indexed="64"/>
      </right>
      <top style="medium">
        <color rgb="FFFFC000"/>
      </top>
      <bottom/>
      <diagonal/>
    </border>
    <border>
      <left style="hair">
        <color indexed="64"/>
      </left>
      <right style="hair">
        <color indexed="64"/>
      </right>
      <top style="medium">
        <color rgb="FFFFC000"/>
      </top>
      <bottom/>
      <diagonal/>
    </border>
    <border>
      <left style="hair">
        <color indexed="64"/>
      </left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 style="hair">
        <color rgb="FF003399"/>
      </right>
      <top style="hair">
        <color rgb="FF003399"/>
      </top>
      <bottom/>
      <diagonal/>
    </border>
    <border>
      <left style="hair">
        <color rgb="FF003399"/>
      </left>
      <right style="medium">
        <color rgb="FFFFC000"/>
      </right>
      <top style="hair">
        <color rgb="FF003399"/>
      </top>
      <bottom/>
      <diagonal/>
    </border>
    <border>
      <left style="medium">
        <color rgb="FFFFC000"/>
      </left>
      <right style="hair">
        <color rgb="FF003399"/>
      </right>
      <top/>
      <bottom style="medium">
        <color rgb="FFF6A800"/>
      </bottom>
      <diagonal/>
    </border>
    <border>
      <left/>
      <right style="medium">
        <color rgb="FFFFC000"/>
      </right>
      <top/>
      <bottom style="medium">
        <color rgb="FFF6A800"/>
      </bottom>
      <diagonal/>
    </border>
    <border>
      <left style="medium">
        <color rgb="FFFFC000"/>
      </left>
      <right style="hair">
        <color rgb="FF003399"/>
      </right>
      <top style="medium">
        <color rgb="FFF6A800"/>
      </top>
      <bottom style="hair">
        <color rgb="FF003399"/>
      </bottom>
      <diagonal/>
    </border>
    <border>
      <left style="medium">
        <color rgb="FFFFC000"/>
      </left>
      <right style="hair">
        <color rgb="FF003399"/>
      </right>
      <top/>
      <bottom style="hair">
        <color rgb="FF003399"/>
      </bottom>
      <diagonal/>
    </border>
    <border>
      <left style="medium">
        <color rgb="FFFFC000"/>
      </left>
      <right style="hair">
        <color rgb="FF003399"/>
      </right>
      <top style="hair">
        <color rgb="FF003399"/>
      </top>
      <bottom style="hair">
        <color rgb="FF003399"/>
      </bottom>
      <diagonal/>
    </border>
    <border>
      <left style="medium">
        <color rgb="FFFFC000"/>
      </left>
      <right style="hair">
        <color rgb="FF003399"/>
      </right>
      <top style="hair">
        <color rgb="FF003399"/>
      </top>
      <bottom style="medium">
        <color rgb="FFFFC000"/>
      </bottom>
      <diagonal/>
    </border>
    <border>
      <left style="hair">
        <color rgb="FF003399"/>
      </left>
      <right style="hair">
        <color rgb="FF003399"/>
      </right>
      <top style="hair">
        <color rgb="FF003399"/>
      </top>
      <bottom style="medium">
        <color rgb="FFFFC000"/>
      </bottom>
      <diagonal/>
    </border>
    <border>
      <left style="medium">
        <color rgb="FF92D050"/>
      </left>
      <right style="hair">
        <color rgb="FF003399"/>
      </right>
      <top/>
      <bottom style="hair">
        <color rgb="FF05557E"/>
      </bottom>
      <diagonal/>
    </border>
    <border>
      <left style="medium">
        <color rgb="FF33CCCC"/>
      </left>
      <right style="medium">
        <color rgb="FF33CCCC"/>
      </right>
      <top style="medium">
        <color rgb="FF33CCCC"/>
      </top>
      <bottom style="medium">
        <color rgb="FF33CCCC"/>
      </bottom>
      <diagonal/>
    </border>
    <border>
      <left/>
      <right style="hair">
        <color theme="1"/>
      </right>
      <top style="medium">
        <color rgb="FF33CCCC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rgb="FF33CCCC"/>
      </top>
      <bottom style="hair">
        <color theme="1"/>
      </bottom>
      <diagonal/>
    </border>
    <border>
      <left style="hair">
        <color theme="1"/>
      </left>
      <right/>
      <top style="medium">
        <color rgb="FF33CCCC"/>
      </top>
      <bottom style="hair">
        <color theme="1"/>
      </bottom>
      <diagonal/>
    </border>
    <border>
      <left style="hair">
        <color theme="1"/>
      </left>
      <right style="medium">
        <color rgb="FF33CCCC"/>
      </right>
      <top style="medium">
        <color rgb="FF33CCCC"/>
      </top>
      <bottom style="hair">
        <color theme="1"/>
      </bottom>
      <diagonal/>
    </border>
    <border>
      <left style="hair">
        <color theme="1"/>
      </left>
      <right style="medium">
        <color rgb="FF33CCCC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rgb="FF33CCCC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medium">
        <color rgb="FF33CCCC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33CCCC"/>
      </bottom>
      <diagonal/>
    </border>
    <border>
      <left style="hair">
        <color theme="1"/>
      </left>
      <right/>
      <top style="hair">
        <color theme="1"/>
      </top>
      <bottom style="medium">
        <color rgb="FF33CCCC"/>
      </bottom>
      <diagonal/>
    </border>
    <border>
      <left style="hair">
        <color theme="1"/>
      </left>
      <right style="medium">
        <color rgb="FF33CCCC"/>
      </right>
      <top style="hair">
        <color theme="1"/>
      </top>
      <bottom style="medium">
        <color rgb="FF33CCCC"/>
      </bottom>
      <diagonal/>
    </border>
    <border>
      <left style="medium">
        <color rgb="FF33CCCC"/>
      </left>
      <right style="medium">
        <color rgb="FF33CCCC"/>
      </right>
      <top style="medium">
        <color rgb="FF33CCCC"/>
      </top>
      <bottom style="hair">
        <color theme="1"/>
      </bottom>
      <diagonal/>
    </border>
    <border>
      <left style="medium">
        <color rgb="FF33CCCC"/>
      </left>
      <right style="medium">
        <color rgb="FF33CCCC"/>
      </right>
      <top style="hair">
        <color theme="1"/>
      </top>
      <bottom style="hair">
        <color theme="1"/>
      </bottom>
      <diagonal/>
    </border>
    <border>
      <left style="medium">
        <color rgb="FF33CCCC"/>
      </left>
      <right style="medium">
        <color rgb="FF33CCCC"/>
      </right>
      <top style="hair">
        <color theme="1"/>
      </top>
      <bottom style="medium">
        <color rgb="FF33CCCC"/>
      </bottom>
      <diagonal/>
    </border>
    <border>
      <left style="medium">
        <color rgb="FF33CCCC"/>
      </left>
      <right style="medium">
        <color rgb="FF33CCCC"/>
      </right>
      <top/>
      <bottom style="hair">
        <color theme="1"/>
      </bottom>
      <diagonal/>
    </border>
    <border>
      <left style="medium">
        <color rgb="FF33CCCC"/>
      </left>
      <right style="hair">
        <color theme="1"/>
      </right>
      <top style="medium">
        <color rgb="FF33CCCC"/>
      </top>
      <bottom style="hair">
        <color theme="1"/>
      </bottom>
      <diagonal/>
    </border>
    <border>
      <left style="medium">
        <color rgb="FF33CCCC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rgb="FF33CCCC"/>
      </left>
      <right style="hair">
        <color theme="1"/>
      </right>
      <top style="hair">
        <color theme="1"/>
      </top>
      <bottom style="medium">
        <color rgb="FF33CCCC"/>
      </bottom>
      <diagonal/>
    </border>
    <border>
      <left style="medium">
        <color rgb="FF33CCCC"/>
      </left>
      <right style="hair">
        <color theme="1"/>
      </right>
      <top/>
      <bottom style="hair">
        <color theme="1"/>
      </bottom>
      <diagonal/>
    </border>
    <border>
      <left style="medium">
        <color rgb="FF33CCCC"/>
      </left>
      <right/>
      <top style="medium">
        <color rgb="FF33CCCC"/>
      </top>
      <bottom/>
      <diagonal/>
    </border>
    <border>
      <left/>
      <right/>
      <top style="medium">
        <color rgb="FF33CCCC"/>
      </top>
      <bottom/>
      <diagonal/>
    </border>
    <border>
      <left/>
      <right style="medium">
        <color rgb="FF33CCCC"/>
      </right>
      <top style="medium">
        <color rgb="FF33CCCC"/>
      </top>
      <bottom/>
      <diagonal/>
    </border>
    <border>
      <left style="medium">
        <color rgb="FF33CCCC"/>
      </left>
      <right/>
      <top/>
      <bottom/>
      <diagonal/>
    </border>
    <border>
      <left/>
      <right style="medium">
        <color rgb="FF33CCCC"/>
      </right>
      <top/>
      <bottom/>
      <diagonal/>
    </border>
    <border>
      <left style="medium">
        <color rgb="FF33CCCC"/>
      </left>
      <right/>
      <top/>
      <bottom style="medium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 style="medium">
        <color rgb="FF33CCCC"/>
      </right>
      <top/>
      <bottom style="medium">
        <color rgb="FF33CCCC"/>
      </bottom>
      <diagonal/>
    </border>
    <border>
      <left style="medium">
        <color rgb="FF33CCCC"/>
      </left>
      <right/>
      <top style="medium">
        <color rgb="FF33CCCC"/>
      </top>
      <bottom style="medium">
        <color rgb="FF33CCCC"/>
      </bottom>
      <diagonal/>
    </border>
    <border>
      <left/>
      <right/>
      <top style="medium">
        <color rgb="FF33CCCC"/>
      </top>
      <bottom style="medium">
        <color rgb="FF33CCCC"/>
      </bottom>
      <diagonal/>
    </border>
    <border>
      <left/>
      <right style="medium">
        <color rgb="FF33CCCC"/>
      </right>
      <top style="medium">
        <color rgb="FF33CCCC"/>
      </top>
      <bottom style="medium">
        <color rgb="FF33CCCC"/>
      </bottom>
      <diagonal/>
    </border>
    <border>
      <left/>
      <right/>
      <top/>
      <bottom style="thin">
        <color rgb="FFFE82AE"/>
      </bottom>
      <diagonal/>
    </border>
    <border>
      <left style="medium">
        <color rgb="FFFE82AE"/>
      </left>
      <right style="medium">
        <color rgb="FFFE82AE"/>
      </right>
      <top style="medium">
        <color rgb="FFFE82AE"/>
      </top>
      <bottom style="medium">
        <color rgb="FFFE82AE"/>
      </bottom>
      <diagonal/>
    </border>
    <border>
      <left style="medium">
        <color rgb="FFFE82AE"/>
      </left>
      <right style="medium">
        <color rgb="FFFE82AE"/>
      </right>
      <top style="medium">
        <color rgb="FFFE82AE"/>
      </top>
      <bottom style="hair">
        <color theme="1"/>
      </bottom>
      <diagonal/>
    </border>
    <border>
      <left style="medium">
        <color rgb="FFFE82AE"/>
      </left>
      <right style="medium">
        <color rgb="FFFE82AE"/>
      </right>
      <top style="hair">
        <color theme="1"/>
      </top>
      <bottom style="hair">
        <color theme="1"/>
      </bottom>
      <diagonal/>
    </border>
    <border>
      <left style="medium">
        <color rgb="FFFE82AE"/>
      </left>
      <right style="medium">
        <color rgb="FFFE82AE"/>
      </right>
      <top style="hair">
        <color theme="1"/>
      </top>
      <bottom style="medium">
        <color rgb="FFFE82AE"/>
      </bottom>
      <diagonal/>
    </border>
    <border>
      <left style="medium">
        <color rgb="FFFE82AE"/>
      </left>
      <right style="hair">
        <color theme="1"/>
      </right>
      <top style="medium">
        <color rgb="FFFE82AE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rgb="FFFE82AE"/>
      </top>
      <bottom style="hair">
        <color theme="1"/>
      </bottom>
      <diagonal/>
    </border>
    <border>
      <left style="hair">
        <color theme="1"/>
      </left>
      <right style="medium">
        <color rgb="FFFE82AE"/>
      </right>
      <top style="medium">
        <color rgb="FFFE82AE"/>
      </top>
      <bottom style="hair">
        <color theme="1"/>
      </bottom>
      <diagonal/>
    </border>
    <border>
      <left style="medium">
        <color rgb="FFFE82AE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rgb="FFFE82AE"/>
      </right>
      <top style="hair">
        <color theme="1"/>
      </top>
      <bottom style="hair">
        <color theme="1"/>
      </bottom>
      <diagonal/>
    </border>
    <border>
      <left style="medium">
        <color rgb="FFFE82AE"/>
      </left>
      <right style="hair">
        <color theme="1"/>
      </right>
      <top style="hair">
        <color theme="1"/>
      </top>
      <bottom style="medium">
        <color rgb="FFFE82AE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FE82AE"/>
      </bottom>
      <diagonal/>
    </border>
    <border>
      <left style="hair">
        <color theme="1"/>
      </left>
      <right style="medium">
        <color rgb="FFFE82AE"/>
      </right>
      <top style="hair">
        <color theme="1"/>
      </top>
      <bottom style="medium">
        <color rgb="FFFE82AE"/>
      </bottom>
      <diagonal/>
    </border>
    <border>
      <left style="medium">
        <color rgb="FFFE82AE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medium">
        <color rgb="FFFE82AE"/>
      </right>
      <top/>
      <bottom style="hair">
        <color theme="1"/>
      </bottom>
      <diagonal/>
    </border>
    <border>
      <left style="medium">
        <color rgb="FFFE82AE"/>
      </left>
      <right/>
      <top style="medium">
        <color rgb="FFFE82AE"/>
      </top>
      <bottom/>
      <diagonal/>
    </border>
    <border>
      <left/>
      <right/>
      <top style="medium">
        <color rgb="FFFE82AE"/>
      </top>
      <bottom/>
      <diagonal/>
    </border>
    <border>
      <left/>
      <right style="medium">
        <color rgb="FFFE82AE"/>
      </right>
      <top style="medium">
        <color rgb="FFFE82AE"/>
      </top>
      <bottom/>
      <diagonal/>
    </border>
    <border>
      <left style="medium">
        <color rgb="FFFE82AE"/>
      </left>
      <right/>
      <top/>
      <bottom/>
      <diagonal/>
    </border>
    <border>
      <left/>
      <right style="medium">
        <color rgb="FFFE82AE"/>
      </right>
      <top/>
      <bottom/>
      <diagonal/>
    </border>
    <border>
      <left style="medium">
        <color rgb="FFFE82AE"/>
      </left>
      <right/>
      <top/>
      <bottom style="medium">
        <color rgb="FFFE82AE"/>
      </bottom>
      <diagonal/>
    </border>
    <border>
      <left/>
      <right/>
      <top/>
      <bottom style="medium">
        <color rgb="FFFE82AE"/>
      </bottom>
      <diagonal/>
    </border>
    <border>
      <left/>
      <right style="medium">
        <color rgb="FFFE82AE"/>
      </right>
      <top/>
      <bottom style="medium">
        <color rgb="FFFE82AE"/>
      </bottom>
      <diagonal/>
    </border>
    <border>
      <left style="medium">
        <color rgb="FFFE82AE"/>
      </left>
      <right/>
      <top style="medium">
        <color rgb="FFFE82AE"/>
      </top>
      <bottom style="medium">
        <color rgb="FFFE82AE"/>
      </bottom>
      <diagonal/>
    </border>
    <border>
      <left/>
      <right/>
      <top style="medium">
        <color rgb="FFFE82AE"/>
      </top>
      <bottom style="medium">
        <color rgb="FFFE82AE"/>
      </bottom>
      <diagonal/>
    </border>
    <border>
      <left/>
      <right style="medium">
        <color rgb="FFFE82AE"/>
      </right>
      <top style="medium">
        <color rgb="FFFE82AE"/>
      </top>
      <bottom style="medium">
        <color rgb="FFFE82AE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3399"/>
      </left>
      <right style="medium">
        <color rgb="FF003399"/>
      </right>
      <top/>
      <bottom style="hair">
        <color rgb="FF003399"/>
      </bottom>
      <diagonal/>
    </border>
    <border>
      <left style="medium">
        <color rgb="FFF6A800"/>
      </left>
      <right/>
      <top/>
      <bottom style="hair">
        <color rgb="FFFF0000"/>
      </bottom>
      <diagonal/>
    </border>
    <border>
      <left style="medium">
        <color rgb="FF05557E"/>
      </left>
      <right style="medium">
        <color rgb="FF05557E"/>
      </right>
      <top/>
      <bottom style="hair">
        <color rgb="FF05557E"/>
      </bottom>
      <diagonal/>
    </border>
  </borders>
  <cellStyleXfs count="5">
    <xf numFmtId="0" fontId="0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53" fillId="0" borderId="0" applyNumberFormat="0" applyFill="0" applyBorder="0" applyAlignment="0" applyProtection="0"/>
  </cellStyleXfs>
  <cellXfs count="11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5" fontId="2" fillId="0" borderId="0" xfId="0" applyNumberFormat="1" applyFont="1" applyAlignment="1">
      <alignment horizontal="center"/>
    </xf>
    <xf numFmtId="0" fontId="5" fillId="0" borderId="0" xfId="0" applyFont="1"/>
    <xf numFmtId="0" fontId="8" fillId="0" borderId="0" xfId="0" applyFont="1"/>
    <xf numFmtId="165" fontId="8" fillId="0" borderId="0" xfId="0" applyNumberFormat="1" applyFont="1" applyAlignment="1">
      <alignment horizontal="center"/>
    </xf>
    <xf numFmtId="0" fontId="9" fillId="0" borderId="0" xfId="0" applyFont="1"/>
    <xf numFmtId="0" fontId="7" fillId="0" borderId="0" xfId="0" applyFont="1"/>
    <xf numFmtId="165" fontId="7" fillId="0" borderId="0" xfId="0" applyNumberFormat="1" applyFont="1" applyAlignment="1">
      <alignment horizontal="center"/>
    </xf>
    <xf numFmtId="0" fontId="7" fillId="0" borderId="0" xfId="0" applyFont="1" applyBorder="1"/>
    <xf numFmtId="0" fontId="7" fillId="0" borderId="0" xfId="0" applyFont="1" applyAlignment="1">
      <alignment horizontal="center"/>
    </xf>
    <xf numFmtId="0" fontId="7" fillId="2" borderId="0" xfId="0" applyFont="1" applyFill="1"/>
    <xf numFmtId="3" fontId="7" fillId="2" borderId="0" xfId="0" applyNumberFormat="1" applyFont="1" applyFill="1"/>
    <xf numFmtId="0" fontId="11" fillId="0" borderId="0" xfId="0" applyFont="1"/>
    <xf numFmtId="3" fontId="7" fillId="0" borderId="0" xfId="0" applyNumberFormat="1" applyFont="1"/>
    <xf numFmtId="0" fontId="7" fillId="0" borderId="0" xfId="0" applyFont="1" applyFill="1" applyBorder="1"/>
    <xf numFmtId="166" fontId="7" fillId="0" borderId="0" xfId="0" applyNumberFormat="1" applyFont="1" applyFill="1" applyBorder="1" applyAlignment="1"/>
    <xf numFmtId="0" fontId="7" fillId="0" borderId="0" xfId="0" quotePrefix="1" applyFont="1"/>
    <xf numFmtId="0" fontId="10" fillId="0" borderId="0" xfId="0" applyFont="1"/>
    <xf numFmtId="0" fontId="2" fillId="0" borderId="0" xfId="0" applyFont="1" applyFill="1" applyBorder="1"/>
    <xf numFmtId="0" fontId="2" fillId="0" borderId="0" xfId="0" applyFont="1" applyBorder="1"/>
    <xf numFmtId="0" fontId="17" fillId="0" borderId="9" xfId="0" applyFont="1" applyFill="1" applyBorder="1" applyAlignment="1">
      <alignment horizontal="center" vertical="center"/>
    </xf>
    <xf numFmtId="0" fontId="12" fillId="0" borderId="0" xfId="0" applyFont="1"/>
    <xf numFmtId="0" fontId="18" fillId="0" borderId="10" xfId="0" applyFont="1" applyFill="1" applyBorder="1"/>
    <xf numFmtId="0" fontId="18" fillId="0" borderId="11" xfId="0" applyFont="1" applyFill="1" applyBorder="1" applyAlignment="1">
      <alignment horizontal="center"/>
    </xf>
    <xf numFmtId="165" fontId="18" fillId="0" borderId="12" xfId="0" applyNumberFormat="1" applyFont="1" applyFill="1" applyBorder="1" applyAlignment="1">
      <alignment horizontal="center"/>
    </xf>
    <xf numFmtId="165" fontId="18" fillId="0" borderId="13" xfId="0" applyNumberFormat="1" applyFont="1" applyFill="1" applyBorder="1" applyAlignment="1">
      <alignment horizontal="center"/>
    </xf>
    <xf numFmtId="165" fontId="18" fillId="0" borderId="11" xfId="0" applyNumberFormat="1" applyFont="1" applyFill="1" applyBorder="1" applyAlignment="1">
      <alignment horizontal="center"/>
    </xf>
    <xf numFmtId="165" fontId="18" fillId="0" borderId="14" xfId="0" applyNumberFormat="1" applyFont="1" applyFill="1" applyBorder="1" applyAlignment="1">
      <alignment horizontal="center"/>
    </xf>
    <xf numFmtId="0" fontId="18" fillId="0" borderId="15" xfId="0" applyFont="1" applyFill="1" applyBorder="1" applyAlignment="1">
      <alignment horizontal="center"/>
    </xf>
    <xf numFmtId="0" fontId="18" fillId="0" borderId="16" xfId="0" applyFont="1" applyFill="1" applyBorder="1" applyAlignment="1">
      <alignment horizontal="center"/>
    </xf>
    <xf numFmtId="0" fontId="18" fillId="0" borderId="17" xfId="0" applyFont="1" applyFill="1" applyBorder="1" applyAlignment="1">
      <alignment horizontal="center"/>
    </xf>
    <xf numFmtId="0" fontId="13" fillId="0" borderId="0" xfId="0" applyFont="1"/>
    <xf numFmtId="0" fontId="18" fillId="0" borderId="18" xfId="0" applyFont="1" applyFill="1" applyBorder="1"/>
    <xf numFmtId="0" fontId="18" fillId="0" borderId="19" xfId="0" applyFont="1" applyFill="1" applyBorder="1" applyAlignment="1">
      <alignment horizontal="center"/>
    </xf>
    <xf numFmtId="165" fontId="18" fillId="0" borderId="20" xfId="0" applyNumberFormat="1" applyFont="1" applyFill="1" applyBorder="1" applyAlignment="1">
      <alignment horizontal="center"/>
    </xf>
    <xf numFmtId="165" fontId="18" fillId="0" borderId="21" xfId="0" applyNumberFormat="1" applyFont="1" applyFill="1" applyBorder="1" applyAlignment="1">
      <alignment horizontal="center"/>
    </xf>
    <xf numFmtId="1" fontId="18" fillId="0" borderId="19" xfId="0" applyNumberFormat="1" applyFont="1" applyFill="1" applyBorder="1" applyAlignment="1">
      <alignment horizontal="center"/>
    </xf>
    <xf numFmtId="165" fontId="18" fillId="0" borderId="22" xfId="0" applyNumberFormat="1" applyFont="1" applyFill="1" applyBorder="1" applyAlignment="1">
      <alignment horizontal="center"/>
    </xf>
    <xf numFmtId="1" fontId="18" fillId="0" borderId="23" xfId="0" applyNumberFormat="1" applyFont="1" applyFill="1" applyBorder="1" applyAlignment="1">
      <alignment horizontal="center"/>
    </xf>
    <xf numFmtId="1" fontId="18" fillId="0" borderId="20" xfId="0" applyNumberFormat="1" applyFont="1" applyFill="1" applyBorder="1" applyAlignment="1">
      <alignment horizontal="center"/>
    </xf>
    <xf numFmtId="1" fontId="18" fillId="0" borderId="24" xfId="0" applyNumberFormat="1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1" fontId="4" fillId="0" borderId="26" xfId="0" applyNumberFormat="1" applyFont="1" applyBorder="1" applyAlignment="1">
      <alignment horizontal="center"/>
    </xf>
    <xf numFmtId="168" fontId="4" fillId="0" borderId="27" xfId="0" applyNumberFormat="1" applyFont="1" applyBorder="1" applyAlignment="1">
      <alignment horizontal="center"/>
    </xf>
    <xf numFmtId="165" fontId="4" fillId="0" borderId="27" xfId="0" applyNumberFormat="1" applyFont="1" applyBorder="1" applyAlignment="1">
      <alignment horizontal="center"/>
    </xf>
    <xf numFmtId="165" fontId="4" fillId="0" borderId="28" xfId="0" applyNumberFormat="1" applyFont="1" applyBorder="1" applyAlignment="1">
      <alignment horizontal="center"/>
    </xf>
    <xf numFmtId="0" fontId="3" fillId="0" borderId="29" xfId="0" applyFont="1" applyFill="1" applyBorder="1" applyAlignment="1">
      <alignment horizontal="center"/>
    </xf>
    <xf numFmtId="0" fontId="3" fillId="0" borderId="30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4" fontId="2" fillId="0" borderId="0" xfId="0" applyNumberFormat="1" applyFont="1"/>
    <xf numFmtId="0" fontId="2" fillId="0" borderId="33" xfId="0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0" fontId="3" fillId="0" borderId="35" xfId="0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0" fontId="17" fillId="0" borderId="38" xfId="0" applyFont="1" applyFill="1" applyBorder="1" applyAlignment="1">
      <alignment vertical="center"/>
    </xf>
    <xf numFmtId="1" fontId="19" fillId="0" borderId="39" xfId="0" applyNumberFormat="1" applyFont="1" applyFill="1" applyBorder="1" applyAlignment="1">
      <alignment horizontal="center" vertical="center"/>
    </xf>
    <xf numFmtId="165" fontId="19" fillId="0" borderId="40" xfId="0" applyNumberFormat="1" applyFont="1" applyFill="1" applyBorder="1" applyAlignment="1">
      <alignment horizontal="center" vertical="center"/>
    </xf>
    <xf numFmtId="165" fontId="19" fillId="0" borderId="41" xfId="0" applyNumberFormat="1" applyFont="1" applyFill="1" applyBorder="1" applyAlignment="1">
      <alignment horizontal="center" vertical="center"/>
    </xf>
    <xf numFmtId="165" fontId="19" fillId="0" borderId="42" xfId="0" applyNumberFormat="1" applyFont="1" applyFill="1" applyBorder="1" applyAlignment="1">
      <alignment horizontal="center" vertical="center"/>
    </xf>
    <xf numFmtId="3" fontId="17" fillId="0" borderId="43" xfId="0" applyNumberFormat="1" applyFont="1" applyFill="1" applyBorder="1" applyAlignment="1">
      <alignment horizontal="center" vertical="center"/>
    </xf>
    <xf numFmtId="3" fontId="17" fillId="0" borderId="44" xfId="0" applyNumberFormat="1" applyFont="1" applyFill="1" applyBorder="1" applyAlignment="1">
      <alignment horizontal="center" vertical="center"/>
    </xf>
    <xf numFmtId="3" fontId="17" fillId="0" borderId="45" xfId="0" applyNumberFormat="1" applyFont="1" applyFill="1" applyBorder="1" applyAlignment="1">
      <alignment horizontal="center" vertical="center"/>
    </xf>
    <xf numFmtId="3" fontId="17" fillId="0" borderId="46" xfId="0" applyNumberFormat="1" applyFont="1" applyFill="1" applyBorder="1" applyAlignment="1">
      <alignment horizontal="center" vertical="center"/>
    </xf>
    <xf numFmtId="3" fontId="17" fillId="0" borderId="4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20" fillId="0" borderId="0" xfId="0" applyFont="1" applyBorder="1"/>
    <xf numFmtId="0" fontId="21" fillId="0" borderId="0" xfId="0" applyFont="1" applyBorder="1"/>
    <xf numFmtId="0" fontId="6" fillId="0" borderId="0" xfId="0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9" fontId="7" fillId="0" borderId="48" xfId="2" applyFont="1" applyBorder="1" applyAlignment="1">
      <alignment horizontal="center"/>
    </xf>
    <xf numFmtId="17" fontId="3" fillId="0" borderId="0" xfId="0" applyNumberFormat="1" applyFont="1"/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9" fontId="3" fillId="0" borderId="49" xfId="2" applyFont="1" applyBorder="1" applyAlignment="1">
      <alignment horizontal="center"/>
    </xf>
    <xf numFmtId="9" fontId="3" fillId="0" borderId="50" xfId="2" applyFont="1" applyBorder="1" applyAlignment="1">
      <alignment horizontal="center"/>
    </xf>
    <xf numFmtId="3" fontId="7" fillId="0" borderId="0" xfId="0" applyNumberFormat="1" applyFont="1" applyBorder="1"/>
    <xf numFmtId="0" fontId="7" fillId="0" borderId="0" xfId="0" applyFont="1" applyBorder="1" applyAlignment="1"/>
    <xf numFmtId="0" fontId="14" fillId="0" borderId="0" xfId="0" applyFont="1"/>
    <xf numFmtId="2" fontId="8" fillId="0" borderId="0" xfId="0" applyNumberFormat="1" applyFont="1" applyBorder="1" applyAlignment="1">
      <alignment horizontal="left"/>
    </xf>
    <xf numFmtId="0" fontId="8" fillId="0" borderId="51" xfId="0" applyFont="1" applyBorder="1"/>
    <xf numFmtId="0" fontId="22" fillId="4" borderId="52" xfId="0" applyFont="1" applyFill="1" applyBorder="1" applyAlignment="1">
      <alignment vertical="center"/>
    </xf>
    <xf numFmtId="44" fontId="2" fillId="0" borderId="0" xfId="3" applyFont="1" applyAlignment="1">
      <alignment horizontal="center"/>
    </xf>
    <xf numFmtId="44" fontId="1" fillId="0" borderId="0" xfId="3" applyFont="1" applyAlignment="1">
      <alignment horizontal="center"/>
    </xf>
    <xf numFmtId="44" fontId="2" fillId="0" borderId="0" xfId="3" applyFont="1"/>
    <xf numFmtId="44" fontId="22" fillId="4" borderId="53" xfId="3" applyFont="1" applyFill="1" applyBorder="1" applyAlignment="1">
      <alignment vertical="center"/>
    </xf>
    <xf numFmtId="44" fontId="1" fillId="0" borderId="0" xfId="3" applyFont="1"/>
    <xf numFmtId="44" fontId="8" fillId="0" borderId="55" xfId="3" applyFont="1" applyBorder="1" applyAlignment="1">
      <alignment horizontal="center"/>
    </xf>
    <xf numFmtId="44" fontId="7" fillId="5" borderId="54" xfId="3" applyFont="1" applyFill="1" applyBorder="1" applyAlignment="1">
      <alignment horizontal="center"/>
    </xf>
    <xf numFmtId="44" fontId="7" fillId="5" borderId="56" xfId="3" applyFont="1" applyFill="1" applyBorder="1" applyAlignment="1">
      <alignment horizontal="center"/>
    </xf>
    <xf numFmtId="44" fontId="8" fillId="0" borderId="57" xfId="3" applyFont="1" applyBorder="1" applyAlignment="1">
      <alignment horizontal="center"/>
    </xf>
    <xf numFmtId="44" fontId="8" fillId="0" borderId="58" xfId="3" applyFont="1" applyBorder="1" applyAlignment="1">
      <alignment horizontal="center"/>
    </xf>
    <xf numFmtId="44" fontId="8" fillId="0" borderId="56" xfId="3" applyFont="1" applyBorder="1" applyAlignment="1">
      <alignment horizontal="center"/>
    </xf>
    <xf numFmtId="44" fontId="8" fillId="0" borderId="57" xfId="3" applyFont="1" applyBorder="1"/>
    <xf numFmtId="44" fontId="8" fillId="0" borderId="58" xfId="3" applyFont="1" applyBorder="1"/>
    <xf numFmtId="44" fontId="8" fillId="0" borderId="52" xfId="3" applyFont="1" applyBorder="1"/>
    <xf numFmtId="44" fontId="8" fillId="0" borderId="52" xfId="3" applyFont="1" applyBorder="1" applyAlignment="1">
      <alignment horizontal="center"/>
    </xf>
    <xf numFmtId="44" fontId="8" fillId="0" borderId="51" xfId="3" applyFont="1" applyBorder="1" applyAlignment="1">
      <alignment horizontal="center"/>
    </xf>
    <xf numFmtId="44" fontId="8" fillId="0" borderId="59" xfId="3" applyFont="1" applyBorder="1" applyAlignment="1">
      <alignment horizontal="center"/>
    </xf>
    <xf numFmtId="44" fontId="7" fillId="0" borderId="60" xfId="3" applyFont="1" applyBorder="1"/>
    <xf numFmtId="44" fontId="7" fillId="5" borderId="61" xfId="3" applyFont="1" applyFill="1" applyBorder="1" applyAlignment="1">
      <alignment horizontal="center"/>
    </xf>
    <xf numFmtId="44" fontId="7" fillId="0" borderId="57" xfId="3" applyFont="1" applyBorder="1"/>
    <xf numFmtId="44" fontId="7" fillId="5" borderId="60" xfId="3" applyFont="1" applyFill="1" applyBorder="1" applyAlignment="1">
      <alignment horizontal="center"/>
    </xf>
    <xf numFmtId="44" fontId="7" fillId="5" borderId="57" xfId="3" applyFont="1" applyFill="1" applyBorder="1" applyAlignment="1">
      <alignment horizontal="center"/>
    </xf>
    <xf numFmtId="44" fontId="7" fillId="5" borderId="58" xfId="3" applyFont="1" applyFill="1" applyBorder="1" applyAlignment="1">
      <alignment horizontal="center"/>
    </xf>
    <xf numFmtId="44" fontId="7" fillId="5" borderId="63" xfId="3" applyFont="1" applyFill="1" applyBorder="1" applyAlignment="1">
      <alignment horizontal="center"/>
    </xf>
    <xf numFmtId="44" fontId="7" fillId="5" borderId="51" xfId="3" applyFont="1" applyFill="1" applyBorder="1" applyAlignment="1">
      <alignment horizontal="center"/>
    </xf>
    <xf numFmtId="0" fontId="22" fillId="6" borderId="64" xfId="0" applyFont="1" applyFill="1" applyBorder="1"/>
    <xf numFmtId="0" fontId="23" fillId="6" borderId="64" xfId="0" applyFont="1" applyFill="1" applyBorder="1"/>
    <xf numFmtId="44" fontId="23" fillId="6" borderId="65" xfId="3" applyFont="1" applyFill="1" applyBorder="1" applyAlignment="1">
      <alignment horizontal="center"/>
    </xf>
    <xf numFmtId="44" fontId="23" fillId="6" borderId="66" xfId="3" applyFont="1" applyFill="1" applyBorder="1" applyAlignment="1">
      <alignment horizontal="center"/>
    </xf>
    <xf numFmtId="44" fontId="23" fillId="6" borderId="67" xfId="3" applyFont="1" applyFill="1" applyBorder="1" applyAlignment="1">
      <alignment horizontal="center"/>
    </xf>
    <xf numFmtId="0" fontId="22" fillId="6" borderId="51" xfId="0" applyFont="1" applyFill="1" applyBorder="1"/>
    <xf numFmtId="167" fontId="3" fillId="3" borderId="68" xfId="0" applyNumberFormat="1" applyFont="1" applyFill="1" applyBorder="1" applyAlignment="1">
      <alignment horizontal="center"/>
    </xf>
    <xf numFmtId="44" fontId="7" fillId="0" borderId="57" xfId="3" applyFont="1" applyFill="1" applyBorder="1"/>
    <xf numFmtId="164" fontId="3" fillId="0" borderId="0" xfId="1" applyFont="1"/>
    <xf numFmtId="44" fontId="7" fillId="5" borderId="55" xfId="3" applyFont="1" applyFill="1" applyBorder="1" applyAlignment="1">
      <alignment horizontal="center"/>
    </xf>
    <xf numFmtId="44" fontId="7" fillId="5" borderId="13" xfId="3" applyFont="1" applyFill="1" applyBorder="1" applyAlignment="1">
      <alignment horizontal="center"/>
    </xf>
    <xf numFmtId="44" fontId="7" fillId="5" borderId="62" xfId="3" applyFont="1" applyFill="1" applyBorder="1" applyAlignment="1">
      <alignment horizontal="center"/>
    </xf>
    <xf numFmtId="44" fontId="7" fillId="5" borderId="69" xfId="3" applyFont="1" applyFill="1" applyBorder="1" applyAlignment="1">
      <alignment horizontal="center"/>
    </xf>
    <xf numFmtId="44" fontId="7" fillId="5" borderId="52" xfId="3" applyFont="1" applyFill="1" applyBorder="1" applyAlignment="1">
      <alignment horizontal="center"/>
    </xf>
    <xf numFmtId="44" fontId="7" fillId="5" borderId="70" xfId="3" applyFont="1" applyFill="1" applyBorder="1" applyAlignment="1">
      <alignment horizontal="center"/>
    </xf>
    <xf numFmtId="44" fontId="7" fillId="5" borderId="71" xfId="3" applyFont="1" applyFill="1" applyBorder="1" applyAlignment="1">
      <alignment horizontal="center"/>
    </xf>
    <xf numFmtId="44" fontId="7" fillId="5" borderId="72" xfId="3" applyFont="1" applyFill="1" applyBorder="1" applyAlignment="1">
      <alignment horizontal="center"/>
    </xf>
    <xf numFmtId="44" fontId="7" fillId="0" borderId="73" xfId="3" applyFont="1" applyBorder="1"/>
    <xf numFmtId="44" fontId="7" fillId="5" borderId="74" xfId="3" applyFont="1" applyFill="1" applyBorder="1" applyAlignment="1">
      <alignment horizontal="center"/>
    </xf>
    <xf numFmtId="44" fontId="23" fillId="6" borderId="75" xfId="3" applyFont="1" applyFill="1" applyBorder="1" applyAlignment="1">
      <alignment horizontal="center" wrapText="1"/>
    </xf>
    <xf numFmtId="44" fontId="2" fillId="0" borderId="0" xfId="0" applyNumberFormat="1" applyFont="1"/>
    <xf numFmtId="0" fontId="2" fillId="0" borderId="0" xfId="0" quotePrefix="1" applyFont="1"/>
    <xf numFmtId="165" fontId="4" fillId="0" borderId="27" xfId="0" quotePrefix="1" applyNumberFormat="1" applyFont="1" applyBorder="1" applyAlignment="1">
      <alignment horizontal="center"/>
    </xf>
    <xf numFmtId="0" fontId="0" fillId="7" borderId="1" xfId="0" applyFill="1" applyBorder="1" applyAlignment="1">
      <alignment horizontal="left" vertical="top"/>
    </xf>
    <xf numFmtId="0" fontId="0" fillId="7" borderId="2" xfId="0" applyFill="1" applyBorder="1" applyAlignment="1">
      <alignment horizontal="left" vertical="top"/>
    </xf>
    <xf numFmtId="0" fontId="0" fillId="7" borderId="3" xfId="0" applyFill="1" applyBorder="1" applyAlignment="1">
      <alignment horizontal="left" vertical="top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8" fillId="0" borderId="99" xfId="3" applyFont="1" applyBorder="1" applyAlignment="1">
      <alignment horizontal="center"/>
    </xf>
    <xf numFmtId="44" fontId="8" fillId="0" borderId="100" xfId="3" applyFont="1" applyBorder="1"/>
    <xf numFmtId="0" fontId="22" fillId="9" borderId="101" xfId="0" applyFont="1" applyFill="1" applyBorder="1"/>
    <xf numFmtId="44" fontId="8" fillId="0" borderId="102" xfId="3" applyFont="1" applyBorder="1" applyAlignment="1">
      <alignment horizontal="center"/>
    </xf>
    <xf numFmtId="44" fontId="8" fillId="0" borderId="103" xfId="3" applyFont="1" applyBorder="1"/>
    <xf numFmtId="0" fontId="22" fillId="9" borderId="104" xfId="0" applyFont="1" applyFill="1" applyBorder="1"/>
    <xf numFmtId="0" fontId="3" fillId="0" borderId="0" xfId="0" applyFont="1" applyFill="1" applyBorder="1"/>
    <xf numFmtId="44" fontId="8" fillId="0" borderId="105" xfId="3" applyFont="1" applyBorder="1" applyAlignment="1">
      <alignment horizontal="center"/>
    </xf>
    <xf numFmtId="44" fontId="8" fillId="0" borderId="106" xfId="3" applyFont="1" applyBorder="1"/>
    <xf numFmtId="0" fontId="22" fillId="9" borderId="107" xfId="0" applyFont="1" applyFill="1" applyBorder="1"/>
    <xf numFmtId="44" fontId="22" fillId="0" borderId="0" xfId="3" applyFont="1" applyFill="1" applyBorder="1" applyAlignment="1">
      <alignment horizontal="center" vertical="center"/>
    </xf>
    <xf numFmtId="44" fontId="22" fillId="0" borderId="0" xfId="3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44" fontId="8" fillId="0" borderId="0" xfId="3" applyFont="1" applyFill="1" applyBorder="1" applyAlignment="1">
      <alignment horizontal="center"/>
    </xf>
    <xf numFmtId="44" fontId="8" fillId="0" borderId="0" xfId="3" applyFont="1" applyFill="1" applyBorder="1"/>
    <xf numFmtId="0" fontId="8" fillId="0" borderId="0" xfId="0" applyFont="1" applyFill="1" applyBorder="1"/>
    <xf numFmtId="0" fontId="3" fillId="0" borderId="0" xfId="0" applyFont="1" applyBorder="1"/>
    <xf numFmtId="0" fontId="3" fillId="0" borderId="108" xfId="0" applyFont="1" applyBorder="1"/>
    <xf numFmtId="44" fontId="8" fillId="0" borderId="109" xfId="3" applyFont="1" applyBorder="1" applyAlignment="1">
      <alignment horizontal="center"/>
    </xf>
    <xf numFmtId="44" fontId="8" fillId="0" borderId="110" xfId="3" applyFont="1" applyBorder="1"/>
    <xf numFmtId="0" fontId="22" fillId="9" borderId="111" xfId="0" applyFont="1" applyFill="1" applyBorder="1"/>
    <xf numFmtId="44" fontId="22" fillId="9" borderId="113" xfId="3" applyFont="1" applyFill="1" applyBorder="1" applyAlignment="1">
      <alignment vertical="center"/>
    </xf>
    <xf numFmtId="0" fontId="22" fillId="9" borderId="115" xfId="0" applyFont="1" applyFill="1" applyBorder="1" applyAlignment="1">
      <alignment vertical="center"/>
    </xf>
    <xf numFmtId="0" fontId="8" fillId="0" borderId="116" xfId="0" applyFont="1" applyBorder="1"/>
    <xf numFmtId="0" fontId="8" fillId="0" borderId="117" xfId="0" applyFont="1" applyBorder="1"/>
    <xf numFmtId="0" fontId="8" fillId="0" borderId="118" xfId="0" applyFont="1" applyBorder="1"/>
    <xf numFmtId="44" fontId="23" fillId="9" borderId="66" xfId="3" applyFont="1" applyFill="1" applyBorder="1" applyAlignment="1">
      <alignment horizontal="center"/>
    </xf>
    <xf numFmtId="0" fontId="23" fillId="9" borderId="64" xfId="0" applyFont="1" applyFill="1" applyBorder="1"/>
    <xf numFmtId="0" fontId="22" fillId="9" borderId="64" xfId="0" applyFont="1" applyFill="1" applyBorder="1"/>
    <xf numFmtId="169" fontId="7" fillId="3" borderId="120" xfId="1" applyNumberFormat="1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0" fontId="1" fillId="0" borderId="121" xfId="0" applyFont="1" applyBorder="1"/>
    <xf numFmtId="0" fontId="1" fillId="0" borderId="122" xfId="0" applyFont="1" applyBorder="1"/>
    <xf numFmtId="0" fontId="26" fillId="0" borderId="0" xfId="0" applyFont="1" applyAlignment="1">
      <alignment vertical="center"/>
    </xf>
    <xf numFmtId="0" fontId="27" fillId="0" borderId="12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3" fontId="28" fillId="0" borderId="123" xfId="0" applyNumberFormat="1" applyFont="1" applyFill="1" applyBorder="1" applyAlignment="1">
      <alignment horizontal="center" vertical="center"/>
    </xf>
    <xf numFmtId="3" fontId="28" fillId="0" borderId="114" xfId="0" applyNumberFormat="1" applyFont="1" applyFill="1" applyBorder="1" applyAlignment="1">
      <alignment horizontal="center" vertical="center"/>
    </xf>
    <xf numFmtId="3" fontId="28" fillId="0" borderId="112" xfId="0" applyNumberFormat="1" applyFont="1" applyFill="1" applyBorder="1" applyAlignment="1">
      <alignment horizontal="center" vertical="center"/>
    </xf>
    <xf numFmtId="3" fontId="28" fillId="0" borderId="113" xfId="0" applyNumberFormat="1" applyFont="1" applyFill="1" applyBorder="1" applyAlignment="1">
      <alignment horizontal="center" vertical="center"/>
    </xf>
    <xf numFmtId="3" fontId="28" fillId="0" borderId="115" xfId="0" applyNumberFormat="1" applyFont="1" applyFill="1" applyBorder="1" applyAlignment="1">
      <alignment horizontal="center" vertical="center"/>
    </xf>
    <xf numFmtId="165" fontId="29" fillId="0" borderId="123" xfId="0" applyNumberFormat="1" applyFont="1" applyFill="1" applyBorder="1" applyAlignment="1">
      <alignment horizontal="center" vertical="center"/>
    </xf>
    <xf numFmtId="165" fontId="29" fillId="0" borderId="113" xfId="0" applyNumberFormat="1" applyFont="1" applyFill="1" applyBorder="1" applyAlignment="1">
      <alignment horizontal="center" vertical="center"/>
    </xf>
    <xf numFmtId="1" fontId="29" fillId="0" borderId="115" xfId="0" applyNumberFormat="1" applyFont="1" applyFill="1" applyBorder="1" applyAlignment="1">
      <alignment horizontal="center" vertical="center"/>
    </xf>
    <xf numFmtId="0" fontId="28" fillId="0" borderId="124" xfId="0" applyFont="1" applyFill="1" applyBorder="1" applyAlignment="1">
      <alignment vertical="center"/>
    </xf>
    <xf numFmtId="0" fontId="2" fillId="0" borderId="121" xfId="0" applyFont="1" applyBorder="1"/>
    <xf numFmtId="0" fontId="3" fillId="3" borderId="125" xfId="0" applyFont="1" applyFill="1" applyBorder="1" applyAlignment="1">
      <alignment horizontal="center"/>
    </xf>
    <xf numFmtId="0" fontId="3" fillId="3" borderId="126" xfId="0" applyFont="1" applyFill="1" applyBorder="1" applyAlignment="1">
      <alignment horizontal="center"/>
    </xf>
    <xf numFmtId="0" fontId="3" fillId="0" borderId="127" xfId="0" applyFont="1" applyFill="1" applyBorder="1" applyAlignment="1">
      <alignment horizontal="center"/>
    </xf>
    <xf numFmtId="0" fontId="3" fillId="0" borderId="128" xfId="0" applyFont="1" applyFill="1" applyBorder="1" applyAlignment="1">
      <alignment horizontal="center"/>
    </xf>
    <xf numFmtId="0" fontId="3" fillId="0" borderId="100" xfId="0" applyFont="1" applyFill="1" applyBorder="1" applyAlignment="1">
      <alignment horizontal="center"/>
    </xf>
    <xf numFmtId="165" fontId="4" fillId="0" borderId="129" xfId="0" applyNumberFormat="1" applyFont="1" applyBorder="1" applyAlignment="1">
      <alignment horizontal="center"/>
    </xf>
    <xf numFmtId="165" fontId="4" fillId="0" borderId="128" xfId="0" applyNumberFormat="1" applyFont="1" applyBorder="1" applyAlignment="1">
      <alignment horizontal="center"/>
    </xf>
    <xf numFmtId="168" fontId="4" fillId="0" borderId="128" xfId="0" applyNumberFormat="1" applyFont="1" applyBorder="1" applyAlignment="1">
      <alignment horizontal="center"/>
    </xf>
    <xf numFmtId="1" fontId="4" fillId="0" borderId="100" xfId="0" applyNumberFormat="1" applyFont="1" applyBorder="1" applyAlignment="1">
      <alignment horizontal="center"/>
    </xf>
    <xf numFmtId="0" fontId="3" fillId="3" borderId="130" xfId="0" applyFont="1" applyFill="1" applyBorder="1" applyAlignment="1">
      <alignment horizontal="center"/>
    </xf>
    <xf numFmtId="0" fontId="3" fillId="3" borderId="131" xfId="0" applyFont="1" applyFill="1" applyBorder="1" applyAlignment="1">
      <alignment horizontal="center"/>
    </xf>
    <xf numFmtId="0" fontId="3" fillId="0" borderId="132" xfId="0" applyFont="1" applyFill="1" applyBorder="1" applyAlignment="1">
      <alignment horizontal="center"/>
    </xf>
    <xf numFmtId="0" fontId="3" fillId="0" borderId="103" xfId="0" applyFont="1" applyFill="1" applyBorder="1" applyAlignment="1">
      <alignment horizontal="center"/>
    </xf>
    <xf numFmtId="165" fontId="4" fillId="0" borderId="105" xfId="0" applyNumberFormat="1" applyFont="1" applyBorder="1" applyAlignment="1">
      <alignment horizontal="center"/>
    </xf>
    <xf numFmtId="165" fontId="4" fillId="0" borderId="132" xfId="0" applyNumberFormat="1" applyFont="1" applyBorder="1" applyAlignment="1">
      <alignment horizontal="center"/>
    </xf>
    <xf numFmtId="168" fontId="4" fillId="0" borderId="132" xfId="0" applyNumberFormat="1" applyFont="1" applyBorder="1" applyAlignment="1">
      <alignment horizontal="center"/>
    </xf>
    <xf numFmtId="1" fontId="4" fillId="0" borderId="103" xfId="0" applyNumberFormat="1" applyFont="1" applyBorder="1" applyAlignment="1">
      <alignment horizontal="center"/>
    </xf>
    <xf numFmtId="165" fontId="4" fillId="0" borderId="102" xfId="0" applyNumberFormat="1" applyFont="1" applyBorder="1" applyAlignment="1">
      <alignment horizontal="center"/>
    </xf>
    <xf numFmtId="0" fontId="3" fillId="3" borderId="133" xfId="0" applyFont="1" applyFill="1" applyBorder="1" applyAlignment="1">
      <alignment horizontal="center"/>
    </xf>
    <xf numFmtId="0" fontId="3" fillId="3" borderId="134" xfId="0" applyFont="1" applyFill="1" applyBorder="1" applyAlignment="1">
      <alignment horizontal="center"/>
    </xf>
    <xf numFmtId="0" fontId="3" fillId="0" borderId="135" xfId="0" applyFont="1" applyFill="1" applyBorder="1" applyAlignment="1">
      <alignment horizontal="center"/>
    </xf>
    <xf numFmtId="0" fontId="3" fillId="0" borderId="106" xfId="0" applyFont="1" applyFill="1" applyBorder="1" applyAlignment="1">
      <alignment horizontal="center"/>
    </xf>
    <xf numFmtId="165" fontId="4" fillId="0" borderId="135" xfId="0" applyNumberFormat="1" applyFont="1" applyBorder="1" applyAlignment="1">
      <alignment horizontal="center"/>
    </xf>
    <xf numFmtId="168" fontId="4" fillId="0" borderId="135" xfId="0" applyNumberFormat="1" applyFont="1" applyBorder="1" applyAlignment="1">
      <alignment horizontal="center"/>
    </xf>
    <xf numFmtId="1" fontId="4" fillId="0" borderId="106" xfId="0" applyNumberFormat="1" applyFont="1" applyBorder="1" applyAlignment="1">
      <alignment horizontal="center"/>
    </xf>
    <xf numFmtId="4" fontId="2" fillId="0" borderId="0" xfId="0" applyNumberFormat="1" applyFont="1" applyBorder="1"/>
    <xf numFmtId="0" fontId="4" fillId="0" borderId="0" xfId="0" applyFont="1" applyBorder="1"/>
    <xf numFmtId="0" fontId="3" fillId="0" borderId="136" xfId="0" applyFont="1" applyFill="1" applyBorder="1" applyAlignment="1">
      <alignment horizontal="center"/>
    </xf>
    <xf numFmtId="0" fontId="3" fillId="3" borderId="137" xfId="0" applyFont="1" applyFill="1" applyBorder="1" applyAlignment="1">
      <alignment horizontal="center"/>
    </xf>
    <xf numFmtId="0" fontId="3" fillId="3" borderId="138" xfId="0" applyFont="1" applyFill="1" applyBorder="1" applyAlignment="1">
      <alignment horizontal="center"/>
    </xf>
    <xf numFmtId="0" fontId="3" fillId="0" borderId="139" xfId="0" applyFont="1" applyFill="1" applyBorder="1" applyAlignment="1">
      <alignment horizontal="center"/>
    </xf>
    <xf numFmtId="0" fontId="3" fillId="0" borderId="140" xfId="0" applyFont="1" applyFill="1" applyBorder="1" applyAlignment="1">
      <alignment horizontal="center"/>
    </xf>
    <xf numFmtId="0" fontId="3" fillId="0" borderId="110" xfId="0" applyFont="1" applyFill="1" applyBorder="1" applyAlignment="1">
      <alignment horizontal="center"/>
    </xf>
    <xf numFmtId="165" fontId="4" fillId="0" borderId="109" xfId="0" applyNumberFormat="1" applyFont="1" applyBorder="1" applyAlignment="1">
      <alignment horizontal="center"/>
    </xf>
    <xf numFmtId="165" fontId="4" fillId="0" borderId="140" xfId="0" applyNumberFormat="1" applyFont="1" applyBorder="1" applyAlignment="1">
      <alignment horizontal="center"/>
    </xf>
    <xf numFmtId="168" fontId="4" fillId="0" borderId="140" xfId="0" applyNumberFormat="1" applyFont="1" applyBorder="1" applyAlignment="1">
      <alignment horizontal="center"/>
    </xf>
    <xf numFmtId="1" fontId="4" fillId="0" borderId="110" xfId="0" applyNumberFormat="1" applyFont="1" applyBorder="1" applyAlignment="1">
      <alignment horizontal="center"/>
    </xf>
    <xf numFmtId="0" fontId="30" fillId="0" borderId="0" xfId="0" applyFont="1"/>
    <xf numFmtId="0" fontId="31" fillId="0" borderId="121" xfId="0" applyFont="1" applyBorder="1"/>
    <xf numFmtId="0" fontId="31" fillId="0" borderId="0" xfId="0" applyFont="1" applyBorder="1"/>
    <xf numFmtId="1" fontId="32" fillId="0" borderId="141" xfId="0" applyNumberFormat="1" applyFont="1" applyFill="1" applyBorder="1" applyAlignment="1">
      <alignment horizontal="center"/>
    </xf>
    <xf numFmtId="165" fontId="32" fillId="0" borderId="142" xfId="0" applyNumberFormat="1" applyFont="1" applyFill="1" applyBorder="1" applyAlignment="1">
      <alignment horizontal="center"/>
    </xf>
    <xf numFmtId="165" fontId="32" fillId="0" borderId="143" xfId="0" applyNumberFormat="1" applyFont="1" applyFill="1" applyBorder="1" applyAlignment="1">
      <alignment horizontal="center"/>
    </xf>
    <xf numFmtId="1" fontId="32" fillId="0" borderId="144" xfId="0" applyNumberFormat="1" applyFont="1" applyFill="1" applyBorder="1" applyAlignment="1">
      <alignment horizontal="center"/>
    </xf>
    <xf numFmtId="165" fontId="32" fillId="0" borderId="121" xfId="0" applyNumberFormat="1" applyFont="1" applyFill="1" applyBorder="1" applyAlignment="1">
      <alignment horizontal="center"/>
    </xf>
    <xf numFmtId="165" fontId="32" fillId="0" borderId="145" xfId="0" applyNumberFormat="1" applyFont="1" applyFill="1" applyBorder="1" applyAlignment="1">
      <alignment horizontal="center"/>
    </xf>
    <xf numFmtId="0" fontId="32" fillId="0" borderId="146" xfId="0" applyFont="1" applyFill="1" applyBorder="1" applyAlignment="1">
      <alignment horizontal="center"/>
    </xf>
    <xf numFmtId="0" fontId="32" fillId="0" borderId="124" xfId="0" applyFont="1" applyFill="1" applyBorder="1"/>
    <xf numFmtId="0" fontId="32" fillId="0" borderId="147" xfId="0" applyFont="1" applyFill="1" applyBorder="1" applyAlignment="1">
      <alignment horizontal="center"/>
    </xf>
    <xf numFmtId="0" fontId="32" fillId="0" borderId="148" xfId="0" applyFont="1" applyFill="1" applyBorder="1" applyAlignment="1">
      <alignment horizontal="center"/>
    </xf>
    <xf numFmtId="0" fontId="32" fillId="0" borderId="132" xfId="0" applyFont="1" applyFill="1" applyBorder="1" applyAlignment="1">
      <alignment horizontal="center"/>
    </xf>
    <xf numFmtId="0" fontId="32" fillId="0" borderId="103" xfId="0" applyFont="1" applyFill="1" applyBorder="1" applyAlignment="1">
      <alignment horizontal="center"/>
    </xf>
    <xf numFmtId="0" fontId="32" fillId="0" borderId="149" xfId="0" applyFont="1" applyFill="1" applyBorder="1"/>
    <xf numFmtId="0" fontId="26" fillId="0" borderId="0" xfId="0" applyFont="1"/>
    <xf numFmtId="0" fontId="27" fillId="0" borderId="121" xfId="0" applyFont="1" applyBorder="1"/>
    <xf numFmtId="0" fontId="27" fillId="0" borderId="0" xfId="0" applyFont="1" applyBorder="1"/>
    <xf numFmtId="0" fontId="28" fillId="0" borderId="156" xfId="0" applyFont="1" applyFill="1" applyBorder="1" applyAlignment="1">
      <alignment horizontal="center" vertical="center"/>
    </xf>
    <xf numFmtId="0" fontId="2" fillId="0" borderId="122" xfId="0" applyFont="1" applyBorder="1"/>
    <xf numFmtId="0" fontId="7" fillId="0" borderId="121" xfId="0" applyFont="1" applyBorder="1"/>
    <xf numFmtId="9" fontId="7" fillId="0" borderId="157" xfId="2" applyFont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7" fillId="0" borderId="122" xfId="0" applyFont="1" applyBorder="1"/>
    <xf numFmtId="9" fontId="3" fillId="0" borderId="160" xfId="2" applyFont="1" applyBorder="1" applyAlignment="1">
      <alignment horizontal="center"/>
    </xf>
    <xf numFmtId="165" fontId="3" fillId="0" borderId="157" xfId="0" applyNumberFormat="1" applyFont="1" applyBorder="1" applyAlignment="1">
      <alignment horizontal="center"/>
    </xf>
    <xf numFmtId="167" fontId="3" fillId="3" borderId="120" xfId="0" applyNumberFormat="1" applyFont="1" applyFill="1" applyBorder="1" applyAlignment="1">
      <alignment horizontal="center"/>
    </xf>
    <xf numFmtId="9" fontId="3" fillId="0" borderId="163" xfId="2" applyFont="1" applyBorder="1" applyAlignment="1">
      <alignment horizontal="center"/>
    </xf>
    <xf numFmtId="0" fontId="7" fillId="0" borderId="0" xfId="0" quotePrefix="1" applyFont="1" applyBorder="1"/>
    <xf numFmtId="0" fontId="7" fillId="0" borderId="0" xfId="0" applyFont="1" applyBorder="1" applyAlignment="1">
      <alignment horizontal="center"/>
    </xf>
    <xf numFmtId="165" fontId="3" fillId="0" borderId="0" xfId="0" applyNumberFormat="1" applyFont="1" applyBorder="1" applyAlignment="1"/>
    <xf numFmtId="17" fontId="3" fillId="0" borderId="0" xfId="0" applyNumberFormat="1" applyFont="1" applyBorder="1"/>
    <xf numFmtId="165" fontId="11" fillId="0" borderId="0" xfId="0" applyNumberFormat="1" applyFont="1"/>
    <xf numFmtId="3" fontId="7" fillId="2" borderId="0" xfId="0" applyNumberFormat="1" applyFont="1" applyFill="1" applyBorder="1"/>
    <xf numFmtId="0" fontId="7" fillId="2" borderId="0" xfId="0" applyFont="1" applyFill="1" applyBorder="1"/>
    <xf numFmtId="165" fontId="3" fillId="0" borderId="163" xfId="0" applyNumberFormat="1" applyFont="1" applyBorder="1" applyAlignment="1">
      <alignment horizontal="center"/>
    </xf>
    <xf numFmtId="0" fontId="8" fillId="0" borderId="121" xfId="0" applyFont="1" applyBorder="1"/>
    <xf numFmtId="0" fontId="8" fillId="0" borderId="0" xfId="0" applyFont="1" applyBorder="1"/>
    <xf numFmtId="165" fontId="8" fillId="0" borderId="0" xfId="0" applyNumberFormat="1" applyFont="1" applyBorder="1" applyAlignment="1">
      <alignment horizontal="center"/>
    </xf>
    <xf numFmtId="0" fontId="8" fillId="0" borderId="122" xfId="0" applyFont="1" applyBorder="1"/>
    <xf numFmtId="44" fontId="23" fillId="9" borderId="75" xfId="3" applyFont="1" applyFill="1" applyBorder="1" applyAlignment="1">
      <alignment horizontal="center" wrapText="1"/>
    </xf>
    <xf numFmtId="44" fontId="23" fillId="9" borderId="65" xfId="3" applyFont="1" applyFill="1" applyBorder="1" applyAlignment="1">
      <alignment horizontal="center"/>
    </xf>
    <xf numFmtId="0" fontId="33" fillId="0" borderId="135" xfId="0" applyFont="1" applyFill="1" applyBorder="1" applyAlignment="1">
      <alignment horizontal="center"/>
    </xf>
    <xf numFmtId="0" fontId="33" fillId="0" borderId="132" xfId="0" applyFont="1" applyFill="1" applyBorder="1" applyAlignment="1">
      <alignment horizontal="center"/>
    </xf>
    <xf numFmtId="44" fontId="8" fillId="0" borderId="165" xfId="3" applyFont="1" applyBorder="1" applyAlignment="1">
      <alignment horizontal="center"/>
    </xf>
    <xf numFmtId="44" fontId="8" fillId="0" borderId="166" xfId="3" applyFont="1" applyBorder="1" applyAlignment="1">
      <alignment horizontal="center"/>
    </xf>
    <xf numFmtId="44" fontId="8" fillId="0" borderId="167" xfId="3" applyFont="1" applyBorder="1" applyAlignment="1">
      <alignment horizontal="center"/>
    </xf>
    <xf numFmtId="44" fontId="8" fillId="0" borderId="167" xfId="3" applyFont="1" applyBorder="1"/>
    <xf numFmtId="0" fontId="22" fillId="10" borderId="168" xfId="0" applyFont="1" applyFill="1" applyBorder="1"/>
    <xf numFmtId="44" fontId="8" fillId="0" borderId="169" xfId="3" applyFont="1" applyBorder="1" applyAlignment="1">
      <alignment horizontal="center"/>
    </xf>
    <xf numFmtId="44" fontId="8" fillId="0" borderId="170" xfId="3" applyFont="1" applyBorder="1" applyAlignment="1">
      <alignment horizontal="center"/>
    </xf>
    <xf numFmtId="44" fontId="8" fillId="0" borderId="171" xfId="3" applyFont="1" applyBorder="1" applyAlignment="1">
      <alignment horizontal="center"/>
    </xf>
    <xf numFmtId="44" fontId="8" fillId="0" borderId="171" xfId="3" applyFont="1" applyBorder="1"/>
    <xf numFmtId="44" fontId="8" fillId="0" borderId="172" xfId="3" applyFont="1" applyBorder="1"/>
    <xf numFmtId="44" fontId="8" fillId="0" borderId="173" xfId="3" applyFont="1" applyBorder="1" applyAlignment="1">
      <alignment horizontal="center"/>
    </xf>
    <xf numFmtId="44" fontId="8" fillId="0" borderId="174" xfId="3" applyFont="1" applyBorder="1" applyAlignment="1">
      <alignment horizontal="center"/>
    </xf>
    <xf numFmtId="44" fontId="8" fillId="0" borderId="175" xfId="3" applyFont="1" applyBorder="1" applyAlignment="1">
      <alignment horizontal="center"/>
    </xf>
    <xf numFmtId="44" fontId="8" fillId="0" borderId="175" xfId="3" applyFont="1" applyBorder="1"/>
    <xf numFmtId="0" fontId="22" fillId="10" borderId="176" xfId="0" applyFont="1" applyFill="1" applyBorder="1"/>
    <xf numFmtId="44" fontId="22" fillId="10" borderId="177" xfId="3" applyFont="1" applyFill="1" applyBorder="1" applyAlignment="1">
      <alignment vertical="center"/>
    </xf>
    <xf numFmtId="0" fontId="22" fillId="10" borderId="178" xfId="0" applyFont="1" applyFill="1" applyBorder="1" applyAlignment="1">
      <alignment vertical="center"/>
    </xf>
    <xf numFmtId="44" fontId="8" fillId="0" borderId="179" xfId="3" applyFont="1" applyBorder="1" applyAlignment="1">
      <alignment horizontal="center"/>
    </xf>
    <xf numFmtId="44" fontId="8" fillId="0" borderId="180" xfId="3" applyFont="1" applyBorder="1" applyAlignment="1">
      <alignment horizontal="center"/>
    </xf>
    <xf numFmtId="44" fontId="8" fillId="0" borderId="180" xfId="3" applyFont="1" applyBorder="1"/>
    <xf numFmtId="0" fontId="8" fillId="0" borderId="72" xfId="0" applyFont="1" applyBorder="1"/>
    <xf numFmtId="44" fontId="8" fillId="0" borderId="168" xfId="3" applyFont="1" applyBorder="1" applyAlignment="1">
      <alignment horizontal="center"/>
    </xf>
    <xf numFmtId="44" fontId="23" fillId="10" borderId="65" xfId="3" applyFont="1" applyFill="1" applyBorder="1" applyAlignment="1">
      <alignment horizontal="center"/>
    </xf>
    <xf numFmtId="44" fontId="23" fillId="10" borderId="75" xfId="3" applyFont="1" applyFill="1" applyBorder="1" applyAlignment="1">
      <alignment horizontal="center"/>
    </xf>
    <xf numFmtId="44" fontId="23" fillId="10" borderId="66" xfId="3" applyFont="1" applyFill="1" applyBorder="1" applyAlignment="1">
      <alignment horizontal="center"/>
    </xf>
    <xf numFmtId="44" fontId="23" fillId="10" borderId="80" xfId="3" applyFont="1" applyFill="1" applyBorder="1" applyAlignment="1">
      <alignment horizontal="center"/>
    </xf>
    <xf numFmtId="0" fontId="23" fillId="10" borderId="64" xfId="0" applyFont="1" applyFill="1" applyBorder="1"/>
    <xf numFmtId="0" fontId="22" fillId="10" borderId="64" xfId="0" applyFont="1" applyFill="1" applyBorder="1"/>
    <xf numFmtId="169" fontId="7" fillId="3" borderId="182" xfId="1" applyNumberFormat="1" applyFont="1" applyFill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3" fontId="36" fillId="0" borderId="183" xfId="0" applyNumberFormat="1" applyFont="1" applyFill="1" applyBorder="1" applyAlignment="1">
      <alignment horizontal="center" vertical="center"/>
    </xf>
    <xf numFmtId="3" fontId="36" fillId="0" borderId="184" xfId="0" applyNumberFormat="1" applyFont="1" applyFill="1" applyBorder="1" applyAlignment="1">
      <alignment horizontal="center" vertical="center"/>
    </xf>
    <xf numFmtId="3" fontId="36" fillId="0" borderId="185" xfId="0" applyNumberFormat="1" applyFont="1" applyFill="1" applyBorder="1" applyAlignment="1">
      <alignment horizontal="center" vertical="center"/>
    </xf>
    <xf numFmtId="3" fontId="36" fillId="0" borderId="186" xfId="0" applyNumberFormat="1" applyFont="1" applyFill="1" applyBorder="1" applyAlignment="1">
      <alignment horizontal="center" vertical="center"/>
    </xf>
    <xf numFmtId="3" fontId="36" fillId="0" borderId="187" xfId="0" applyNumberFormat="1" applyFont="1" applyFill="1" applyBorder="1" applyAlignment="1">
      <alignment horizontal="center" vertical="center"/>
    </xf>
    <xf numFmtId="3" fontId="36" fillId="0" borderId="188" xfId="0" applyNumberFormat="1" applyFont="1" applyFill="1" applyBorder="1" applyAlignment="1">
      <alignment horizontal="center" vertical="center"/>
    </xf>
    <xf numFmtId="165" fontId="37" fillId="0" borderId="189" xfId="0" applyNumberFormat="1" applyFont="1" applyFill="1" applyBorder="1" applyAlignment="1">
      <alignment horizontal="center" vertical="center"/>
    </xf>
    <xf numFmtId="165" fontId="37" fillId="0" borderId="187" xfId="0" applyNumberFormat="1" applyFont="1" applyFill="1" applyBorder="1" applyAlignment="1">
      <alignment horizontal="center" vertical="center"/>
    </xf>
    <xf numFmtId="165" fontId="37" fillId="0" borderId="190" xfId="0" applyNumberFormat="1" applyFont="1" applyFill="1" applyBorder="1" applyAlignment="1">
      <alignment horizontal="center" vertical="center"/>
    </xf>
    <xf numFmtId="1" fontId="37" fillId="0" borderId="188" xfId="0" applyNumberFormat="1" applyFont="1" applyFill="1" applyBorder="1" applyAlignment="1">
      <alignment horizontal="center" vertical="center"/>
    </xf>
    <xf numFmtId="0" fontId="36" fillId="0" borderId="191" xfId="0" applyFont="1" applyFill="1" applyBorder="1" applyAlignment="1">
      <alignment vertical="center"/>
    </xf>
    <xf numFmtId="0" fontId="3" fillId="3" borderId="165" xfId="0" applyFont="1" applyFill="1" applyBorder="1" applyAlignment="1">
      <alignment horizontal="center"/>
    </xf>
    <xf numFmtId="0" fontId="3" fillId="3" borderId="192" xfId="0" applyFont="1" applyFill="1" applyBorder="1" applyAlignment="1">
      <alignment horizontal="center"/>
    </xf>
    <xf numFmtId="0" fontId="3" fillId="0" borderId="192" xfId="0" applyFont="1" applyFill="1" applyBorder="1" applyAlignment="1">
      <alignment horizontal="center"/>
    </xf>
    <xf numFmtId="0" fontId="3" fillId="0" borderId="193" xfId="0" applyFont="1" applyFill="1" applyBorder="1" applyAlignment="1">
      <alignment horizontal="center"/>
    </xf>
    <xf numFmtId="0" fontId="3" fillId="0" borderId="194" xfId="0" applyFont="1" applyFill="1" applyBorder="1" applyAlignment="1">
      <alignment horizontal="center"/>
    </xf>
    <xf numFmtId="0" fontId="3" fillId="0" borderId="195" xfId="0" applyFont="1" applyFill="1" applyBorder="1" applyAlignment="1">
      <alignment horizontal="center"/>
    </xf>
    <xf numFmtId="165" fontId="4" fillId="0" borderId="196" xfId="0" applyNumberFormat="1" applyFont="1" applyBorder="1" applyAlignment="1">
      <alignment horizontal="center"/>
    </xf>
    <xf numFmtId="165" fontId="4" fillId="0" borderId="194" xfId="0" applyNumberFormat="1" applyFont="1" applyBorder="1" applyAlignment="1">
      <alignment horizontal="center"/>
    </xf>
    <xf numFmtId="168" fontId="4" fillId="0" borderId="197" xfId="0" applyNumberFormat="1" applyFont="1" applyBorder="1" applyAlignment="1">
      <alignment horizontal="center"/>
    </xf>
    <xf numFmtId="1" fontId="4" fillId="0" borderId="195" xfId="0" applyNumberFormat="1" applyFont="1" applyBorder="1" applyAlignment="1">
      <alignment horizontal="center"/>
    </xf>
    <xf numFmtId="1" fontId="4" fillId="0" borderId="198" xfId="0" applyNumberFormat="1" applyFont="1" applyBorder="1" applyAlignment="1">
      <alignment horizontal="center"/>
    </xf>
    <xf numFmtId="165" fontId="4" fillId="0" borderId="199" xfId="0" applyNumberFormat="1" applyFont="1" applyBorder="1" applyAlignment="1">
      <alignment horizontal="center"/>
    </xf>
    <xf numFmtId="0" fontId="2" fillId="0" borderId="200" xfId="0" applyFont="1" applyBorder="1" applyAlignment="1">
      <alignment horizontal="center"/>
    </xf>
    <xf numFmtId="0" fontId="3" fillId="3" borderId="169" xfId="0" applyFont="1" applyFill="1" applyBorder="1" applyAlignment="1">
      <alignment horizontal="center"/>
    </xf>
    <xf numFmtId="0" fontId="3" fillId="0" borderId="201" xfId="0" applyFont="1" applyFill="1" applyBorder="1" applyAlignment="1">
      <alignment horizontal="center"/>
    </xf>
    <xf numFmtId="0" fontId="3" fillId="0" borderId="203" xfId="0" applyFont="1" applyFill="1" applyBorder="1" applyAlignment="1">
      <alignment horizontal="center"/>
    </xf>
    <xf numFmtId="0" fontId="3" fillId="0" borderId="204" xfId="0" applyFont="1" applyFill="1" applyBorder="1" applyAlignment="1">
      <alignment horizontal="center"/>
    </xf>
    <xf numFmtId="165" fontId="4" fillId="0" borderId="202" xfId="0" applyNumberFormat="1" applyFont="1" applyBorder="1" applyAlignment="1">
      <alignment horizontal="center"/>
    </xf>
    <xf numFmtId="165" fontId="4" fillId="0" borderId="203" xfId="0" applyNumberFormat="1" applyFont="1" applyBorder="1" applyAlignment="1">
      <alignment horizontal="center"/>
    </xf>
    <xf numFmtId="168" fontId="4" fillId="0" borderId="203" xfId="0" applyNumberFormat="1" applyFont="1" applyBorder="1" applyAlignment="1">
      <alignment horizontal="center"/>
    </xf>
    <xf numFmtId="1" fontId="4" fillId="0" borderId="204" xfId="0" applyNumberFormat="1" applyFont="1" applyBorder="1" applyAlignment="1">
      <alignment horizontal="center"/>
    </xf>
    <xf numFmtId="1" fontId="4" fillId="0" borderId="205" xfId="0" applyNumberFormat="1" applyFont="1" applyBorder="1" applyAlignment="1">
      <alignment horizontal="center"/>
    </xf>
    <xf numFmtId="165" fontId="4" fillId="0" borderId="206" xfId="0" applyNumberFormat="1" applyFont="1" applyBorder="1" applyAlignment="1">
      <alignment horizontal="center"/>
    </xf>
    <xf numFmtId="0" fontId="2" fillId="0" borderId="207" xfId="0" applyFont="1" applyBorder="1" applyAlignment="1">
      <alignment horizontal="center"/>
    </xf>
    <xf numFmtId="0" fontId="3" fillId="3" borderId="173" xfId="0" applyFont="1" applyFill="1" applyBorder="1" applyAlignment="1">
      <alignment horizontal="center"/>
    </xf>
    <xf numFmtId="0" fontId="3" fillId="3" borderId="208" xfId="0" applyFont="1" applyFill="1" applyBorder="1" applyAlignment="1">
      <alignment horizontal="center"/>
    </xf>
    <xf numFmtId="0" fontId="3" fillId="0" borderId="208" xfId="0" applyFont="1" applyFill="1" applyBorder="1" applyAlignment="1">
      <alignment horizontal="center"/>
    </xf>
    <xf numFmtId="0" fontId="3" fillId="0" borderId="209" xfId="0" applyFont="1" applyFill="1" applyBorder="1" applyAlignment="1">
      <alignment horizontal="center"/>
    </xf>
    <xf numFmtId="0" fontId="3" fillId="0" borderId="210" xfId="0" applyFont="1" applyFill="1" applyBorder="1" applyAlignment="1">
      <alignment horizontal="center"/>
    </xf>
    <xf numFmtId="0" fontId="3" fillId="0" borderId="211" xfId="0" applyFont="1" applyFill="1" applyBorder="1" applyAlignment="1">
      <alignment horizontal="center"/>
    </xf>
    <xf numFmtId="165" fontId="4" fillId="0" borderId="210" xfId="0" applyNumberFormat="1" applyFont="1" applyBorder="1" applyAlignment="1">
      <alignment horizontal="center"/>
    </xf>
    <xf numFmtId="1" fontId="4" fillId="0" borderId="211" xfId="0" applyNumberFormat="1" applyFont="1" applyBorder="1" applyAlignment="1">
      <alignment horizontal="center"/>
    </xf>
    <xf numFmtId="1" fontId="4" fillId="0" borderId="212" xfId="0" applyNumberFormat="1" applyFont="1" applyBorder="1" applyAlignment="1">
      <alignment horizontal="center"/>
    </xf>
    <xf numFmtId="0" fontId="38" fillId="0" borderId="0" xfId="0" applyFont="1"/>
    <xf numFmtId="0" fontId="39" fillId="0" borderId="0" xfId="0" applyFont="1"/>
    <xf numFmtId="1" fontId="40" fillId="0" borderId="213" xfId="0" applyNumberFormat="1" applyFont="1" applyFill="1" applyBorder="1" applyAlignment="1">
      <alignment horizontal="center"/>
    </xf>
    <xf numFmtId="165" fontId="40" fillId="0" borderId="214" xfId="0" applyNumberFormat="1" applyFont="1" applyFill="1" applyBorder="1" applyAlignment="1">
      <alignment horizontal="center"/>
    </xf>
    <xf numFmtId="1" fontId="40" fillId="0" borderId="214" xfId="0" applyNumberFormat="1" applyFont="1" applyFill="1" applyBorder="1" applyAlignment="1">
      <alignment horizontal="center"/>
    </xf>
    <xf numFmtId="1" fontId="40" fillId="0" borderId="215" xfId="0" applyNumberFormat="1" applyFont="1" applyFill="1" applyBorder="1" applyAlignment="1">
      <alignment horizontal="center"/>
    </xf>
    <xf numFmtId="1" fontId="40" fillId="0" borderId="186" xfId="0" applyNumberFormat="1" applyFont="1" applyFill="1" applyBorder="1" applyAlignment="1">
      <alignment horizontal="center"/>
    </xf>
    <xf numFmtId="165" fontId="40" fillId="0" borderId="216" xfId="0" applyNumberFormat="1" applyFont="1" applyFill="1" applyBorder="1" applyAlignment="1">
      <alignment horizontal="center"/>
    </xf>
    <xf numFmtId="1" fontId="40" fillId="0" borderId="216" xfId="0" applyNumberFormat="1" applyFont="1" applyFill="1" applyBorder="1" applyAlignment="1">
      <alignment horizontal="center"/>
    </xf>
    <xf numFmtId="1" fontId="40" fillId="0" borderId="217" xfId="0" applyNumberFormat="1" applyFont="1" applyFill="1" applyBorder="1" applyAlignment="1">
      <alignment horizontal="center"/>
    </xf>
    <xf numFmtId="165" fontId="40" fillId="0" borderId="218" xfId="0" applyNumberFormat="1" applyFont="1" applyFill="1" applyBorder="1" applyAlignment="1">
      <alignment horizontal="center"/>
    </xf>
    <xf numFmtId="0" fontId="40" fillId="0" borderId="217" xfId="0" applyFont="1" applyFill="1" applyBorder="1" applyAlignment="1">
      <alignment horizontal="center"/>
    </xf>
    <xf numFmtId="165" fontId="40" fillId="0" borderId="219" xfId="0" applyNumberFormat="1" applyFont="1" applyFill="1" applyBorder="1" applyAlignment="1">
      <alignment horizontal="center"/>
    </xf>
    <xf numFmtId="0" fontId="40" fillId="0" borderId="191" xfId="0" applyFont="1" applyFill="1" applyBorder="1"/>
    <xf numFmtId="0" fontId="40" fillId="0" borderId="220" xfId="0" applyFont="1" applyFill="1" applyBorder="1" applyAlignment="1">
      <alignment horizontal="center"/>
    </xf>
    <xf numFmtId="0" fontId="40" fillId="0" borderId="16" xfId="0" applyFont="1" applyFill="1" applyBorder="1" applyAlignment="1">
      <alignment horizontal="center"/>
    </xf>
    <xf numFmtId="0" fontId="40" fillId="0" borderId="221" xfId="0" applyFont="1" applyFill="1" applyBorder="1" applyAlignment="1">
      <alignment horizontal="center"/>
    </xf>
    <xf numFmtId="0" fontId="40" fillId="0" borderId="222" xfId="0" applyFont="1" applyFill="1" applyBorder="1" applyAlignment="1">
      <alignment horizontal="center"/>
    </xf>
    <xf numFmtId="0" fontId="40" fillId="0" borderId="223" xfId="0" applyFont="1" applyFill="1" applyBorder="1" applyAlignment="1">
      <alignment horizontal="center"/>
    </xf>
    <xf numFmtId="0" fontId="40" fillId="0" borderId="224" xfId="0" applyFont="1" applyFill="1" applyBorder="1" applyAlignment="1">
      <alignment horizontal="center"/>
    </xf>
    <xf numFmtId="165" fontId="40" fillId="0" borderId="225" xfId="0" applyNumberFormat="1" applyFont="1" applyFill="1" applyBorder="1" applyAlignment="1">
      <alignment horizontal="center"/>
    </xf>
    <xf numFmtId="165" fontId="40" fillId="0" borderId="226" xfId="0" applyNumberFormat="1" applyFont="1" applyFill="1" applyBorder="1" applyAlignment="1">
      <alignment horizontal="center"/>
    </xf>
    <xf numFmtId="0" fontId="40" fillId="0" borderId="227" xfId="0" applyFont="1" applyFill="1" applyBorder="1" applyAlignment="1">
      <alignment horizontal="center"/>
    </xf>
    <xf numFmtId="0" fontId="40" fillId="0" borderId="228" xfId="0" applyFont="1" applyFill="1" applyBorder="1"/>
    <xf numFmtId="0" fontId="34" fillId="0" borderId="0" xfId="0" applyFont="1"/>
    <xf numFmtId="0" fontId="35" fillId="0" borderId="0" xfId="0" applyFont="1"/>
    <xf numFmtId="0" fontId="36" fillId="0" borderId="239" xfId="0" applyFont="1" applyFill="1" applyBorder="1" applyAlignment="1">
      <alignment horizontal="center" vertical="center"/>
    </xf>
    <xf numFmtId="0" fontId="7" fillId="0" borderId="240" xfId="0" applyFont="1" applyBorder="1"/>
    <xf numFmtId="9" fontId="7" fillId="0" borderId="189" xfId="2" applyFont="1" applyBorder="1" applyAlignment="1">
      <alignment horizontal="center"/>
    </xf>
    <xf numFmtId="9" fontId="3" fillId="0" borderId="243" xfId="2" applyFont="1" applyBorder="1" applyAlignment="1">
      <alignment horizontal="center"/>
    </xf>
    <xf numFmtId="165" fontId="3" fillId="0" borderId="189" xfId="0" applyNumberFormat="1" applyFont="1" applyBorder="1" applyAlignment="1">
      <alignment horizontal="center"/>
    </xf>
    <xf numFmtId="167" fontId="3" fillId="3" borderId="182" xfId="0" applyNumberFormat="1" applyFont="1" applyFill="1" applyBorder="1" applyAlignment="1">
      <alignment horizontal="center"/>
    </xf>
    <xf numFmtId="9" fontId="3" fillId="0" borderId="246" xfId="2" applyFont="1" applyBorder="1" applyAlignment="1">
      <alignment horizontal="center"/>
    </xf>
    <xf numFmtId="165" fontId="3" fillId="0" borderId="0" xfId="0" applyNumberFormat="1" applyFont="1" applyAlignment="1"/>
    <xf numFmtId="165" fontId="3" fillId="0" borderId="246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" fontId="4" fillId="0" borderId="250" xfId="0" applyNumberFormat="1" applyFont="1" applyBorder="1" applyAlignment="1">
      <alignment horizontal="center"/>
    </xf>
    <xf numFmtId="165" fontId="4" fillId="0" borderId="251" xfId="0" applyNumberFormat="1" applyFont="1" applyBorder="1" applyAlignment="1">
      <alignment horizontal="center"/>
    </xf>
    <xf numFmtId="1" fontId="4" fillId="0" borderId="252" xfId="0" applyNumberFormat="1" applyFont="1" applyBorder="1" applyAlignment="1">
      <alignment horizontal="center"/>
    </xf>
    <xf numFmtId="0" fontId="3" fillId="0" borderId="250" xfId="0" applyFont="1" applyFill="1" applyBorder="1" applyAlignment="1">
      <alignment horizontal="center"/>
    </xf>
    <xf numFmtId="0" fontId="3" fillId="0" borderId="251" xfId="0" applyFont="1" applyFill="1" applyBorder="1" applyAlignment="1">
      <alignment horizontal="center"/>
    </xf>
    <xf numFmtId="0" fontId="3" fillId="0" borderId="253" xfId="0" applyFont="1" applyFill="1" applyBorder="1" applyAlignment="1">
      <alignment horizontal="center"/>
    </xf>
    <xf numFmtId="0" fontId="3" fillId="0" borderId="53" xfId="0" applyFont="1" applyFill="1" applyBorder="1" applyAlignment="1">
      <alignment horizontal="center"/>
    </xf>
    <xf numFmtId="0" fontId="3" fillId="3" borderId="53" xfId="0" applyFont="1" applyFill="1" applyBorder="1" applyAlignment="1">
      <alignment horizontal="center"/>
    </xf>
    <xf numFmtId="0" fontId="3" fillId="3" borderId="181" xfId="0" applyFont="1" applyFill="1" applyBorder="1" applyAlignment="1">
      <alignment horizontal="center"/>
    </xf>
    <xf numFmtId="44" fontId="8" fillId="0" borderId="172" xfId="3" applyFont="1" applyBorder="1" applyAlignment="1">
      <alignment horizontal="center"/>
    </xf>
    <xf numFmtId="17" fontId="3" fillId="0" borderId="0" xfId="0" quotePrefix="1" applyNumberFormat="1" applyFont="1"/>
    <xf numFmtId="44" fontId="1" fillId="0" borderId="0" xfId="3" applyFont="1" applyBorder="1" applyAlignment="1">
      <alignment horizontal="center"/>
    </xf>
    <xf numFmtId="44" fontId="1" fillId="0" borderId="0" xfId="3" applyFont="1" applyBorder="1"/>
    <xf numFmtId="44" fontId="2" fillId="0" borderId="0" xfId="3" applyFont="1" applyBorder="1" applyAlignment="1">
      <alignment horizontal="center"/>
    </xf>
    <xf numFmtId="44" fontId="2" fillId="0" borderId="0" xfId="3" applyFont="1" applyBorder="1"/>
    <xf numFmtId="44" fontId="7" fillId="5" borderId="254" xfId="3" applyFont="1" applyFill="1" applyBorder="1" applyAlignment="1">
      <alignment horizontal="center"/>
    </xf>
    <xf numFmtId="44" fontId="7" fillId="0" borderId="255" xfId="3" applyFont="1" applyBorder="1"/>
    <xf numFmtId="44" fontId="7" fillId="5" borderId="256" xfId="3" applyFont="1" applyFill="1" applyBorder="1" applyAlignment="1">
      <alignment horizontal="center"/>
    </xf>
    <xf numFmtId="44" fontId="7" fillId="5" borderId="258" xfId="3" applyFont="1" applyFill="1" applyBorder="1" applyAlignment="1">
      <alignment horizontal="center"/>
    </xf>
    <xf numFmtId="44" fontId="7" fillId="5" borderId="259" xfId="3" applyFont="1" applyFill="1" applyBorder="1" applyAlignment="1">
      <alignment horizontal="center"/>
    </xf>
    <xf numFmtId="44" fontId="7" fillId="5" borderId="260" xfId="3" applyFont="1" applyFill="1" applyBorder="1" applyAlignment="1">
      <alignment horizontal="center"/>
    </xf>
    <xf numFmtId="0" fontId="22" fillId="11" borderId="257" xfId="0" applyFont="1" applyFill="1" applyBorder="1"/>
    <xf numFmtId="44" fontId="7" fillId="0" borderId="261" xfId="3" applyFont="1" applyBorder="1"/>
    <xf numFmtId="44" fontId="7" fillId="5" borderId="262" xfId="3" applyFont="1" applyFill="1" applyBorder="1" applyAlignment="1">
      <alignment horizontal="center"/>
    </xf>
    <xf numFmtId="44" fontId="7" fillId="0" borderId="264" xfId="3" applyFont="1" applyBorder="1"/>
    <xf numFmtId="0" fontId="22" fillId="11" borderId="263" xfId="0" applyFont="1" applyFill="1" applyBorder="1"/>
    <xf numFmtId="44" fontId="7" fillId="0" borderId="265" xfId="3" applyFont="1" applyBorder="1"/>
    <xf numFmtId="44" fontId="7" fillId="0" borderId="266" xfId="3" applyFont="1" applyBorder="1"/>
    <xf numFmtId="44" fontId="7" fillId="0" borderId="267" xfId="3" applyFont="1" applyBorder="1"/>
    <xf numFmtId="44" fontId="7" fillId="5" borderId="268" xfId="3" applyFont="1" applyFill="1" applyBorder="1" applyAlignment="1">
      <alignment horizontal="center"/>
    </xf>
    <xf numFmtId="44" fontId="7" fillId="0" borderId="270" xfId="3" applyFont="1" applyBorder="1"/>
    <xf numFmtId="44" fontId="7" fillId="0" borderId="205" xfId="3" applyFont="1" applyBorder="1"/>
    <xf numFmtId="44" fontId="7" fillId="5" borderId="271" xfId="3" applyFont="1" applyFill="1" applyBorder="1" applyAlignment="1">
      <alignment horizontal="center"/>
    </xf>
    <xf numFmtId="44" fontId="7" fillId="0" borderId="272" xfId="3" applyFont="1" applyBorder="1"/>
    <xf numFmtId="44" fontId="7" fillId="5" borderId="274" xfId="3" applyFont="1" applyFill="1" applyBorder="1" applyAlignment="1">
      <alignment horizontal="center"/>
    </xf>
    <xf numFmtId="44" fontId="7" fillId="5" borderId="275" xfId="3" applyFont="1" applyFill="1" applyBorder="1" applyAlignment="1">
      <alignment horizontal="center"/>
    </xf>
    <xf numFmtId="44" fontId="7" fillId="0" borderId="276" xfId="3" applyFont="1" applyBorder="1"/>
    <xf numFmtId="44" fontId="7" fillId="0" borderId="277" xfId="3" applyFont="1" applyBorder="1"/>
    <xf numFmtId="44" fontId="7" fillId="5" borderId="278" xfId="3" applyFont="1" applyFill="1" applyBorder="1" applyAlignment="1">
      <alignment horizontal="center"/>
    </xf>
    <xf numFmtId="44" fontId="7" fillId="0" borderId="279" xfId="3" applyFont="1" applyBorder="1"/>
    <xf numFmtId="44" fontId="7" fillId="0" borderId="280" xfId="3" applyFont="1" applyBorder="1"/>
    <xf numFmtId="44" fontId="7" fillId="0" borderId="281" xfId="3" applyFont="1" applyBorder="1"/>
    <xf numFmtId="44" fontId="7" fillId="0" borderId="282" xfId="3" applyFont="1" applyBorder="1"/>
    <xf numFmtId="0" fontId="3" fillId="0" borderId="283" xfId="0" applyFont="1" applyBorder="1"/>
    <xf numFmtId="44" fontId="7" fillId="0" borderId="284" xfId="3" applyFont="1" applyBorder="1"/>
    <xf numFmtId="44" fontId="7" fillId="0" borderId="285" xfId="3" applyFont="1" applyBorder="1"/>
    <xf numFmtId="44" fontId="7" fillId="5" borderId="286" xfId="3" applyFont="1" applyFill="1" applyBorder="1" applyAlignment="1">
      <alignment horizontal="center"/>
    </xf>
    <xf numFmtId="44" fontId="7" fillId="0" borderId="287" xfId="3" applyFont="1" applyBorder="1"/>
    <xf numFmtId="44" fontId="7" fillId="5" borderId="288" xfId="3" applyFont="1" applyFill="1" applyBorder="1" applyAlignment="1">
      <alignment horizontal="center"/>
    </xf>
    <xf numFmtId="44" fontId="7" fillId="0" borderId="289" xfId="3" applyFont="1" applyBorder="1"/>
    <xf numFmtId="44" fontId="7" fillId="0" borderId="290" xfId="3" applyFont="1" applyBorder="1"/>
    <xf numFmtId="44" fontId="7" fillId="5" borderId="291" xfId="3" applyFont="1" applyFill="1" applyBorder="1" applyAlignment="1">
      <alignment horizontal="center"/>
    </xf>
    <xf numFmtId="0" fontId="22" fillId="11" borderId="292" xfId="0" applyFont="1" applyFill="1" applyBorder="1"/>
    <xf numFmtId="44" fontId="22" fillId="11" borderId="293" xfId="3" applyFont="1" applyFill="1" applyBorder="1" applyAlignment="1">
      <alignment vertical="center"/>
    </xf>
    <xf numFmtId="0" fontId="22" fillId="11" borderId="290" xfId="0" applyFont="1" applyFill="1" applyBorder="1" applyAlignment="1">
      <alignment vertical="center"/>
    </xf>
    <xf numFmtId="44" fontId="8" fillId="0" borderId="295" xfId="3" applyFont="1" applyBorder="1" applyAlignment="1">
      <alignment horizontal="center"/>
    </xf>
    <xf numFmtId="44" fontId="8" fillId="0" borderId="255" xfId="3" applyFont="1" applyBorder="1"/>
    <xf numFmtId="44" fontId="8" fillId="0" borderId="296" xfId="3" applyFont="1" applyBorder="1"/>
    <xf numFmtId="44" fontId="8" fillId="0" borderId="297" xfId="3" applyFont="1" applyBorder="1"/>
    <xf numFmtId="0" fontId="8" fillId="0" borderId="298" xfId="0" applyFont="1" applyBorder="1"/>
    <xf numFmtId="44" fontId="8" fillId="0" borderId="299" xfId="3" applyFont="1" applyBorder="1" applyAlignment="1">
      <alignment horizontal="center"/>
    </xf>
    <xf numFmtId="44" fontId="8" fillId="0" borderId="300" xfId="3" applyFont="1" applyBorder="1"/>
    <xf numFmtId="44" fontId="8" fillId="0" borderId="273" xfId="3" applyFont="1" applyBorder="1"/>
    <xf numFmtId="0" fontId="8" fillId="0" borderId="267" xfId="0" applyFont="1" applyBorder="1"/>
    <xf numFmtId="44" fontId="8" fillId="0" borderId="301" xfId="3" applyFont="1" applyBorder="1" applyAlignment="1">
      <alignment horizontal="center"/>
    </xf>
    <xf numFmtId="44" fontId="8" fillId="0" borderId="272" xfId="3" applyFont="1" applyBorder="1"/>
    <xf numFmtId="44" fontId="8" fillId="0" borderId="303" xfId="3" applyFont="1" applyBorder="1"/>
    <xf numFmtId="44" fontId="8" fillId="0" borderId="304" xfId="3" applyFont="1" applyBorder="1"/>
    <xf numFmtId="44" fontId="23" fillId="11" borderId="66" xfId="3" applyFont="1" applyFill="1" applyBorder="1" applyAlignment="1">
      <alignment horizontal="center"/>
    </xf>
    <xf numFmtId="44" fontId="23" fillId="11" borderId="80" xfId="3" applyFont="1" applyFill="1" applyBorder="1" applyAlignment="1">
      <alignment horizontal="center"/>
    </xf>
    <xf numFmtId="0" fontId="23" fillId="11" borderId="64" xfId="0" applyFont="1" applyFill="1" applyBorder="1"/>
    <xf numFmtId="0" fontId="22" fillId="11" borderId="64" xfId="0" applyFont="1" applyFill="1" applyBorder="1"/>
    <xf numFmtId="169" fontId="7" fillId="3" borderId="306" xfId="1" applyNumberFormat="1" applyFont="1" applyFill="1" applyBorder="1" applyAlignment="1">
      <alignment horizontal="center"/>
    </xf>
    <xf numFmtId="0" fontId="14" fillId="0" borderId="0" xfId="0" applyFont="1" applyBorder="1"/>
    <xf numFmtId="3" fontId="41" fillId="0" borderId="307" xfId="0" applyNumberFormat="1" applyFont="1" applyFill="1" applyBorder="1" applyAlignment="1">
      <alignment horizontal="center" vertical="center"/>
    </xf>
    <xf numFmtId="3" fontId="41" fillId="0" borderId="308" xfId="0" applyNumberFormat="1" applyFont="1" applyFill="1" applyBorder="1" applyAlignment="1">
      <alignment horizontal="center" vertical="center"/>
    </xf>
    <xf numFmtId="3" fontId="41" fillId="0" borderId="309" xfId="0" applyNumberFormat="1" applyFont="1" applyFill="1" applyBorder="1" applyAlignment="1">
      <alignment horizontal="center" vertical="center"/>
    </xf>
    <xf numFmtId="165" fontId="42" fillId="0" borderId="310" xfId="0" applyNumberFormat="1" applyFont="1" applyFill="1" applyBorder="1" applyAlignment="1">
      <alignment horizontal="center" vertical="center"/>
    </xf>
    <xf numFmtId="165" fontId="42" fillId="0" borderId="311" xfId="0" applyNumberFormat="1" applyFont="1" applyFill="1" applyBorder="1" applyAlignment="1">
      <alignment horizontal="center" vertical="center"/>
    </xf>
    <xf numFmtId="1" fontId="42" fillId="0" borderId="312" xfId="0" applyNumberFormat="1" applyFont="1" applyFill="1" applyBorder="1" applyAlignment="1">
      <alignment horizontal="center" vertical="center"/>
    </xf>
    <xf numFmtId="165" fontId="42" fillId="0" borderId="307" xfId="0" applyNumberFormat="1" applyFont="1" applyFill="1" applyBorder="1" applyAlignment="1">
      <alignment horizontal="center" vertical="center"/>
    </xf>
    <xf numFmtId="165" fontId="42" fillId="0" borderId="308" xfId="0" applyNumberFormat="1" applyFont="1" applyFill="1" applyBorder="1" applyAlignment="1">
      <alignment horizontal="center" vertical="center"/>
    </xf>
    <xf numFmtId="1" fontId="42" fillId="0" borderId="309" xfId="0" applyNumberFormat="1" applyFont="1" applyFill="1" applyBorder="1" applyAlignment="1">
      <alignment horizontal="center" vertical="center"/>
    </xf>
    <xf numFmtId="0" fontId="41" fillId="0" borderId="306" xfId="0" applyFont="1" applyFill="1" applyBorder="1" applyAlignment="1">
      <alignment vertical="center"/>
    </xf>
    <xf numFmtId="0" fontId="3" fillId="3" borderId="295" xfId="0" applyFont="1" applyFill="1" applyBorder="1" applyAlignment="1">
      <alignment horizontal="center"/>
    </xf>
    <xf numFmtId="0" fontId="3" fillId="3" borderId="313" xfId="0" applyFont="1" applyFill="1" applyBorder="1" applyAlignment="1">
      <alignment horizontal="center"/>
    </xf>
    <xf numFmtId="0" fontId="3" fillId="0" borderId="313" xfId="0" applyFont="1" applyFill="1" applyBorder="1" applyAlignment="1">
      <alignment horizontal="center"/>
    </xf>
    <xf numFmtId="0" fontId="3" fillId="0" borderId="255" xfId="0" applyFont="1" applyFill="1" applyBorder="1" applyAlignment="1">
      <alignment horizontal="center"/>
    </xf>
    <xf numFmtId="0" fontId="33" fillId="3" borderId="301" xfId="0" applyFont="1" applyFill="1" applyBorder="1" applyAlignment="1">
      <alignment horizontal="right"/>
    </xf>
    <xf numFmtId="0" fontId="33" fillId="3" borderId="203" xfId="0" applyFont="1" applyFill="1" applyBorder="1" applyAlignment="1">
      <alignment horizontal="right"/>
    </xf>
    <xf numFmtId="3" fontId="0" fillId="0" borderId="314" xfId="0" applyNumberFormat="1" applyFont="1" applyBorder="1"/>
    <xf numFmtId="165" fontId="4" fillId="0" borderId="313" xfId="0" applyNumberFormat="1" applyFont="1" applyBorder="1" applyAlignment="1">
      <alignment horizontal="center"/>
    </xf>
    <xf numFmtId="1" fontId="4" fillId="0" borderId="255" xfId="0" applyNumberFormat="1" applyFont="1" applyBorder="1" applyAlignment="1">
      <alignment horizontal="center"/>
    </xf>
    <xf numFmtId="165" fontId="4" fillId="0" borderId="301" xfId="0" applyNumberFormat="1" applyFont="1" applyBorder="1" applyAlignment="1">
      <alignment horizontal="center"/>
    </xf>
    <xf numFmtId="165" fontId="4" fillId="0" borderId="223" xfId="0" applyNumberFormat="1" applyFont="1" applyBorder="1" applyAlignment="1">
      <alignment horizontal="center"/>
    </xf>
    <xf numFmtId="1" fontId="4" fillId="0" borderId="264" xfId="0" applyNumberFormat="1" applyFont="1" applyBorder="1" applyAlignment="1">
      <alignment horizontal="center"/>
    </xf>
    <xf numFmtId="0" fontId="2" fillId="0" borderId="257" xfId="0" applyFont="1" applyBorder="1" applyAlignment="1">
      <alignment horizontal="center"/>
    </xf>
    <xf numFmtId="0" fontId="3" fillId="3" borderId="301" xfId="0" applyFont="1" applyFill="1" applyBorder="1" applyAlignment="1">
      <alignment horizontal="center"/>
    </xf>
    <xf numFmtId="0" fontId="3" fillId="3" borderId="203" xfId="0" applyFont="1" applyFill="1" applyBorder="1" applyAlignment="1">
      <alignment horizontal="center"/>
    </xf>
    <xf numFmtId="0" fontId="3" fillId="0" borderId="205" xfId="0" applyFont="1" applyFill="1" applyBorder="1" applyAlignment="1">
      <alignment horizontal="center"/>
    </xf>
    <xf numFmtId="0" fontId="3" fillId="0" borderId="261" xfId="0" applyFont="1" applyFill="1" applyBorder="1" applyAlignment="1">
      <alignment horizontal="center"/>
    </xf>
    <xf numFmtId="1" fontId="4" fillId="0" borderId="261" xfId="0" applyNumberFormat="1" applyFont="1" applyBorder="1" applyAlignment="1">
      <alignment horizontal="center"/>
    </xf>
    <xf numFmtId="0" fontId="2" fillId="0" borderId="263" xfId="0" applyFont="1" applyBorder="1" applyAlignment="1">
      <alignment horizontal="center"/>
    </xf>
    <xf numFmtId="0" fontId="3" fillId="3" borderId="315" xfId="0" applyFont="1" applyFill="1" applyBorder="1" applyAlignment="1">
      <alignment horizontal="center"/>
    </xf>
    <xf numFmtId="0" fontId="3" fillId="3" borderId="293" xfId="0" applyFont="1" applyFill="1" applyBorder="1" applyAlignment="1">
      <alignment horizontal="center"/>
    </xf>
    <xf numFmtId="0" fontId="3" fillId="0" borderId="293" xfId="0" applyFont="1" applyFill="1" applyBorder="1" applyAlignment="1">
      <alignment horizontal="center"/>
    </xf>
    <xf numFmtId="0" fontId="3" fillId="0" borderId="290" xfId="0" applyFont="1" applyFill="1" applyBorder="1" applyAlignment="1">
      <alignment horizontal="center"/>
    </xf>
    <xf numFmtId="165" fontId="4" fillId="0" borderId="293" xfId="0" applyNumberFormat="1" applyFont="1" applyBorder="1" applyAlignment="1">
      <alignment horizontal="center"/>
    </xf>
    <xf numFmtId="1" fontId="2" fillId="0" borderId="316" xfId="0" applyNumberFormat="1" applyFont="1" applyFill="1" applyBorder="1" applyAlignment="1">
      <alignment horizontal="center"/>
    </xf>
    <xf numFmtId="165" fontId="2" fillId="0" borderId="317" xfId="0" applyNumberFormat="1" applyFont="1" applyFill="1" applyBorder="1" applyAlignment="1">
      <alignment horizontal="center"/>
    </xf>
    <xf numFmtId="1" fontId="2" fillId="0" borderId="317" xfId="0" applyNumberFormat="1" applyFont="1" applyFill="1" applyBorder="1" applyAlignment="1">
      <alignment horizontal="center"/>
    </xf>
    <xf numFmtId="1" fontId="2" fillId="0" borderId="318" xfId="0" applyNumberFormat="1" applyFont="1" applyFill="1" applyBorder="1" applyAlignment="1">
      <alignment horizontal="center"/>
    </xf>
    <xf numFmtId="165" fontId="2" fillId="0" borderId="316" xfId="0" applyNumberFormat="1" applyFont="1" applyFill="1" applyBorder="1" applyAlignment="1">
      <alignment horizontal="center"/>
    </xf>
    <xf numFmtId="0" fontId="2" fillId="0" borderId="318" xfId="0" applyFont="1" applyFill="1" applyBorder="1" applyAlignment="1">
      <alignment horizontal="center"/>
    </xf>
    <xf numFmtId="0" fontId="2" fillId="0" borderId="319" xfId="0" applyFont="1" applyFill="1" applyBorder="1"/>
    <xf numFmtId="0" fontId="2" fillId="0" borderId="299" xfId="0" applyFont="1" applyFill="1" applyBorder="1" applyAlignment="1">
      <alignment horizontal="center"/>
    </xf>
    <xf numFmtId="0" fontId="2" fillId="0" borderId="284" xfId="0" applyFont="1" applyFill="1" applyBorder="1" applyAlignment="1">
      <alignment horizontal="center"/>
    </xf>
    <xf numFmtId="0" fontId="2" fillId="0" borderId="320" xfId="0" applyFont="1" applyFill="1" applyBorder="1" applyAlignment="1">
      <alignment horizontal="center"/>
    </xf>
    <xf numFmtId="0" fontId="2" fillId="0" borderId="321" xfId="0" applyFont="1" applyFill="1" applyBorder="1" applyAlignment="1">
      <alignment horizontal="center"/>
    </xf>
    <xf numFmtId="0" fontId="2" fillId="0" borderId="264" xfId="0" applyFont="1" applyFill="1" applyBorder="1" applyAlignment="1">
      <alignment horizontal="center"/>
    </xf>
    <xf numFmtId="165" fontId="2" fillId="0" borderId="260" xfId="0" applyNumberFormat="1" applyFont="1" applyFill="1" applyBorder="1" applyAlignment="1">
      <alignment horizontal="center"/>
    </xf>
    <xf numFmtId="165" fontId="2" fillId="0" borderId="226" xfId="0" applyNumberFormat="1" applyFont="1" applyFill="1" applyBorder="1" applyAlignment="1">
      <alignment horizontal="center"/>
    </xf>
    <xf numFmtId="0" fontId="2" fillId="0" borderId="322" xfId="0" applyFont="1" applyFill="1" applyBorder="1" applyAlignment="1">
      <alignment horizontal="center"/>
    </xf>
    <xf numFmtId="0" fontId="2" fillId="0" borderId="269" xfId="0" applyFont="1" applyFill="1" applyBorder="1"/>
    <xf numFmtId="0" fontId="41" fillId="0" borderId="327" xfId="0" applyFont="1" applyFill="1" applyBorder="1" applyAlignment="1">
      <alignment horizontal="center" vertical="center"/>
    </xf>
    <xf numFmtId="9" fontId="7" fillId="0" borderId="329" xfId="2" applyFont="1" applyBorder="1" applyAlignment="1">
      <alignment horizontal="center"/>
    </xf>
    <xf numFmtId="9" fontId="3" fillId="0" borderId="332" xfId="2" applyFont="1" applyBorder="1" applyAlignment="1">
      <alignment horizontal="center"/>
    </xf>
    <xf numFmtId="165" fontId="3" fillId="0" borderId="329" xfId="0" applyNumberFormat="1" applyFont="1" applyBorder="1" applyAlignment="1">
      <alignment horizontal="center"/>
    </xf>
    <xf numFmtId="167" fontId="3" fillId="3" borderId="306" xfId="0" applyNumberFormat="1" applyFont="1" applyFill="1" applyBorder="1" applyAlignment="1">
      <alignment horizontal="center"/>
    </xf>
    <xf numFmtId="9" fontId="3" fillId="0" borderId="324" xfId="2" applyFont="1" applyBorder="1" applyAlignment="1">
      <alignment horizontal="center"/>
    </xf>
    <xf numFmtId="165" fontId="3" fillId="0" borderId="324" xfId="0" applyNumberFormat="1" applyFont="1" applyBorder="1" applyAlignment="1">
      <alignment horizontal="center"/>
    </xf>
    <xf numFmtId="0" fontId="3" fillId="0" borderId="265" xfId="0" applyFont="1" applyFill="1" applyBorder="1" applyAlignment="1">
      <alignment horizontal="center"/>
    </xf>
    <xf numFmtId="0" fontId="3" fillId="0" borderId="252" xfId="0" applyFont="1" applyFill="1" applyBorder="1" applyAlignment="1">
      <alignment horizontal="center"/>
    </xf>
    <xf numFmtId="0" fontId="3" fillId="3" borderId="251" xfId="0" applyFont="1" applyFill="1" applyBorder="1" applyAlignment="1">
      <alignment horizontal="center"/>
    </xf>
    <xf numFmtId="0" fontId="3" fillId="3" borderId="302" xfId="0" applyFont="1" applyFill="1" applyBorder="1" applyAlignment="1">
      <alignment horizontal="center"/>
    </xf>
    <xf numFmtId="44" fontId="8" fillId="0" borderId="305" xfId="0" applyNumberFormat="1" applyFont="1" applyBorder="1"/>
    <xf numFmtId="44" fontId="8" fillId="0" borderId="304" xfId="0" applyNumberFormat="1" applyFont="1" applyBorder="1"/>
    <xf numFmtId="0" fontId="1" fillId="0" borderId="0" xfId="0" applyFont="1" applyBorder="1" applyAlignment="1"/>
    <xf numFmtId="0" fontId="1" fillId="0" borderId="0" xfId="0" applyFont="1" applyAlignment="1"/>
    <xf numFmtId="0" fontId="7" fillId="0" borderId="0" xfId="0" applyFont="1" applyFill="1" applyAlignment="1"/>
    <xf numFmtId="0" fontId="7" fillId="0" borderId="0" xfId="0" applyFont="1" applyFill="1" applyBorder="1" applyAlignment="1"/>
    <xf numFmtId="44" fontId="8" fillId="0" borderId="106" xfId="3" applyNumberFormat="1" applyFont="1" applyBorder="1"/>
    <xf numFmtId="44" fontId="7" fillId="0" borderId="303" xfId="3" applyFont="1" applyBorder="1"/>
    <xf numFmtId="44" fontId="7" fillId="5" borderId="337" xfId="3" applyFont="1" applyFill="1" applyBorder="1" applyAlignment="1">
      <alignment horizontal="center"/>
    </xf>
    <xf numFmtId="44" fontId="7" fillId="0" borderId="252" xfId="3" applyFont="1" applyBorder="1"/>
    <xf numFmtId="0" fontId="1" fillId="0" borderId="338" xfId="0" applyFont="1" applyBorder="1"/>
    <xf numFmtId="170" fontId="1" fillId="0" borderId="338" xfId="0" applyNumberFormat="1" applyFont="1" applyBorder="1"/>
    <xf numFmtId="0" fontId="1" fillId="0" borderId="342" xfId="0" applyFont="1" applyBorder="1"/>
    <xf numFmtId="0" fontId="43" fillId="0" borderId="342" xfId="0" applyFont="1" applyBorder="1"/>
    <xf numFmtId="0" fontId="43" fillId="0" borderId="338" xfId="0" applyFont="1" applyBorder="1"/>
    <xf numFmtId="0" fontId="43" fillId="0" borderId="343" xfId="0" applyFont="1" applyBorder="1"/>
    <xf numFmtId="0" fontId="24" fillId="0" borderId="0" xfId="0" applyFont="1" applyAlignment="1"/>
    <xf numFmtId="44" fontId="3" fillId="0" borderId="0" xfId="0" applyNumberFormat="1" applyFont="1"/>
    <xf numFmtId="0" fontId="24" fillId="0" borderId="0" xfId="0" applyFont="1" applyBorder="1" applyAlignment="1"/>
    <xf numFmtId="0" fontId="43" fillId="0" borderId="338" xfId="0" applyFont="1" applyBorder="1" applyAlignment="1"/>
    <xf numFmtId="0" fontId="14" fillId="0" borderId="340" xfId="0" applyFont="1" applyBorder="1" applyAlignment="1">
      <alignment horizontal="center"/>
    </xf>
    <xf numFmtId="0" fontId="14" fillId="0" borderId="341" xfId="0" applyFont="1" applyBorder="1" applyAlignment="1">
      <alignment horizontal="center"/>
    </xf>
    <xf numFmtId="9" fontId="1" fillId="0" borderId="338" xfId="3" applyNumberFormat="1" applyFont="1" applyBorder="1" applyAlignment="1">
      <alignment horizontal="center"/>
    </xf>
    <xf numFmtId="9" fontId="2" fillId="0" borderId="338" xfId="3" applyNumberFormat="1" applyFont="1" applyBorder="1" applyAlignment="1">
      <alignment horizontal="center"/>
    </xf>
    <xf numFmtId="170" fontId="2" fillId="0" borderId="0" xfId="0" applyNumberFormat="1" applyFont="1"/>
    <xf numFmtId="170" fontId="1" fillId="0" borderId="0" xfId="0" applyNumberFormat="1" applyFont="1" applyBorder="1"/>
    <xf numFmtId="10" fontId="1" fillId="0" borderId="0" xfId="0" applyNumberFormat="1" applyFont="1" applyBorder="1"/>
    <xf numFmtId="10" fontId="1" fillId="0" borderId="338" xfId="0" applyNumberFormat="1" applyFont="1" applyBorder="1"/>
    <xf numFmtId="2" fontId="1" fillId="0" borderId="343" xfId="0" applyNumberFormat="1" applyFont="1" applyBorder="1"/>
    <xf numFmtId="9" fontId="1" fillId="0" borderId="0" xfId="3" applyNumberFormat="1" applyFont="1" applyBorder="1" applyAlignment="1">
      <alignment horizontal="center"/>
    </xf>
    <xf numFmtId="9" fontId="2" fillId="0" borderId="0" xfId="3" applyNumberFormat="1" applyFont="1" applyBorder="1" applyAlignment="1">
      <alignment horizontal="center"/>
    </xf>
    <xf numFmtId="2" fontId="1" fillId="0" borderId="0" xfId="0" applyNumberFormat="1" applyFont="1" applyBorder="1"/>
    <xf numFmtId="169" fontId="7" fillId="0" borderId="0" xfId="1" applyNumberFormat="1" applyFont="1" applyFill="1" applyBorder="1" applyAlignment="1">
      <alignment horizontal="center"/>
    </xf>
    <xf numFmtId="169" fontId="7" fillId="3" borderId="68" xfId="1" applyNumberFormat="1" applyFont="1" applyFill="1" applyBorder="1" applyAlignment="1">
      <alignment horizontal="center"/>
    </xf>
    <xf numFmtId="0" fontId="14" fillId="0" borderId="339" xfId="0" applyFont="1" applyBorder="1" applyAlignment="1">
      <alignment horizontal="left"/>
    </xf>
    <xf numFmtId="0" fontId="44" fillId="0" borderId="0" xfId="0" applyFont="1" applyFill="1" applyBorder="1" applyAlignment="1">
      <alignment wrapText="1"/>
    </xf>
    <xf numFmtId="0" fontId="0" fillId="7" borderId="338" xfId="0" applyFill="1" applyBorder="1" applyAlignment="1">
      <alignment horizontal="left" vertical="top"/>
    </xf>
    <xf numFmtId="0" fontId="0" fillId="0" borderId="338" xfId="0" applyBorder="1"/>
    <xf numFmtId="44" fontId="22" fillId="4" borderId="53" xfId="3" applyNumberFormat="1" applyFont="1" applyFill="1" applyBorder="1" applyAlignment="1">
      <alignment vertical="center"/>
    </xf>
    <xf numFmtId="165" fontId="3" fillId="0" borderId="0" xfId="0" applyNumberFormat="1" applyFont="1" applyBorder="1" applyAlignment="1">
      <alignment horizontal="center"/>
    </xf>
    <xf numFmtId="44" fontId="7" fillId="5" borderId="338" xfId="3" applyFont="1" applyFill="1" applyBorder="1" applyAlignment="1">
      <alignment horizontal="center"/>
    </xf>
    <xf numFmtId="44" fontId="7" fillId="0" borderId="345" xfId="3" applyFont="1" applyBorder="1"/>
    <xf numFmtId="0" fontId="22" fillId="12" borderId="346" xfId="0" applyFont="1" applyFill="1" applyBorder="1"/>
    <xf numFmtId="44" fontId="7" fillId="0" borderId="338" xfId="3" applyFont="1" applyBorder="1"/>
    <xf numFmtId="44" fontId="7" fillId="0" borderId="345" xfId="3" applyFont="1" applyFill="1" applyBorder="1"/>
    <xf numFmtId="44" fontId="7" fillId="5" borderId="347" xfId="3" applyFont="1" applyFill="1" applyBorder="1" applyAlignment="1">
      <alignment horizontal="center"/>
    </xf>
    <xf numFmtId="44" fontId="7" fillId="0" borderId="8" xfId="3" applyFont="1" applyBorder="1"/>
    <xf numFmtId="44" fontId="22" fillId="12" borderId="346" xfId="3" applyFont="1" applyFill="1" applyBorder="1" applyAlignment="1">
      <alignment vertical="center"/>
    </xf>
    <xf numFmtId="44" fontId="22" fillId="12" borderId="346" xfId="3" applyNumberFormat="1" applyFont="1" applyFill="1" applyBorder="1" applyAlignment="1">
      <alignment vertical="center"/>
    </xf>
    <xf numFmtId="44" fontId="22" fillId="12" borderId="348" xfId="3" applyFont="1" applyFill="1" applyBorder="1" applyAlignment="1">
      <alignment vertical="center"/>
    </xf>
    <xf numFmtId="0" fontId="22" fillId="12" borderId="346" xfId="0" applyFont="1" applyFill="1" applyBorder="1" applyAlignment="1">
      <alignment vertical="center"/>
    </xf>
    <xf numFmtId="44" fontId="8" fillId="0" borderId="349" xfId="3" applyFont="1" applyBorder="1" applyAlignment="1">
      <alignment horizontal="center"/>
    </xf>
    <xf numFmtId="44" fontId="8" fillId="0" borderId="349" xfId="3" applyFont="1" applyBorder="1"/>
    <xf numFmtId="0" fontId="8" fillId="0" borderId="349" xfId="0" applyFont="1" applyBorder="1"/>
    <xf numFmtId="44" fontId="8" fillId="0" borderId="338" xfId="3" applyFont="1" applyBorder="1" applyAlignment="1">
      <alignment horizontal="center"/>
    </xf>
    <xf numFmtId="44" fontId="8" fillId="0" borderId="338" xfId="3" applyFont="1" applyBorder="1"/>
    <xf numFmtId="0" fontId="8" fillId="0" borderId="338" xfId="0" applyFont="1" applyBorder="1"/>
    <xf numFmtId="44" fontId="8" fillId="0" borderId="347" xfId="3" applyFont="1" applyBorder="1" applyAlignment="1">
      <alignment horizontal="center"/>
    </xf>
    <xf numFmtId="44" fontId="8" fillId="0" borderId="347" xfId="3" applyFont="1" applyBorder="1"/>
    <xf numFmtId="0" fontId="8" fillId="0" borderId="347" xfId="0" applyFont="1" applyBorder="1"/>
    <xf numFmtId="44" fontId="23" fillId="12" borderId="346" xfId="3" applyFont="1" applyFill="1" applyBorder="1" applyAlignment="1">
      <alignment horizontal="center"/>
    </xf>
    <xf numFmtId="44" fontId="23" fillId="12" borderId="346" xfId="3" applyFont="1" applyFill="1" applyBorder="1" applyAlignment="1">
      <alignment horizontal="center" wrapText="1"/>
    </xf>
    <xf numFmtId="0" fontId="23" fillId="12" borderId="346" xfId="0" applyFont="1" applyFill="1" applyBorder="1"/>
    <xf numFmtId="169" fontId="7" fillId="3" borderId="350" xfId="1" applyNumberFormat="1" applyFont="1" applyFill="1" applyBorder="1" applyAlignment="1">
      <alignment horizontal="center"/>
    </xf>
    <xf numFmtId="3" fontId="45" fillId="0" borderId="351" xfId="0" applyNumberFormat="1" applyFont="1" applyFill="1" applyBorder="1" applyAlignment="1">
      <alignment horizontal="center" vertical="center"/>
    </xf>
    <xf numFmtId="3" fontId="45" fillId="0" borderId="352" xfId="0" applyNumberFormat="1" applyFont="1" applyFill="1" applyBorder="1" applyAlignment="1">
      <alignment horizontal="center" vertical="center"/>
    </xf>
    <xf numFmtId="3" fontId="45" fillId="0" borderId="353" xfId="0" applyNumberFormat="1" applyFont="1" applyFill="1" applyBorder="1" applyAlignment="1">
      <alignment horizontal="center" vertical="center"/>
    </xf>
    <xf numFmtId="3" fontId="45" fillId="0" borderId="354" xfId="0" applyNumberFormat="1" applyFont="1" applyFill="1" applyBorder="1" applyAlignment="1">
      <alignment horizontal="center" vertical="center"/>
    </xf>
    <xf numFmtId="165" fontId="46" fillId="0" borderId="351" xfId="0" applyNumberFormat="1" applyFont="1" applyFill="1" applyBorder="1" applyAlignment="1">
      <alignment horizontal="center" vertical="center"/>
    </xf>
    <xf numFmtId="165" fontId="46" fillId="0" borderId="352" xfId="0" applyNumberFormat="1" applyFont="1" applyFill="1" applyBorder="1" applyAlignment="1">
      <alignment horizontal="center" vertical="center"/>
    </xf>
    <xf numFmtId="1" fontId="46" fillId="0" borderId="354" xfId="0" applyNumberFormat="1" applyFont="1" applyFill="1" applyBorder="1" applyAlignment="1">
      <alignment horizontal="center" vertical="center"/>
    </xf>
    <xf numFmtId="165" fontId="46" fillId="0" borderId="355" xfId="0" applyNumberFormat="1" applyFont="1" applyFill="1" applyBorder="1" applyAlignment="1">
      <alignment horizontal="center" vertical="center"/>
    </xf>
    <xf numFmtId="1" fontId="46" fillId="0" borderId="353" xfId="0" applyNumberFormat="1" applyFont="1" applyFill="1" applyBorder="1" applyAlignment="1">
      <alignment horizontal="center" vertical="center"/>
    </xf>
    <xf numFmtId="0" fontId="45" fillId="0" borderId="356" xfId="0" applyFont="1" applyFill="1" applyBorder="1" applyAlignment="1">
      <alignment vertical="center"/>
    </xf>
    <xf numFmtId="0" fontId="47" fillId="3" borderId="357" xfId="0" applyFont="1" applyFill="1" applyBorder="1" applyAlignment="1">
      <alignment horizontal="center"/>
    </xf>
    <xf numFmtId="0" fontId="47" fillId="3" borderId="358" xfId="0" applyFont="1" applyFill="1" applyBorder="1" applyAlignment="1">
      <alignment horizontal="center"/>
    </xf>
    <xf numFmtId="0" fontId="47" fillId="0" borderId="358" xfId="0" applyFont="1" applyFill="1" applyBorder="1" applyAlignment="1">
      <alignment horizontal="center"/>
    </xf>
    <xf numFmtId="0" fontId="47" fillId="0" borderId="359" xfId="0" applyFont="1" applyFill="1" applyBorder="1" applyAlignment="1">
      <alignment horizontal="center"/>
    </xf>
    <xf numFmtId="0" fontId="47" fillId="0" borderId="360" xfId="0" applyFont="1" applyFill="1" applyBorder="1" applyAlignment="1">
      <alignment horizontal="center"/>
    </xf>
    <xf numFmtId="165" fontId="48" fillId="0" borderId="357" xfId="0" applyNumberFormat="1" applyFont="1" applyBorder="1" applyAlignment="1">
      <alignment horizontal="center"/>
    </xf>
    <xf numFmtId="165" fontId="48" fillId="0" borderId="358" xfId="0" applyNumberFormat="1" applyFont="1" applyBorder="1" applyAlignment="1">
      <alignment horizontal="center"/>
    </xf>
    <xf numFmtId="1" fontId="48" fillId="0" borderId="360" xfId="0" applyNumberFormat="1" applyFont="1" applyBorder="1" applyAlignment="1">
      <alignment horizontal="center"/>
    </xf>
    <xf numFmtId="165" fontId="48" fillId="0" borderId="361" xfId="0" applyNumberFormat="1" applyFont="1" applyBorder="1" applyAlignment="1">
      <alignment horizontal="center"/>
    </xf>
    <xf numFmtId="165" fontId="48" fillId="0" borderId="358" xfId="0" quotePrefix="1" applyNumberFormat="1" applyFont="1" applyBorder="1" applyAlignment="1">
      <alignment horizontal="center"/>
    </xf>
    <xf numFmtId="1" fontId="48" fillId="0" borderId="359" xfId="0" applyNumberFormat="1" applyFont="1" applyBorder="1" applyAlignment="1">
      <alignment horizontal="center"/>
    </xf>
    <xf numFmtId="0" fontId="49" fillId="0" borderId="362" xfId="0" applyFont="1" applyBorder="1" applyAlignment="1">
      <alignment horizontal="center"/>
    </xf>
    <xf numFmtId="0" fontId="47" fillId="3" borderId="363" xfId="0" applyFont="1" applyFill="1" applyBorder="1" applyAlignment="1">
      <alignment horizontal="center"/>
    </xf>
    <xf numFmtId="0" fontId="47" fillId="3" borderId="364" xfId="0" applyFont="1" applyFill="1" applyBorder="1" applyAlignment="1">
      <alignment horizontal="center"/>
    </xf>
    <xf numFmtId="0" fontId="47" fillId="0" borderId="364" xfId="0" applyFont="1" applyFill="1" applyBorder="1" applyAlignment="1">
      <alignment horizontal="center"/>
    </xf>
    <xf numFmtId="0" fontId="47" fillId="0" borderId="365" xfId="0" applyFont="1" applyFill="1" applyBorder="1" applyAlignment="1">
      <alignment horizontal="center"/>
    </xf>
    <xf numFmtId="0" fontId="47" fillId="0" borderId="366" xfId="0" applyFont="1" applyFill="1" applyBorder="1" applyAlignment="1">
      <alignment horizontal="center"/>
    </xf>
    <xf numFmtId="165" fontId="48" fillId="0" borderId="363" xfId="0" applyNumberFormat="1" applyFont="1" applyBorder="1" applyAlignment="1">
      <alignment horizontal="center"/>
    </xf>
    <xf numFmtId="165" fontId="48" fillId="0" borderId="364" xfId="0" applyNumberFormat="1" applyFont="1" applyBorder="1" applyAlignment="1">
      <alignment horizontal="center"/>
    </xf>
    <xf numFmtId="168" fontId="48" fillId="0" borderId="364" xfId="0" applyNumberFormat="1" applyFont="1" applyBorder="1" applyAlignment="1">
      <alignment horizontal="center"/>
    </xf>
    <xf numFmtId="1" fontId="48" fillId="0" borderId="366" xfId="0" applyNumberFormat="1" applyFont="1" applyBorder="1" applyAlignment="1">
      <alignment horizontal="center"/>
    </xf>
    <xf numFmtId="165" fontId="48" fillId="0" borderId="367" xfId="0" applyNumberFormat="1" applyFont="1" applyBorder="1" applyAlignment="1">
      <alignment horizontal="center"/>
    </xf>
    <xf numFmtId="165" fontId="48" fillId="0" borderId="364" xfId="0" quotePrefix="1" applyNumberFormat="1" applyFont="1" applyBorder="1" applyAlignment="1">
      <alignment horizontal="center"/>
    </xf>
    <xf numFmtId="1" fontId="48" fillId="0" borderId="365" xfId="0" applyNumberFormat="1" applyFont="1" applyBorder="1" applyAlignment="1">
      <alignment horizontal="center"/>
    </xf>
    <xf numFmtId="0" fontId="49" fillId="0" borderId="368" xfId="0" applyFont="1" applyBorder="1" applyAlignment="1">
      <alignment horizontal="center"/>
    </xf>
    <xf numFmtId="1" fontId="49" fillId="0" borderId="351" xfId="0" applyNumberFormat="1" applyFont="1" applyFill="1" applyBorder="1" applyAlignment="1">
      <alignment horizontal="center"/>
    </xf>
    <xf numFmtId="165" fontId="49" fillId="0" borderId="352" xfId="0" applyNumberFormat="1" applyFont="1" applyFill="1" applyBorder="1" applyAlignment="1">
      <alignment horizontal="center"/>
    </xf>
    <xf numFmtId="1" fontId="49" fillId="0" borderId="352" xfId="0" applyNumberFormat="1" applyFont="1" applyFill="1" applyBorder="1" applyAlignment="1">
      <alignment horizontal="center"/>
    </xf>
    <xf numFmtId="1" fontId="49" fillId="0" borderId="353" xfId="0" applyNumberFormat="1" applyFont="1" applyFill="1" applyBorder="1" applyAlignment="1">
      <alignment horizontal="center"/>
    </xf>
    <xf numFmtId="1" fontId="49" fillId="0" borderId="354" xfId="0" applyNumberFormat="1" applyFont="1" applyFill="1" applyBorder="1" applyAlignment="1">
      <alignment horizontal="center"/>
    </xf>
    <xf numFmtId="165" fontId="49" fillId="0" borderId="351" xfId="0" applyNumberFormat="1" applyFont="1" applyFill="1" applyBorder="1" applyAlignment="1">
      <alignment horizontal="center"/>
    </xf>
    <xf numFmtId="165" fontId="49" fillId="0" borderId="355" xfId="0" applyNumberFormat="1" applyFont="1" applyFill="1" applyBorder="1" applyAlignment="1">
      <alignment horizontal="center"/>
    </xf>
    <xf numFmtId="0" fontId="49" fillId="0" borderId="353" xfId="0" applyFont="1" applyFill="1" applyBorder="1" applyAlignment="1">
      <alignment horizontal="center"/>
    </xf>
    <xf numFmtId="0" fontId="49" fillId="0" borderId="356" xfId="0" applyFont="1" applyFill="1" applyBorder="1"/>
    <xf numFmtId="0" fontId="49" fillId="0" borderId="357" xfId="0" applyFont="1" applyFill="1" applyBorder="1" applyAlignment="1">
      <alignment horizontal="center"/>
    </xf>
    <xf numFmtId="0" fontId="49" fillId="0" borderId="358" xfId="0" applyFont="1" applyFill="1" applyBorder="1" applyAlignment="1">
      <alignment horizontal="center"/>
    </xf>
    <xf numFmtId="0" fontId="49" fillId="0" borderId="359" xfId="0" applyFont="1" applyFill="1" applyBorder="1" applyAlignment="1">
      <alignment horizontal="center"/>
    </xf>
    <xf numFmtId="0" fontId="49" fillId="0" borderId="360" xfId="0" applyFont="1" applyFill="1" applyBorder="1" applyAlignment="1">
      <alignment horizontal="center"/>
    </xf>
    <xf numFmtId="165" fontId="49" fillId="0" borderId="357" xfId="0" applyNumberFormat="1" applyFont="1" applyFill="1" applyBorder="1" applyAlignment="1">
      <alignment horizontal="center"/>
    </xf>
    <xf numFmtId="165" fontId="49" fillId="0" borderId="358" xfId="0" applyNumberFormat="1" applyFont="1" applyFill="1" applyBorder="1" applyAlignment="1">
      <alignment horizontal="center"/>
    </xf>
    <xf numFmtId="165" fontId="49" fillId="0" borderId="360" xfId="0" applyNumberFormat="1" applyFont="1" applyFill="1" applyBorder="1" applyAlignment="1">
      <alignment horizontal="center"/>
    </xf>
    <xf numFmtId="165" fontId="49" fillId="0" borderId="361" xfId="0" applyNumberFormat="1" applyFont="1" applyFill="1" applyBorder="1" applyAlignment="1">
      <alignment horizontal="center"/>
    </xf>
    <xf numFmtId="0" fontId="49" fillId="0" borderId="362" xfId="0" applyFont="1" applyFill="1" applyBorder="1"/>
    <xf numFmtId="0" fontId="45" fillId="0" borderId="374" xfId="0" applyFont="1" applyFill="1" applyBorder="1" applyAlignment="1">
      <alignment horizontal="center" vertical="center"/>
    </xf>
    <xf numFmtId="9" fontId="7" fillId="0" borderId="376" xfId="2" applyFont="1" applyBorder="1" applyAlignment="1">
      <alignment horizontal="center"/>
    </xf>
    <xf numFmtId="9" fontId="3" fillId="0" borderId="379" xfId="2" applyFont="1" applyBorder="1" applyAlignment="1">
      <alignment horizontal="center"/>
    </xf>
    <xf numFmtId="167" fontId="3" fillId="3" borderId="350" xfId="0" applyNumberFormat="1" applyFont="1" applyFill="1" applyBorder="1" applyAlignment="1">
      <alignment horizontal="center"/>
    </xf>
    <xf numFmtId="9" fontId="3" fillId="0" borderId="0" xfId="2" applyFont="1" applyBorder="1" applyAlignment="1">
      <alignment horizontal="center"/>
    </xf>
    <xf numFmtId="165" fontId="3" fillId="0" borderId="376" xfId="0" applyNumberFormat="1" applyFont="1" applyBorder="1" applyAlignment="1">
      <alignment horizontal="center"/>
    </xf>
    <xf numFmtId="165" fontId="3" fillId="0" borderId="384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22" fillId="13" borderId="386" xfId="0" applyFont="1" applyFill="1" applyBorder="1"/>
    <xf numFmtId="0" fontId="23" fillId="13" borderId="386" xfId="0" applyFont="1" applyFill="1" applyBorder="1"/>
    <xf numFmtId="44" fontId="23" fillId="13" borderId="386" xfId="3" applyFont="1" applyFill="1" applyBorder="1" applyAlignment="1">
      <alignment horizontal="center"/>
    </xf>
    <xf numFmtId="0" fontId="8" fillId="0" borderId="386" xfId="0" applyFont="1" applyBorder="1"/>
    <xf numFmtId="44" fontId="8" fillId="0" borderId="386" xfId="3" applyFont="1" applyBorder="1"/>
    <xf numFmtId="44" fontId="8" fillId="0" borderId="386" xfId="3" applyFont="1" applyBorder="1" applyAlignment="1">
      <alignment horizontal="center"/>
    </xf>
    <xf numFmtId="0" fontId="22" fillId="13" borderId="386" xfId="0" applyFont="1" applyFill="1" applyBorder="1" applyAlignment="1">
      <alignment vertical="center"/>
    </xf>
    <xf numFmtId="44" fontId="22" fillId="13" borderId="386" xfId="3" applyFont="1" applyFill="1" applyBorder="1" applyAlignment="1">
      <alignment vertical="center"/>
    </xf>
    <xf numFmtId="168" fontId="4" fillId="0" borderId="251" xfId="0" applyNumberFormat="1" applyFont="1" applyBorder="1" applyAlignment="1">
      <alignment horizontal="center"/>
    </xf>
    <xf numFmtId="165" fontId="51" fillId="0" borderId="226" xfId="0" applyNumberFormat="1" applyFont="1" applyFill="1" applyBorder="1" applyAlignment="1">
      <alignment horizontal="center"/>
    </xf>
    <xf numFmtId="0" fontId="51" fillId="0" borderId="223" xfId="0" applyFont="1" applyFill="1" applyBorder="1" applyAlignment="1">
      <alignment horizontal="center"/>
    </xf>
    <xf numFmtId="0" fontId="51" fillId="0" borderId="391" xfId="0" applyFont="1" applyFill="1" applyBorder="1" applyAlignment="1">
      <alignment horizontal="center"/>
    </xf>
    <xf numFmtId="165" fontId="51" fillId="0" borderId="392" xfId="0" applyNumberFormat="1" applyFont="1" applyFill="1" applyBorder="1" applyAlignment="1">
      <alignment horizontal="center"/>
    </xf>
    <xf numFmtId="1" fontId="51" fillId="0" borderId="392" xfId="0" applyNumberFormat="1" applyFont="1" applyFill="1" applyBorder="1" applyAlignment="1">
      <alignment horizontal="center"/>
    </xf>
    <xf numFmtId="1" fontId="51" fillId="0" borderId="393" xfId="0" applyNumberFormat="1" applyFont="1" applyFill="1" applyBorder="1" applyAlignment="1">
      <alignment horizontal="center"/>
    </xf>
    <xf numFmtId="0" fontId="50" fillId="0" borderId="395" xfId="0" applyFont="1" applyFill="1" applyBorder="1" applyAlignment="1">
      <alignment horizontal="center" vertical="center"/>
    </xf>
    <xf numFmtId="0" fontId="51" fillId="0" borderId="396" xfId="0" applyFont="1" applyFill="1" applyBorder="1"/>
    <xf numFmtId="0" fontId="51" fillId="0" borderId="397" xfId="0" applyFont="1" applyFill="1" applyBorder="1"/>
    <xf numFmtId="0" fontId="2" fillId="0" borderId="398" xfId="0" applyFont="1" applyBorder="1" applyAlignment="1">
      <alignment horizontal="center"/>
    </xf>
    <xf numFmtId="0" fontId="2" fillId="0" borderId="399" xfId="0" applyFont="1" applyBorder="1" applyAlignment="1">
      <alignment horizontal="center"/>
    </xf>
    <xf numFmtId="0" fontId="51" fillId="0" borderId="402" xfId="0" applyFont="1" applyFill="1" applyBorder="1" applyAlignment="1">
      <alignment horizontal="center"/>
    </xf>
    <xf numFmtId="165" fontId="51" fillId="0" borderId="403" xfId="0" applyNumberFormat="1" applyFont="1" applyFill="1" applyBorder="1" applyAlignment="1">
      <alignment horizontal="center"/>
    </xf>
    <xf numFmtId="0" fontId="51" fillId="0" borderId="404" xfId="0" applyFont="1" applyFill="1" applyBorder="1" applyAlignment="1">
      <alignment horizontal="center"/>
    </xf>
    <xf numFmtId="165" fontId="51" fillId="0" borderId="405" xfId="0" applyNumberFormat="1" applyFont="1" applyFill="1" applyBorder="1" applyAlignment="1">
      <alignment horizontal="center"/>
    </xf>
    <xf numFmtId="1" fontId="4" fillId="0" borderId="406" xfId="0" applyNumberFormat="1" applyFont="1" applyBorder="1" applyAlignment="1">
      <alignment horizontal="center"/>
    </xf>
    <xf numFmtId="165" fontId="4" fillId="0" borderId="407" xfId="0" applyNumberFormat="1" applyFont="1" applyBorder="1" applyAlignment="1">
      <alignment horizontal="center"/>
    </xf>
    <xf numFmtId="1" fontId="4" fillId="0" borderId="408" xfId="0" applyNumberFormat="1" applyFont="1" applyBorder="1" applyAlignment="1">
      <alignment horizontal="center"/>
    </xf>
    <xf numFmtId="165" fontId="4" fillId="0" borderId="409" xfId="0" applyNumberFormat="1" applyFont="1" applyBorder="1" applyAlignment="1">
      <alignment horizontal="center"/>
    </xf>
    <xf numFmtId="1" fontId="4" fillId="0" borderId="410" xfId="0" applyNumberFormat="1" applyFont="1" applyBorder="1" applyAlignment="1">
      <alignment horizontal="center"/>
    </xf>
    <xf numFmtId="0" fontId="2" fillId="0" borderId="411" xfId="0" applyFont="1" applyBorder="1" applyAlignment="1">
      <alignment horizontal="center"/>
    </xf>
    <xf numFmtId="1" fontId="4" fillId="0" borderId="412" xfId="0" applyNumberFormat="1" applyFont="1" applyBorder="1" applyAlignment="1">
      <alignment horizontal="center"/>
    </xf>
    <xf numFmtId="168" fontId="4" fillId="0" borderId="223" xfId="0" applyNumberFormat="1" applyFont="1" applyBorder="1" applyAlignment="1">
      <alignment horizontal="center"/>
    </xf>
    <xf numFmtId="165" fontId="4" fillId="0" borderId="391" xfId="0" applyNumberFormat="1" applyFont="1" applyBorder="1" applyAlignment="1">
      <alignment horizontal="center"/>
    </xf>
    <xf numFmtId="0" fontId="51" fillId="0" borderId="284" xfId="0" applyFont="1" applyFill="1" applyBorder="1" applyAlignment="1">
      <alignment horizontal="center"/>
    </xf>
    <xf numFmtId="1" fontId="51" fillId="0" borderId="394" xfId="0" applyNumberFormat="1" applyFont="1" applyFill="1" applyBorder="1" applyAlignment="1">
      <alignment horizontal="center"/>
    </xf>
    <xf numFmtId="0" fontId="51" fillId="0" borderId="412" xfId="0" applyFont="1" applyFill="1" applyBorder="1" applyAlignment="1">
      <alignment horizontal="center"/>
    </xf>
    <xf numFmtId="1" fontId="51" fillId="0" borderId="404" xfId="0" applyNumberFormat="1" applyFont="1" applyFill="1" applyBorder="1" applyAlignment="1">
      <alignment horizontal="center"/>
    </xf>
    <xf numFmtId="0" fontId="3" fillId="0" borderId="408" xfId="0" applyFont="1" applyFill="1" applyBorder="1" applyAlignment="1">
      <alignment horizontal="center"/>
    </xf>
    <xf numFmtId="0" fontId="3" fillId="3" borderId="409" xfId="0" applyFont="1" applyFill="1" applyBorder="1" applyAlignment="1">
      <alignment horizontal="center"/>
    </xf>
    <xf numFmtId="0" fontId="51" fillId="0" borderId="321" xfId="0" applyFont="1" applyFill="1" applyBorder="1" applyAlignment="1">
      <alignment horizontal="center"/>
    </xf>
    <xf numFmtId="1" fontId="51" fillId="0" borderId="421" xfId="0" applyNumberFormat="1" applyFont="1" applyFill="1" applyBorder="1" applyAlignment="1">
      <alignment horizontal="center"/>
    </xf>
    <xf numFmtId="165" fontId="3" fillId="0" borderId="423" xfId="0" applyNumberFormat="1" applyFont="1" applyBorder="1" applyAlignment="1">
      <alignment horizontal="center"/>
    </xf>
    <xf numFmtId="9" fontId="7" fillId="0" borderId="421" xfId="2" applyFont="1" applyBorder="1" applyAlignment="1">
      <alignment horizontal="center"/>
    </xf>
    <xf numFmtId="9" fontId="3" fillId="0" borderId="417" xfId="2" applyFont="1" applyBorder="1" applyAlignment="1">
      <alignment horizontal="center"/>
    </xf>
    <xf numFmtId="165" fontId="3" fillId="0" borderId="421" xfId="0" applyNumberFormat="1" applyFont="1" applyBorder="1" applyAlignment="1">
      <alignment horizontal="center"/>
    </xf>
    <xf numFmtId="0" fontId="50" fillId="0" borderId="387" xfId="0" applyFont="1" applyFill="1" applyBorder="1" applyAlignment="1">
      <alignment vertical="center"/>
    </xf>
    <xf numFmtId="1" fontId="52" fillId="0" borderId="413" xfId="0" applyNumberFormat="1" applyFont="1" applyFill="1" applyBorder="1" applyAlignment="1">
      <alignment horizontal="center" vertical="center"/>
    </xf>
    <xf numFmtId="165" fontId="52" fillId="0" borderId="414" xfId="0" applyNumberFormat="1" applyFont="1" applyFill="1" applyBorder="1" applyAlignment="1">
      <alignment horizontal="center" vertical="center"/>
    </xf>
    <xf numFmtId="165" fontId="52" fillId="0" borderId="415" xfId="0" applyNumberFormat="1" applyFont="1" applyFill="1" applyBorder="1" applyAlignment="1">
      <alignment horizontal="center" vertical="center"/>
    </xf>
    <xf numFmtId="3" fontId="50" fillId="0" borderId="413" xfId="0" applyNumberFormat="1" applyFont="1" applyFill="1" applyBorder="1" applyAlignment="1">
      <alignment horizontal="center" vertical="center"/>
    </xf>
    <xf numFmtId="3" fontId="50" fillId="0" borderId="414" xfId="0" applyNumberFormat="1" applyFont="1" applyFill="1" applyBorder="1" applyAlignment="1">
      <alignment horizontal="center" vertical="center"/>
    </xf>
    <xf numFmtId="3" fontId="50" fillId="0" borderId="415" xfId="0" applyNumberFormat="1" applyFont="1" applyFill="1" applyBorder="1" applyAlignment="1">
      <alignment horizontal="center" vertical="center"/>
    </xf>
    <xf numFmtId="3" fontId="50" fillId="0" borderId="416" xfId="0" applyNumberFormat="1" applyFont="1" applyFill="1" applyBorder="1" applyAlignment="1">
      <alignment horizontal="center" vertical="center"/>
    </xf>
    <xf numFmtId="3" fontId="50" fillId="0" borderId="417" xfId="0" applyNumberFormat="1" applyFont="1" applyFill="1" applyBorder="1" applyAlignment="1">
      <alignment horizontal="center" vertical="center"/>
    </xf>
    <xf numFmtId="167" fontId="3" fillId="3" borderId="387" xfId="0" applyNumberFormat="1" applyFont="1" applyFill="1" applyBorder="1" applyAlignment="1">
      <alignment horizontal="center"/>
    </xf>
    <xf numFmtId="169" fontId="7" fillId="3" borderId="387" xfId="1" applyNumberFormat="1" applyFont="1" applyFill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2" fillId="0" borderId="429" xfId="0" applyFont="1" applyBorder="1" applyAlignment="1">
      <alignment horizontal="center"/>
    </xf>
    <xf numFmtId="0" fontId="2" fillId="0" borderId="430" xfId="0" applyFont="1" applyBorder="1" applyAlignment="1">
      <alignment horizontal="center"/>
    </xf>
    <xf numFmtId="0" fontId="40" fillId="0" borderId="321" xfId="0" applyFont="1" applyFill="1" applyBorder="1" applyAlignment="1">
      <alignment horizontal="center"/>
    </xf>
    <xf numFmtId="1" fontId="40" fillId="0" borderId="189" xfId="0" applyNumberFormat="1" applyFont="1" applyFill="1" applyBorder="1" applyAlignment="1">
      <alignment horizontal="center"/>
    </xf>
    <xf numFmtId="0" fontId="3" fillId="0" borderId="212" xfId="0" applyFont="1" applyFill="1" applyBorder="1" applyAlignment="1">
      <alignment horizontal="center"/>
    </xf>
    <xf numFmtId="0" fontId="3" fillId="0" borderId="198" xfId="0" applyFont="1" applyFill="1" applyBorder="1" applyAlignment="1">
      <alignment horizontal="center"/>
    </xf>
    <xf numFmtId="3" fontId="36" fillId="0" borderId="217" xfId="0" applyNumberFormat="1" applyFont="1" applyFill="1" applyBorder="1" applyAlignment="1">
      <alignment horizontal="center" vertical="center"/>
    </xf>
    <xf numFmtId="3" fontId="36" fillId="0" borderId="216" xfId="0" applyNumberFormat="1" applyFont="1" applyFill="1" applyBorder="1" applyAlignment="1">
      <alignment horizontal="center" vertical="center"/>
    </xf>
    <xf numFmtId="0" fontId="40" fillId="0" borderId="435" xfId="0" applyFont="1" applyFill="1" applyBorder="1" applyAlignment="1">
      <alignment horizontal="center"/>
    </xf>
    <xf numFmtId="0" fontId="40" fillId="0" borderId="436" xfId="0" applyFont="1" applyFill="1" applyBorder="1" applyAlignment="1">
      <alignment horizontal="center"/>
    </xf>
    <xf numFmtId="1" fontId="40" fillId="0" borderId="437" xfId="0" applyNumberFormat="1" applyFont="1" applyFill="1" applyBorder="1" applyAlignment="1">
      <alignment horizontal="center"/>
    </xf>
    <xf numFmtId="1" fontId="40" fillId="0" borderId="438" xfId="0" applyNumberFormat="1" applyFont="1" applyFill="1" applyBorder="1" applyAlignment="1">
      <alignment horizontal="center"/>
    </xf>
    <xf numFmtId="0" fontId="3" fillId="0" borderId="439" xfId="0" applyFont="1" applyFill="1" applyBorder="1" applyAlignment="1">
      <alignment horizontal="center"/>
    </xf>
    <xf numFmtId="0" fontId="3" fillId="0" borderId="440" xfId="0" applyFont="1" applyFill="1" applyBorder="1" applyAlignment="1">
      <alignment horizontal="center"/>
    </xf>
    <xf numFmtId="0" fontId="3" fillId="0" borderId="441" xfId="0" applyFont="1" applyFill="1" applyBorder="1" applyAlignment="1">
      <alignment horizontal="center"/>
    </xf>
    <xf numFmtId="0" fontId="3" fillId="0" borderId="442" xfId="0" applyFont="1" applyFill="1" applyBorder="1" applyAlignment="1">
      <alignment horizontal="center"/>
    </xf>
    <xf numFmtId="0" fontId="3" fillId="0" borderId="443" xfId="0" applyFont="1" applyFill="1" applyBorder="1" applyAlignment="1">
      <alignment horizontal="center"/>
    </xf>
    <xf numFmtId="0" fontId="3" fillId="3" borderId="210" xfId="0" applyFont="1" applyFill="1" applyBorder="1" applyAlignment="1">
      <alignment horizontal="center"/>
    </xf>
    <xf numFmtId="0" fontId="3" fillId="3" borderId="194" xfId="0" applyFont="1" applyFill="1" applyBorder="1" applyAlignment="1">
      <alignment horizontal="center"/>
    </xf>
    <xf numFmtId="0" fontId="3" fillId="15" borderId="407" xfId="0" applyFont="1" applyFill="1" applyBorder="1" applyAlignment="1">
      <alignment horizontal="center"/>
    </xf>
    <xf numFmtId="1" fontId="4" fillId="0" borderId="444" xfId="0" applyNumberFormat="1" applyFont="1" applyBorder="1" applyAlignment="1">
      <alignment horizontal="center"/>
    </xf>
    <xf numFmtId="0" fontId="22" fillId="16" borderId="346" xfId="0" applyFont="1" applyFill="1" applyBorder="1"/>
    <xf numFmtId="0" fontId="23" fillId="16" borderId="346" xfId="0" applyFont="1" applyFill="1" applyBorder="1"/>
    <xf numFmtId="44" fontId="23" fillId="16" borderId="346" xfId="3" applyFont="1" applyFill="1" applyBorder="1" applyAlignment="1">
      <alignment horizontal="center" wrapText="1"/>
    </xf>
    <xf numFmtId="44" fontId="23" fillId="16" borderId="346" xfId="3" applyFont="1" applyFill="1" applyBorder="1" applyAlignment="1">
      <alignment horizontal="center"/>
    </xf>
    <xf numFmtId="0" fontId="22" fillId="16" borderId="346" xfId="0" applyFont="1" applyFill="1" applyBorder="1" applyAlignment="1">
      <alignment vertical="center"/>
    </xf>
    <xf numFmtId="44" fontId="22" fillId="16" borderId="348" xfId="3" applyFont="1" applyFill="1" applyBorder="1" applyAlignment="1">
      <alignment vertical="center"/>
    </xf>
    <xf numFmtId="44" fontId="22" fillId="16" borderId="346" xfId="3" applyFont="1" applyFill="1" applyBorder="1" applyAlignment="1">
      <alignment vertical="center"/>
    </xf>
    <xf numFmtId="44" fontId="22" fillId="16" borderId="346" xfId="3" applyNumberFormat="1" applyFont="1" applyFill="1" applyBorder="1" applyAlignment="1">
      <alignment vertical="center"/>
    </xf>
    <xf numFmtId="0" fontId="49" fillId="0" borderId="450" xfId="0" applyFont="1" applyFill="1" applyBorder="1" applyAlignment="1">
      <alignment horizontal="center"/>
    </xf>
    <xf numFmtId="0" fontId="47" fillId="3" borderId="450" xfId="0" applyFont="1" applyFill="1" applyBorder="1" applyAlignment="1">
      <alignment horizontal="center"/>
    </xf>
    <xf numFmtId="165" fontId="46" fillId="0" borderId="453" xfId="0" applyNumberFormat="1" applyFont="1" applyFill="1" applyBorder="1" applyAlignment="1">
      <alignment horizontal="center" vertical="center"/>
    </xf>
    <xf numFmtId="3" fontId="45" fillId="0" borderId="453" xfId="0" applyNumberFormat="1" applyFont="1" applyFill="1" applyBorder="1" applyAlignment="1">
      <alignment horizontal="center" vertical="center"/>
    </xf>
    <xf numFmtId="3" fontId="45" fillId="0" borderId="452" xfId="0" applyNumberFormat="1" applyFont="1" applyFill="1" applyBorder="1" applyAlignment="1">
      <alignment horizontal="center" vertical="center"/>
    </xf>
    <xf numFmtId="3" fontId="45" fillId="0" borderId="455" xfId="0" applyNumberFormat="1" applyFont="1" applyFill="1" applyBorder="1" applyAlignment="1">
      <alignment horizontal="center" vertical="center"/>
    </xf>
    <xf numFmtId="165" fontId="49" fillId="0" borderId="453" xfId="0" applyNumberFormat="1" applyFont="1" applyFill="1" applyBorder="1" applyAlignment="1">
      <alignment horizontal="center"/>
    </xf>
    <xf numFmtId="1" fontId="49" fillId="0" borderId="453" xfId="0" applyNumberFormat="1" applyFont="1" applyFill="1" applyBorder="1" applyAlignment="1">
      <alignment horizontal="center"/>
    </xf>
    <xf numFmtId="1" fontId="49" fillId="0" borderId="452" xfId="0" applyNumberFormat="1" applyFont="1" applyFill="1" applyBorder="1" applyAlignment="1">
      <alignment horizontal="center"/>
    </xf>
    <xf numFmtId="1" fontId="49" fillId="0" borderId="455" xfId="0" applyNumberFormat="1" applyFont="1" applyFill="1" applyBorder="1" applyAlignment="1">
      <alignment horizontal="center"/>
    </xf>
    <xf numFmtId="0" fontId="45" fillId="0" borderId="456" xfId="0" applyFont="1" applyFill="1" applyBorder="1" applyAlignment="1">
      <alignment horizontal="center" vertical="center"/>
    </xf>
    <xf numFmtId="0" fontId="49" fillId="0" borderId="457" xfId="0" applyFont="1" applyFill="1" applyBorder="1"/>
    <xf numFmtId="0" fontId="49" fillId="0" borderId="458" xfId="0" applyFont="1" applyFill="1" applyBorder="1"/>
    <xf numFmtId="0" fontId="49" fillId="0" borderId="459" xfId="0" applyFont="1" applyBorder="1" applyAlignment="1">
      <alignment horizontal="center"/>
    </xf>
    <xf numFmtId="0" fontId="49" fillId="0" borderId="457" xfId="0" applyFont="1" applyBorder="1" applyAlignment="1">
      <alignment horizontal="center"/>
    </xf>
    <xf numFmtId="0" fontId="45" fillId="0" borderId="458" xfId="0" applyFont="1" applyFill="1" applyBorder="1" applyAlignment="1">
      <alignment vertical="center"/>
    </xf>
    <xf numFmtId="0" fontId="49" fillId="0" borderId="461" xfId="0" applyFont="1" applyFill="1" applyBorder="1" applyAlignment="1">
      <alignment horizontal="center"/>
    </xf>
    <xf numFmtId="165" fontId="49" fillId="0" borderId="450" xfId="0" applyNumberFormat="1" applyFont="1" applyFill="1" applyBorder="1" applyAlignment="1">
      <alignment horizontal="center"/>
    </xf>
    <xf numFmtId="0" fontId="49" fillId="0" borderId="462" xfId="0" applyFont="1" applyFill="1" applyBorder="1" applyAlignment="1">
      <alignment horizontal="center"/>
    </xf>
    <xf numFmtId="165" fontId="49" fillId="0" borderId="455" xfId="0" applyNumberFormat="1" applyFont="1" applyFill="1" applyBorder="1" applyAlignment="1">
      <alignment horizontal="center"/>
    </xf>
    <xf numFmtId="1" fontId="48" fillId="0" borderId="463" xfId="0" applyNumberFormat="1" applyFont="1" applyBorder="1" applyAlignment="1">
      <alignment horizontal="center"/>
    </xf>
    <xf numFmtId="165" fontId="48" fillId="0" borderId="451" xfId="0" applyNumberFormat="1" applyFont="1" applyBorder="1" applyAlignment="1">
      <alignment horizontal="center"/>
    </xf>
    <xf numFmtId="1" fontId="48" fillId="0" borderId="461" xfId="0" applyNumberFormat="1" applyFont="1" applyBorder="1" applyAlignment="1">
      <alignment horizontal="center"/>
    </xf>
    <xf numFmtId="165" fontId="48" fillId="0" borderId="450" xfId="0" applyNumberFormat="1" applyFont="1" applyBorder="1" applyAlignment="1">
      <alignment horizontal="center"/>
    </xf>
    <xf numFmtId="1" fontId="46" fillId="0" borderId="462" xfId="0" applyNumberFormat="1" applyFont="1" applyFill="1" applyBorder="1" applyAlignment="1">
      <alignment horizontal="center" vertical="center"/>
    </xf>
    <xf numFmtId="165" fontId="46" fillId="0" borderId="455" xfId="0" applyNumberFormat="1" applyFont="1" applyFill="1" applyBorder="1" applyAlignment="1">
      <alignment horizontal="center" vertical="center"/>
    </xf>
    <xf numFmtId="165" fontId="49" fillId="0" borderId="461" xfId="0" applyNumberFormat="1" applyFont="1" applyFill="1" applyBorder="1" applyAlignment="1">
      <alignment horizontal="center"/>
    </xf>
    <xf numFmtId="1" fontId="49" fillId="0" borderId="462" xfId="0" applyNumberFormat="1" applyFont="1" applyFill="1" applyBorder="1" applyAlignment="1">
      <alignment horizontal="center"/>
    </xf>
    <xf numFmtId="0" fontId="47" fillId="0" borderId="461" xfId="0" applyFont="1" applyFill="1" applyBorder="1" applyAlignment="1">
      <alignment horizontal="center"/>
    </xf>
    <xf numFmtId="3" fontId="45" fillId="0" borderId="462" xfId="0" applyNumberFormat="1" applyFont="1" applyFill="1" applyBorder="1" applyAlignment="1">
      <alignment horizontal="center" vertical="center"/>
    </xf>
    <xf numFmtId="0" fontId="49" fillId="0" borderId="361" xfId="0" applyFont="1" applyFill="1" applyBorder="1" applyAlignment="1">
      <alignment horizontal="center"/>
    </xf>
    <xf numFmtId="1" fontId="49" fillId="0" borderId="454" xfId="0" applyNumberFormat="1" applyFont="1" applyFill="1" applyBorder="1" applyAlignment="1">
      <alignment horizontal="center"/>
    </xf>
    <xf numFmtId="0" fontId="47" fillId="3" borderId="361" xfId="0" applyFont="1" applyFill="1" applyBorder="1" applyAlignment="1">
      <alignment horizontal="center"/>
    </xf>
    <xf numFmtId="3" fontId="45" fillId="0" borderId="454" xfId="0" applyNumberFormat="1" applyFont="1" applyFill="1" applyBorder="1" applyAlignment="1">
      <alignment horizontal="center" vertical="center"/>
    </xf>
    <xf numFmtId="165" fontId="3" fillId="0" borderId="465" xfId="0" applyNumberFormat="1" applyFont="1" applyBorder="1" applyAlignment="1">
      <alignment horizontal="center"/>
    </xf>
    <xf numFmtId="9" fontId="7" fillId="0" borderId="470" xfId="2" applyFont="1" applyBorder="1" applyAlignment="1">
      <alignment horizontal="center"/>
    </xf>
    <xf numFmtId="167" fontId="3" fillId="3" borderId="445" xfId="0" applyNumberFormat="1" applyFont="1" applyFill="1" applyBorder="1" applyAlignment="1">
      <alignment horizontal="center"/>
    </xf>
    <xf numFmtId="165" fontId="3" fillId="0" borderId="470" xfId="0" applyNumberFormat="1" applyFont="1" applyBorder="1" applyAlignment="1">
      <alignment horizontal="center"/>
    </xf>
    <xf numFmtId="9" fontId="3" fillId="0" borderId="465" xfId="2" applyFont="1" applyBorder="1" applyAlignment="1">
      <alignment horizontal="center"/>
    </xf>
    <xf numFmtId="9" fontId="3" fillId="0" borderId="473" xfId="2" applyFont="1" applyBorder="1" applyAlignment="1">
      <alignment horizontal="center"/>
    </xf>
    <xf numFmtId="0" fontId="47" fillId="14" borderId="365" xfId="0" applyFont="1" applyFill="1" applyBorder="1" applyAlignment="1">
      <alignment horizontal="center"/>
    </xf>
    <xf numFmtId="0" fontId="47" fillId="14" borderId="364" xfId="0" applyFont="1" applyFill="1" applyBorder="1" applyAlignment="1">
      <alignment horizontal="center"/>
    </xf>
    <xf numFmtId="0" fontId="47" fillId="14" borderId="367" xfId="0" applyFont="1" applyFill="1" applyBorder="1" applyAlignment="1">
      <alignment horizontal="center"/>
    </xf>
    <xf numFmtId="0" fontId="47" fillId="14" borderId="463" xfId="0" applyFont="1" applyFill="1" applyBorder="1" applyAlignment="1">
      <alignment horizontal="center"/>
    </xf>
    <xf numFmtId="0" fontId="47" fillId="14" borderId="451" xfId="0" applyFont="1" applyFill="1" applyBorder="1" applyAlignment="1">
      <alignment horizontal="center"/>
    </xf>
    <xf numFmtId="0" fontId="47" fillId="14" borderId="359" xfId="0" applyFont="1" applyFill="1" applyBorder="1" applyAlignment="1">
      <alignment horizontal="center"/>
    </xf>
    <xf numFmtId="0" fontId="47" fillId="14" borderId="358" xfId="0" applyFont="1" applyFill="1" applyBorder="1" applyAlignment="1">
      <alignment horizontal="center"/>
    </xf>
    <xf numFmtId="0" fontId="47" fillId="14" borderId="361" xfId="0" applyFont="1" applyFill="1" applyBorder="1" applyAlignment="1">
      <alignment horizontal="center"/>
    </xf>
    <xf numFmtId="0" fontId="47" fillId="14" borderId="461" xfId="0" applyFont="1" applyFill="1" applyBorder="1" applyAlignment="1">
      <alignment horizontal="center"/>
    </xf>
    <xf numFmtId="0" fontId="47" fillId="14" borderId="450" xfId="0" applyFont="1" applyFill="1" applyBorder="1" applyAlignment="1">
      <alignment horizontal="center"/>
    </xf>
    <xf numFmtId="0" fontId="22" fillId="17" borderId="346" xfId="0" applyFont="1" applyFill="1" applyBorder="1"/>
    <xf numFmtId="0" fontId="23" fillId="17" borderId="346" xfId="0" applyFont="1" applyFill="1" applyBorder="1"/>
    <xf numFmtId="44" fontId="23" fillId="17" borderId="346" xfId="3" applyFont="1" applyFill="1" applyBorder="1" applyAlignment="1">
      <alignment horizontal="center" wrapText="1"/>
    </xf>
    <xf numFmtId="44" fontId="23" fillId="17" borderId="346" xfId="3" applyFont="1" applyFill="1" applyBorder="1" applyAlignment="1">
      <alignment horizontal="center"/>
    </xf>
    <xf numFmtId="0" fontId="22" fillId="17" borderId="346" xfId="0" applyFont="1" applyFill="1" applyBorder="1" applyAlignment="1">
      <alignment vertical="center"/>
    </xf>
    <xf numFmtId="44" fontId="22" fillId="17" borderId="348" xfId="3" applyFont="1" applyFill="1" applyBorder="1" applyAlignment="1">
      <alignment vertical="center"/>
    </xf>
    <xf numFmtId="44" fontId="22" fillId="17" borderId="346" xfId="3" applyFont="1" applyFill="1" applyBorder="1" applyAlignment="1">
      <alignment vertical="center"/>
    </xf>
    <xf numFmtId="44" fontId="22" fillId="17" borderId="346" xfId="3" applyNumberFormat="1" applyFont="1" applyFill="1" applyBorder="1" applyAlignment="1">
      <alignment vertical="center"/>
    </xf>
    <xf numFmtId="165" fontId="1" fillId="0" borderId="475" xfId="0" applyNumberFormat="1" applyFont="1" applyBorder="1" applyAlignment="1">
      <alignment horizontal="center"/>
    </xf>
    <xf numFmtId="0" fontId="45" fillId="0" borderId="477" xfId="0" applyFont="1" applyFill="1" applyBorder="1" applyAlignment="1">
      <alignment horizontal="center" vertical="center"/>
    </xf>
    <xf numFmtId="0" fontId="49" fillId="0" borderId="478" xfId="0" applyFont="1" applyFill="1" applyBorder="1"/>
    <xf numFmtId="0" fontId="49" fillId="0" borderId="479" xfId="0" applyFont="1" applyFill="1" applyBorder="1"/>
    <xf numFmtId="0" fontId="49" fillId="0" borderId="477" xfId="0" applyFont="1" applyBorder="1" applyAlignment="1">
      <alignment horizontal="center"/>
    </xf>
    <xf numFmtId="0" fontId="49" fillId="0" borderId="478" xfId="0" applyFont="1" applyBorder="1" applyAlignment="1">
      <alignment horizontal="center"/>
    </xf>
    <xf numFmtId="0" fontId="45" fillId="0" borderId="479" xfId="0" applyFont="1" applyFill="1" applyBorder="1" applyAlignment="1">
      <alignment vertical="center"/>
    </xf>
    <xf numFmtId="0" fontId="49" fillId="0" borderId="483" xfId="0" applyFont="1" applyFill="1" applyBorder="1" applyAlignment="1">
      <alignment horizontal="center"/>
    </xf>
    <xf numFmtId="165" fontId="49" fillId="0" borderId="484" xfId="0" applyNumberFormat="1" applyFont="1" applyFill="1" applyBorder="1" applyAlignment="1">
      <alignment horizontal="center"/>
    </xf>
    <xf numFmtId="0" fontId="49" fillId="0" borderId="485" xfId="0" applyFont="1" applyFill="1" applyBorder="1" applyAlignment="1">
      <alignment horizontal="center"/>
    </xf>
    <xf numFmtId="165" fontId="49" fillId="0" borderId="486" xfId="0" applyNumberFormat="1" applyFont="1" applyFill="1" applyBorder="1" applyAlignment="1">
      <alignment horizontal="center"/>
    </xf>
    <xf numFmtId="165" fontId="49" fillId="0" borderId="487" xfId="0" applyNumberFormat="1" applyFont="1" applyFill="1" applyBorder="1" applyAlignment="1">
      <alignment horizontal="center"/>
    </xf>
    <xf numFmtId="1" fontId="48" fillId="0" borderId="488" xfId="0" applyNumberFormat="1" applyFont="1" applyBorder="1" applyAlignment="1">
      <alignment horizontal="center"/>
    </xf>
    <xf numFmtId="165" fontId="48" fillId="0" borderId="489" xfId="0" applyNumberFormat="1" applyFont="1" applyBorder="1" applyAlignment="1">
      <alignment horizontal="center"/>
    </xf>
    <xf numFmtId="1" fontId="48" fillId="0" borderId="483" xfId="0" applyNumberFormat="1" applyFont="1" applyBorder="1" applyAlignment="1">
      <alignment horizontal="center"/>
    </xf>
    <xf numFmtId="165" fontId="48" fillId="0" borderId="484" xfId="0" applyNumberFormat="1" applyFont="1" applyBorder="1" applyAlignment="1">
      <alignment horizontal="center"/>
    </xf>
    <xf numFmtId="1" fontId="46" fillId="0" borderId="485" xfId="0" applyNumberFormat="1" applyFont="1" applyFill="1" applyBorder="1" applyAlignment="1">
      <alignment horizontal="center" vertical="center"/>
    </xf>
    <xf numFmtId="165" fontId="46" fillId="0" borderId="486" xfId="0" applyNumberFormat="1" applyFont="1" applyFill="1" applyBorder="1" applyAlignment="1">
      <alignment horizontal="center" vertical="center"/>
    </xf>
    <xf numFmtId="165" fontId="46" fillId="0" borderId="487" xfId="0" applyNumberFormat="1" applyFont="1" applyFill="1" applyBorder="1" applyAlignment="1">
      <alignment horizontal="center" vertical="center"/>
    </xf>
    <xf numFmtId="0" fontId="49" fillId="0" borderId="484" xfId="0" applyFont="1" applyFill="1" applyBorder="1" applyAlignment="1">
      <alignment horizontal="center"/>
    </xf>
    <xf numFmtId="0" fontId="47" fillId="14" borderId="488" xfId="0" applyFont="1" applyFill="1" applyBorder="1" applyAlignment="1">
      <alignment horizontal="center"/>
    </xf>
    <xf numFmtId="0" fontId="47" fillId="14" borderId="489" xfId="0" applyFont="1" applyFill="1" applyBorder="1" applyAlignment="1">
      <alignment horizontal="center"/>
    </xf>
    <xf numFmtId="0" fontId="47" fillId="14" borderId="483" xfId="0" applyFont="1" applyFill="1" applyBorder="1" applyAlignment="1">
      <alignment horizontal="center"/>
    </xf>
    <xf numFmtId="0" fontId="47" fillId="14" borderId="484" xfId="0" applyFont="1" applyFill="1" applyBorder="1" applyAlignment="1">
      <alignment horizontal="center"/>
    </xf>
    <xf numFmtId="0" fontId="47" fillId="0" borderId="483" xfId="0" applyFont="1" applyFill="1" applyBorder="1" applyAlignment="1">
      <alignment horizontal="center"/>
    </xf>
    <xf numFmtId="0" fontId="47" fillId="3" borderId="484" xfId="0" applyFont="1" applyFill="1" applyBorder="1" applyAlignment="1">
      <alignment horizontal="center"/>
    </xf>
    <xf numFmtId="3" fontId="45" fillId="0" borderId="485" xfId="0" applyNumberFormat="1" applyFont="1" applyFill="1" applyBorder="1" applyAlignment="1">
      <alignment horizontal="center" vertical="center"/>
    </xf>
    <xf numFmtId="3" fontId="45" fillId="0" borderId="486" xfId="0" applyNumberFormat="1" applyFont="1" applyFill="1" applyBorder="1" applyAlignment="1">
      <alignment horizontal="center" vertical="center"/>
    </xf>
    <xf numFmtId="3" fontId="45" fillId="0" borderId="487" xfId="0" applyNumberFormat="1" applyFont="1" applyFill="1" applyBorder="1" applyAlignment="1">
      <alignment horizontal="center" vertical="center"/>
    </xf>
    <xf numFmtId="165" fontId="3" fillId="0" borderId="491" xfId="0" applyNumberFormat="1" applyFont="1" applyBorder="1" applyAlignment="1">
      <alignment horizontal="center"/>
    </xf>
    <xf numFmtId="165" fontId="3" fillId="0" borderId="496" xfId="0" applyNumberFormat="1" applyFont="1" applyBorder="1" applyAlignment="1">
      <alignment horizontal="center"/>
    </xf>
    <xf numFmtId="9" fontId="3" fillId="0" borderId="491" xfId="2" applyFont="1" applyBorder="1" applyAlignment="1">
      <alignment horizontal="center"/>
    </xf>
    <xf numFmtId="9" fontId="3" fillId="0" borderId="499" xfId="2" applyFont="1" applyBorder="1" applyAlignment="1">
      <alignment horizontal="center"/>
    </xf>
    <xf numFmtId="9" fontId="7" fillId="0" borderId="499" xfId="2" applyFont="1" applyBorder="1" applyAlignment="1">
      <alignment horizontal="center"/>
    </xf>
    <xf numFmtId="167" fontId="3" fillId="3" borderId="476" xfId="0" applyNumberFormat="1" applyFont="1" applyFill="1" applyBorder="1" applyAlignment="1">
      <alignment horizontal="center"/>
    </xf>
    <xf numFmtId="1" fontId="49" fillId="0" borderId="485" xfId="0" applyNumberFormat="1" applyFont="1" applyFill="1" applyBorder="1" applyAlignment="1">
      <alignment horizontal="center"/>
    </xf>
    <xf numFmtId="1" fontId="49" fillId="0" borderId="486" xfId="0" applyNumberFormat="1" applyFont="1" applyFill="1" applyBorder="1" applyAlignment="1">
      <alignment horizontal="center"/>
    </xf>
    <xf numFmtId="1" fontId="49" fillId="0" borderId="487" xfId="0" applyNumberFormat="1" applyFont="1" applyFill="1" applyBorder="1" applyAlignment="1">
      <alignment horizontal="center"/>
    </xf>
    <xf numFmtId="0" fontId="54" fillId="0" borderId="0" xfId="0" applyFont="1"/>
    <xf numFmtId="44" fontId="0" fillId="0" borderId="0" xfId="0" applyNumberFormat="1"/>
    <xf numFmtId="0" fontId="56" fillId="0" borderId="0" xfId="4" applyFont="1" applyAlignment="1">
      <alignment horizontal="center"/>
    </xf>
    <xf numFmtId="0" fontId="5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Fill="1" applyBorder="1" applyAlignment="1"/>
    <xf numFmtId="165" fontId="3" fillId="0" borderId="48" xfId="0" applyNumberFormat="1" applyFont="1" applyBorder="1" applyAlignment="1">
      <alignment horizontal="center"/>
    </xf>
    <xf numFmtId="165" fontId="3" fillId="0" borderId="49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58" fillId="0" borderId="0" xfId="0" applyFont="1" applyAlignment="1">
      <alignment horizontal="center" wrapText="1"/>
    </xf>
    <xf numFmtId="0" fontId="58" fillId="0" borderId="0" xfId="0" applyFont="1" applyBorder="1" applyAlignment="1">
      <alignment horizontal="center" wrapText="1"/>
    </xf>
    <xf numFmtId="0" fontId="1" fillId="0" borderId="502" xfId="0" applyFont="1" applyBorder="1"/>
    <xf numFmtId="0" fontId="1" fillId="0" borderId="503" xfId="0" applyFont="1" applyBorder="1"/>
    <xf numFmtId="170" fontId="1" fillId="0" borderId="503" xfId="0" applyNumberFormat="1" applyFont="1" applyBorder="1"/>
    <xf numFmtId="9" fontId="1" fillId="0" borderId="503" xfId="3" applyNumberFormat="1" applyFont="1" applyBorder="1" applyAlignment="1">
      <alignment horizontal="center"/>
    </xf>
    <xf numFmtId="9" fontId="2" fillId="0" borderId="503" xfId="3" applyNumberFormat="1" applyFont="1" applyBorder="1" applyAlignment="1">
      <alignment horizontal="center"/>
    </xf>
    <xf numFmtId="10" fontId="1" fillId="0" borderId="503" xfId="0" applyNumberFormat="1" applyFont="1" applyBorder="1"/>
    <xf numFmtId="2" fontId="1" fillId="0" borderId="504" xfId="0" applyNumberFormat="1" applyFont="1" applyBorder="1"/>
    <xf numFmtId="44" fontId="7" fillId="5" borderId="57" xfId="3" applyNumberFormat="1" applyFont="1" applyFill="1" applyBorder="1" applyAlignment="1">
      <alignment horizontal="center"/>
    </xf>
    <xf numFmtId="0" fontId="22" fillId="11" borderId="505" xfId="0" applyFont="1" applyFill="1" applyBorder="1"/>
    <xf numFmtId="0" fontId="22" fillId="10" borderId="506" xfId="0" applyFont="1" applyFill="1" applyBorder="1"/>
    <xf numFmtId="0" fontId="22" fillId="9" borderId="507" xfId="0" applyFont="1" applyFill="1" applyBorder="1"/>
    <xf numFmtId="0" fontId="44" fillId="0" borderId="0" xfId="0" applyFont="1" applyFill="1" applyBorder="1" applyAlignment="1">
      <alignment horizontal="center" wrapText="1"/>
    </xf>
    <xf numFmtId="0" fontId="22" fillId="6" borderId="76" xfId="0" applyFont="1" applyFill="1" applyBorder="1" applyAlignment="1">
      <alignment horizontal="center"/>
    </xf>
    <xf numFmtId="0" fontId="22" fillId="6" borderId="77" xfId="0" applyFont="1" applyFill="1" applyBorder="1" applyAlignment="1">
      <alignment horizontal="center"/>
    </xf>
    <xf numFmtId="0" fontId="22" fillId="6" borderId="119" xfId="0" applyFont="1" applyFill="1" applyBorder="1" applyAlignment="1">
      <alignment horizontal="center"/>
    </xf>
    <xf numFmtId="0" fontId="22" fillId="6" borderId="344" xfId="0" applyFont="1" applyFill="1" applyBorder="1" applyAlignment="1">
      <alignment horizontal="center"/>
    </xf>
    <xf numFmtId="2" fontId="22" fillId="6" borderId="78" xfId="0" applyNumberFormat="1" applyFont="1" applyFill="1" applyBorder="1" applyAlignment="1">
      <alignment horizontal="center"/>
    </xf>
    <xf numFmtId="2" fontId="22" fillId="6" borderId="79" xfId="0" applyNumberFormat="1" applyFont="1" applyFill="1" applyBorder="1" applyAlignment="1">
      <alignment horizontal="center"/>
    </xf>
    <xf numFmtId="44" fontId="22" fillId="6" borderId="80" xfId="3" applyFont="1" applyFill="1" applyBorder="1" applyAlignment="1">
      <alignment horizontal="center"/>
    </xf>
    <xf numFmtId="44" fontId="22" fillId="6" borderId="66" xfId="3" applyFont="1" applyFill="1" applyBorder="1" applyAlignment="1">
      <alignment horizontal="center"/>
    </xf>
    <xf numFmtId="44" fontId="22" fillId="6" borderId="81" xfId="3" applyFont="1" applyFill="1" applyBorder="1" applyAlignment="1">
      <alignment horizontal="center"/>
    </xf>
    <xf numFmtId="44" fontId="22" fillId="6" borderId="82" xfId="3" applyFont="1" applyFill="1" applyBorder="1" applyAlignment="1">
      <alignment horizontal="center"/>
    </xf>
    <xf numFmtId="44" fontId="22" fillId="6" borderId="0" xfId="3" applyFont="1" applyFill="1" applyBorder="1" applyAlignment="1">
      <alignment horizontal="center"/>
    </xf>
    <xf numFmtId="44" fontId="22" fillId="6" borderId="83" xfId="3" applyFont="1" applyFill="1" applyBorder="1" applyAlignment="1">
      <alignment horizontal="center"/>
    </xf>
    <xf numFmtId="0" fontId="17" fillId="0" borderId="87" xfId="0" applyFont="1" applyFill="1" applyBorder="1" applyAlignment="1">
      <alignment horizontal="center" vertical="center"/>
    </xf>
    <xf numFmtId="0" fontId="17" fillId="0" borderId="88" xfId="0" applyFont="1" applyFill="1" applyBorder="1" applyAlignment="1">
      <alignment horizontal="center" vertical="center"/>
    </xf>
    <xf numFmtId="0" fontId="17" fillId="0" borderId="89" xfId="0" applyFont="1" applyFill="1" applyBorder="1" applyAlignment="1">
      <alignment horizontal="center" vertical="center"/>
    </xf>
    <xf numFmtId="165" fontId="3" fillId="0" borderId="71" xfId="0" applyNumberFormat="1" applyFont="1" applyBorder="1" applyAlignment="1">
      <alignment horizontal="center"/>
    </xf>
    <xf numFmtId="165" fontId="3" fillId="0" borderId="48" xfId="0" applyNumberFormat="1" applyFont="1" applyBorder="1" applyAlignment="1">
      <alignment horizontal="center"/>
    </xf>
    <xf numFmtId="165" fontId="3" fillId="0" borderId="90" xfId="0" applyNumberFormat="1" applyFont="1" applyBorder="1" applyAlignment="1">
      <alignment horizontal="center"/>
    </xf>
    <xf numFmtId="165" fontId="3" fillId="0" borderId="49" xfId="0" applyNumberFormat="1" applyFont="1" applyBorder="1" applyAlignment="1">
      <alignment horizontal="center"/>
    </xf>
    <xf numFmtId="44" fontId="3" fillId="0" borderId="50" xfId="3" applyFont="1" applyBorder="1" applyAlignment="1">
      <alignment horizontal="center"/>
    </xf>
    <xf numFmtId="44" fontId="3" fillId="0" borderId="91" xfId="3" applyFont="1" applyBorder="1" applyAlignment="1">
      <alignment horizontal="center"/>
    </xf>
    <xf numFmtId="165" fontId="17" fillId="0" borderId="92" xfId="0" applyNumberFormat="1" applyFont="1" applyFill="1" applyBorder="1" applyAlignment="1">
      <alignment horizontal="center" vertical="center"/>
    </xf>
    <xf numFmtId="165" fontId="17" fillId="0" borderId="93" xfId="0" applyNumberFormat="1" applyFont="1" applyFill="1" applyBorder="1" applyAlignment="1">
      <alignment horizontal="center" vertical="center"/>
    </xf>
    <xf numFmtId="165" fontId="17" fillId="0" borderId="94" xfId="0" applyNumberFormat="1" applyFont="1" applyFill="1" applyBorder="1" applyAlignment="1">
      <alignment horizontal="center" vertical="center"/>
    </xf>
    <xf numFmtId="165" fontId="17" fillId="0" borderId="95" xfId="0" applyNumberFormat="1" applyFont="1" applyFill="1" applyBorder="1" applyAlignment="1">
      <alignment horizontal="center" vertical="center"/>
    </xf>
    <xf numFmtId="165" fontId="17" fillId="0" borderId="96" xfId="0" applyNumberFormat="1" applyFont="1" applyFill="1" applyBorder="1" applyAlignment="1">
      <alignment horizontal="center" vertical="center"/>
    </xf>
    <xf numFmtId="165" fontId="17" fillId="0" borderId="97" xfId="0" applyNumberFormat="1" applyFont="1" applyFill="1" applyBorder="1" applyAlignment="1">
      <alignment horizontal="center" vertical="center"/>
    </xf>
    <xf numFmtId="44" fontId="3" fillId="8" borderId="48" xfId="3" applyFont="1" applyFill="1" applyBorder="1" applyAlignment="1">
      <alignment horizontal="right"/>
    </xf>
    <xf numFmtId="44" fontId="3" fillId="8" borderId="86" xfId="3" applyFont="1" applyFill="1" applyBorder="1" applyAlignment="1">
      <alignment horizontal="right"/>
    </xf>
    <xf numFmtId="167" fontId="3" fillId="3" borderId="84" xfId="0" applyNumberFormat="1" applyFont="1" applyFill="1" applyBorder="1" applyAlignment="1">
      <alignment horizontal="center"/>
    </xf>
    <xf numFmtId="167" fontId="3" fillId="3" borderId="50" xfId="0" applyNumberFormat="1" applyFont="1" applyFill="1" applyBorder="1" applyAlignment="1">
      <alignment horizontal="center"/>
    </xf>
    <xf numFmtId="167" fontId="3" fillId="3" borderId="91" xfId="0" applyNumberFormat="1" applyFont="1" applyFill="1" applyBorder="1" applyAlignment="1">
      <alignment horizontal="center"/>
    </xf>
    <xf numFmtId="44" fontId="3" fillId="8" borderId="49" xfId="3" applyFont="1" applyFill="1" applyBorder="1" applyAlignment="1">
      <alignment horizontal="right"/>
    </xf>
    <xf numFmtId="44" fontId="3" fillId="8" borderId="85" xfId="3" applyFont="1" applyFill="1" applyBorder="1" applyAlignment="1">
      <alignment horizontal="right"/>
    </xf>
    <xf numFmtId="0" fontId="17" fillId="0" borderId="95" xfId="0" applyFont="1" applyFill="1" applyBorder="1" applyAlignment="1">
      <alignment horizontal="center" vertical="center"/>
    </xf>
    <xf numFmtId="0" fontId="17" fillId="0" borderId="96" xfId="0" applyFont="1" applyFill="1" applyBorder="1" applyAlignment="1">
      <alignment horizontal="center" vertical="center"/>
    </xf>
    <xf numFmtId="0" fontId="17" fillId="0" borderId="98" xfId="0" applyFont="1" applyFill="1" applyBorder="1" applyAlignment="1">
      <alignment horizontal="center" vertical="center"/>
    </xf>
    <xf numFmtId="165" fontId="3" fillId="0" borderId="84" xfId="0" applyNumberFormat="1" applyFont="1" applyBorder="1" applyAlignment="1">
      <alignment horizontal="center"/>
    </xf>
    <xf numFmtId="165" fontId="3" fillId="0" borderId="5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 wrapText="1"/>
    </xf>
    <xf numFmtId="0" fontId="7" fillId="0" borderId="0" xfId="0" applyFont="1" applyFill="1" applyAlignment="1">
      <alignment horizontal="left" wrapText="1"/>
    </xf>
    <xf numFmtId="3" fontId="3" fillId="8" borderId="49" xfId="0" applyNumberFormat="1" applyFont="1" applyFill="1" applyBorder="1" applyAlignment="1">
      <alignment horizontal="right"/>
    </xf>
    <xf numFmtId="3" fontId="3" fillId="8" borderId="85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3" fontId="3" fillId="8" borderId="0" xfId="0" applyNumberFormat="1" applyFont="1" applyFill="1" applyBorder="1" applyAlignment="1">
      <alignment horizontal="right"/>
    </xf>
    <xf numFmtId="3" fontId="3" fillId="8" borderId="83" xfId="0" applyNumberFormat="1" applyFont="1" applyFill="1" applyBorder="1" applyAlignment="1">
      <alignment horizontal="right"/>
    </xf>
    <xf numFmtId="165" fontId="3" fillId="0" borderId="64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22" fillId="9" borderId="76" xfId="0" applyFont="1" applyFill="1" applyBorder="1" applyAlignment="1">
      <alignment horizontal="center"/>
    </xf>
    <xf numFmtId="0" fontId="22" fillId="9" borderId="77" xfId="0" applyFont="1" applyFill="1" applyBorder="1" applyAlignment="1">
      <alignment horizontal="center"/>
    </xf>
    <xf numFmtId="0" fontId="22" fillId="9" borderId="119" xfId="0" applyFont="1" applyFill="1" applyBorder="1" applyAlignment="1">
      <alignment horizontal="center"/>
    </xf>
    <xf numFmtId="0" fontId="22" fillId="9" borderId="344" xfId="0" applyFont="1" applyFill="1" applyBorder="1" applyAlignment="1">
      <alignment horizontal="center"/>
    </xf>
    <xf numFmtId="2" fontId="22" fillId="9" borderId="78" xfId="0" applyNumberFormat="1" applyFont="1" applyFill="1" applyBorder="1" applyAlignment="1">
      <alignment horizontal="center"/>
    </xf>
    <xf numFmtId="2" fontId="22" fillId="9" borderId="79" xfId="0" applyNumberFormat="1" applyFont="1" applyFill="1" applyBorder="1" applyAlignment="1">
      <alignment horizontal="center"/>
    </xf>
    <xf numFmtId="0" fontId="28" fillId="0" borderId="152" xfId="0" applyFont="1" applyFill="1" applyBorder="1" applyAlignment="1">
      <alignment horizontal="center" vertical="center"/>
    </xf>
    <xf numFmtId="0" fontId="28" fillId="0" borderId="151" xfId="0" applyFont="1" applyFill="1" applyBorder="1" applyAlignment="1">
      <alignment horizontal="center" vertical="center"/>
    </xf>
    <xf numFmtId="0" fontId="28" fillId="0" borderId="150" xfId="0" applyFont="1" applyFill="1" applyBorder="1" applyAlignment="1">
      <alignment horizontal="center" vertical="center"/>
    </xf>
    <xf numFmtId="0" fontId="28" fillId="0" borderId="155" xfId="0" applyFont="1" applyFill="1" applyBorder="1" applyAlignment="1">
      <alignment horizontal="center" vertical="center"/>
    </xf>
    <xf numFmtId="0" fontId="28" fillId="0" borderId="154" xfId="0" applyFont="1" applyFill="1" applyBorder="1" applyAlignment="1">
      <alignment horizontal="center" vertical="center"/>
    </xf>
    <xf numFmtId="0" fontId="28" fillId="0" borderId="153" xfId="0" applyFont="1" applyFill="1" applyBorder="1" applyAlignment="1">
      <alignment horizontal="center" vertical="center"/>
    </xf>
    <xf numFmtId="165" fontId="3" fillId="0" borderId="164" xfId="0" applyNumberFormat="1" applyFont="1" applyBorder="1" applyAlignment="1">
      <alignment horizontal="center"/>
    </xf>
    <xf numFmtId="165" fontId="3" fillId="0" borderId="163" xfId="0" applyNumberFormat="1" applyFont="1" applyBorder="1" applyAlignment="1">
      <alignment horizontal="center"/>
    </xf>
    <xf numFmtId="44" fontId="3" fillId="8" borderId="163" xfId="3" applyFont="1" applyFill="1" applyBorder="1" applyAlignment="1">
      <alignment horizontal="right"/>
    </xf>
    <xf numFmtId="44" fontId="3" fillId="8" borderId="162" xfId="3" applyFont="1" applyFill="1" applyBorder="1" applyAlignment="1">
      <alignment horizontal="right"/>
    </xf>
    <xf numFmtId="165" fontId="3" fillId="0" borderId="158" xfId="0" applyNumberFormat="1" applyFont="1" applyBorder="1" applyAlignment="1">
      <alignment horizontal="center"/>
    </xf>
    <xf numFmtId="165" fontId="3" fillId="0" borderId="157" xfId="0" applyNumberFormat="1" applyFont="1" applyBorder="1" applyAlignment="1">
      <alignment horizontal="center"/>
    </xf>
    <xf numFmtId="4" fontId="3" fillId="8" borderId="157" xfId="0" applyNumberFormat="1" applyFont="1" applyFill="1" applyBorder="1" applyAlignment="1">
      <alignment horizontal="right"/>
    </xf>
    <xf numFmtId="0" fontId="3" fillId="8" borderId="157" xfId="0" applyFont="1" applyFill="1" applyBorder="1" applyAlignment="1">
      <alignment horizontal="right"/>
    </xf>
    <xf numFmtId="0" fontId="3" fillId="8" borderId="123" xfId="0" applyFont="1" applyFill="1" applyBorder="1" applyAlignment="1">
      <alignment horizontal="right"/>
    </xf>
    <xf numFmtId="165" fontId="3" fillId="0" borderId="161" xfId="0" applyNumberFormat="1" applyFont="1" applyBorder="1" applyAlignment="1">
      <alignment horizontal="center"/>
    </xf>
    <xf numFmtId="165" fontId="3" fillId="0" borderId="160" xfId="0" applyNumberFormat="1" applyFont="1" applyBorder="1" applyAlignment="1">
      <alignment horizontal="center"/>
    </xf>
    <xf numFmtId="44" fontId="3" fillId="0" borderId="160" xfId="3" applyFont="1" applyBorder="1" applyAlignment="1">
      <alignment horizontal="center"/>
    </xf>
    <xf numFmtId="44" fontId="3" fillId="0" borderId="159" xfId="3" applyFont="1" applyBorder="1" applyAlignment="1">
      <alignment horizontal="center"/>
    </xf>
    <xf numFmtId="44" fontId="3" fillId="0" borderId="157" xfId="3" applyFont="1" applyBorder="1" applyAlignment="1">
      <alignment horizontal="center"/>
    </xf>
    <xf numFmtId="44" fontId="3" fillId="0" borderId="123" xfId="3" applyFont="1" applyBorder="1" applyAlignment="1">
      <alignment horizontal="center"/>
    </xf>
    <xf numFmtId="165" fontId="3" fillId="0" borderId="122" xfId="0" applyNumberFormat="1" applyFont="1" applyBorder="1" applyAlignment="1">
      <alignment horizontal="center"/>
    </xf>
    <xf numFmtId="3" fontId="3" fillId="8" borderId="121" xfId="0" applyNumberFormat="1" applyFont="1" applyFill="1" applyBorder="1" applyAlignment="1">
      <alignment horizontal="right"/>
    </xf>
    <xf numFmtId="44" fontId="3" fillId="8" borderId="157" xfId="3" applyFont="1" applyFill="1" applyBorder="1" applyAlignment="1">
      <alignment horizontal="right"/>
    </xf>
    <xf numFmtId="44" fontId="3" fillId="8" borderId="123" xfId="3" applyFont="1" applyFill="1" applyBorder="1" applyAlignment="1">
      <alignment horizontal="right"/>
    </xf>
    <xf numFmtId="167" fontId="3" fillId="3" borderId="161" xfId="0" applyNumberFormat="1" applyFont="1" applyFill="1" applyBorder="1" applyAlignment="1">
      <alignment horizontal="center"/>
    </xf>
    <xf numFmtId="167" fontId="3" fillId="3" borderId="160" xfId="0" applyNumberFormat="1" applyFont="1" applyFill="1" applyBorder="1" applyAlignment="1">
      <alignment horizontal="center"/>
    </xf>
    <xf numFmtId="167" fontId="3" fillId="3" borderId="159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left" wrapText="1"/>
    </xf>
    <xf numFmtId="3" fontId="3" fillId="8" borderId="163" xfId="0" applyNumberFormat="1" applyFont="1" applyFill="1" applyBorder="1" applyAlignment="1">
      <alignment horizontal="right"/>
    </xf>
    <xf numFmtId="3" fontId="3" fillId="8" borderId="162" xfId="0" applyNumberFormat="1" applyFont="1" applyFill="1" applyBorder="1" applyAlignment="1">
      <alignment horizontal="right"/>
    </xf>
    <xf numFmtId="0" fontId="22" fillId="10" borderId="76" xfId="0" applyFont="1" applyFill="1" applyBorder="1" applyAlignment="1">
      <alignment horizontal="center"/>
    </xf>
    <xf numFmtId="0" fontId="22" fillId="10" borderId="77" xfId="0" applyFont="1" applyFill="1" applyBorder="1" applyAlignment="1">
      <alignment horizontal="center"/>
    </xf>
    <xf numFmtId="0" fontId="22" fillId="10" borderId="119" xfId="0" applyFont="1" applyFill="1" applyBorder="1" applyAlignment="1">
      <alignment horizontal="center"/>
    </xf>
    <xf numFmtId="0" fontId="22" fillId="10" borderId="344" xfId="0" applyFont="1" applyFill="1" applyBorder="1" applyAlignment="1">
      <alignment horizontal="center"/>
    </xf>
    <xf numFmtId="2" fontId="22" fillId="10" borderId="78" xfId="0" applyNumberFormat="1" applyFont="1" applyFill="1" applyBorder="1" applyAlignment="1">
      <alignment horizontal="center"/>
    </xf>
    <xf numFmtId="2" fontId="22" fillId="10" borderId="79" xfId="0" applyNumberFormat="1" applyFont="1" applyFill="1" applyBorder="1" applyAlignment="1">
      <alignment horizontal="center"/>
    </xf>
    <xf numFmtId="44" fontId="22" fillId="10" borderId="80" xfId="3" applyFont="1" applyFill="1" applyBorder="1" applyAlignment="1">
      <alignment horizontal="center"/>
    </xf>
    <xf numFmtId="44" fontId="22" fillId="10" borderId="66" xfId="3" applyFont="1" applyFill="1" applyBorder="1" applyAlignment="1">
      <alignment horizontal="center"/>
    </xf>
    <xf numFmtId="44" fontId="22" fillId="10" borderId="81" xfId="3" applyFont="1" applyFill="1" applyBorder="1" applyAlignment="1">
      <alignment horizontal="center"/>
    </xf>
    <xf numFmtId="44" fontId="22" fillId="10" borderId="82" xfId="3" applyFont="1" applyFill="1" applyBorder="1" applyAlignment="1">
      <alignment horizontal="center"/>
    </xf>
    <xf numFmtId="0" fontId="58" fillId="0" borderId="0" xfId="0" applyFont="1" applyAlignment="1">
      <alignment horizontal="center" wrapText="1"/>
    </xf>
    <xf numFmtId="0" fontId="58" fillId="0" borderId="501" xfId="0" applyFont="1" applyBorder="1" applyAlignment="1">
      <alignment horizontal="center" wrapText="1"/>
    </xf>
    <xf numFmtId="0" fontId="58" fillId="0" borderId="0" xfId="0" applyFont="1" applyAlignment="1">
      <alignment horizontal="center" vertical="center" wrapText="1"/>
    </xf>
    <xf numFmtId="165" fontId="3" fillId="0" borderId="249" xfId="0" applyNumberFormat="1" applyFont="1" applyBorder="1" applyAlignment="1">
      <alignment horizontal="center"/>
    </xf>
    <xf numFmtId="3" fontId="3" fillId="8" borderId="248" xfId="0" applyNumberFormat="1" applyFont="1" applyFill="1" applyBorder="1" applyAlignment="1">
      <alignment horizontal="right"/>
    </xf>
    <xf numFmtId="165" fontId="3" fillId="0" borderId="241" xfId="0" applyNumberFormat="1" applyFont="1" applyBorder="1" applyAlignment="1">
      <alignment horizontal="center"/>
    </xf>
    <xf numFmtId="165" fontId="3" fillId="0" borderId="189" xfId="0" applyNumberFormat="1" applyFont="1" applyBorder="1" applyAlignment="1">
      <alignment horizontal="center"/>
    </xf>
    <xf numFmtId="44" fontId="3" fillId="8" borderId="189" xfId="3" applyFont="1" applyFill="1" applyBorder="1" applyAlignment="1">
      <alignment horizontal="right"/>
    </xf>
    <xf numFmtId="44" fontId="3" fillId="8" borderId="186" xfId="3" applyFont="1" applyFill="1" applyBorder="1" applyAlignment="1">
      <alignment horizontal="right"/>
    </xf>
    <xf numFmtId="167" fontId="3" fillId="3" borderId="244" xfId="0" applyNumberFormat="1" applyFont="1" applyFill="1" applyBorder="1" applyAlignment="1">
      <alignment horizontal="center"/>
    </xf>
    <xf numFmtId="167" fontId="3" fillId="3" borderId="243" xfId="0" applyNumberFormat="1" applyFont="1" applyFill="1" applyBorder="1" applyAlignment="1">
      <alignment horizontal="center"/>
    </xf>
    <xf numFmtId="167" fontId="3" fillId="3" borderId="242" xfId="0" applyNumberFormat="1" applyFont="1" applyFill="1" applyBorder="1" applyAlignment="1">
      <alignment horizontal="center"/>
    </xf>
    <xf numFmtId="165" fontId="3" fillId="0" borderId="247" xfId="0" applyNumberFormat="1" applyFont="1" applyBorder="1" applyAlignment="1">
      <alignment horizontal="center"/>
    </xf>
    <xf numFmtId="165" fontId="3" fillId="0" borderId="246" xfId="0" applyNumberFormat="1" applyFont="1" applyBorder="1" applyAlignment="1">
      <alignment horizontal="center"/>
    </xf>
    <xf numFmtId="3" fontId="3" fillId="8" borderId="246" xfId="0" applyNumberFormat="1" applyFont="1" applyFill="1" applyBorder="1" applyAlignment="1">
      <alignment horizontal="right"/>
    </xf>
    <xf numFmtId="3" fontId="3" fillId="8" borderId="245" xfId="0" applyNumberFormat="1" applyFont="1" applyFill="1" applyBorder="1" applyAlignment="1">
      <alignment horizontal="right"/>
    </xf>
    <xf numFmtId="44" fontId="3" fillId="8" borderId="246" xfId="3" applyFont="1" applyFill="1" applyBorder="1" applyAlignment="1">
      <alignment horizontal="right"/>
    </xf>
    <xf numFmtId="44" fontId="3" fillId="8" borderId="245" xfId="3" applyFont="1" applyFill="1" applyBorder="1" applyAlignment="1">
      <alignment horizontal="right"/>
    </xf>
    <xf numFmtId="165" fontId="3" fillId="0" borderId="244" xfId="0" applyNumberFormat="1" applyFont="1" applyBorder="1" applyAlignment="1">
      <alignment horizontal="center"/>
    </xf>
    <xf numFmtId="165" fontId="3" fillId="0" borderId="243" xfId="0" applyNumberFormat="1" applyFont="1" applyBorder="1" applyAlignment="1">
      <alignment horizontal="center"/>
    </xf>
    <xf numFmtId="44" fontId="3" fillId="0" borderId="243" xfId="3" applyFont="1" applyBorder="1" applyAlignment="1">
      <alignment horizontal="center"/>
    </xf>
    <xf numFmtId="44" fontId="3" fillId="0" borderId="242" xfId="3" applyFont="1" applyBorder="1" applyAlignment="1">
      <alignment horizontal="center"/>
    </xf>
    <xf numFmtId="44" fontId="3" fillId="0" borderId="189" xfId="3" applyFont="1" applyBorder="1" applyAlignment="1">
      <alignment horizontal="center"/>
    </xf>
    <xf numFmtId="44" fontId="3" fillId="0" borderId="186" xfId="3" applyFont="1" applyBorder="1" applyAlignment="1">
      <alignment horizontal="center"/>
    </xf>
    <xf numFmtId="0" fontId="36" fillId="0" borderId="238" xfId="0" applyFont="1" applyFill="1" applyBorder="1" applyAlignment="1">
      <alignment horizontal="center" vertical="center"/>
    </xf>
    <xf numFmtId="0" fontId="36" fillId="0" borderId="236" xfId="0" applyFont="1" applyFill="1" applyBorder="1" applyAlignment="1">
      <alignment horizontal="center" vertical="center"/>
    </xf>
    <xf numFmtId="0" fontId="36" fillId="0" borderId="235" xfId="0" applyFont="1" applyFill="1" applyBorder="1" applyAlignment="1">
      <alignment horizontal="center" vertical="center"/>
    </xf>
    <xf numFmtId="0" fontId="36" fillId="0" borderId="237" xfId="0" applyFont="1" applyFill="1" applyBorder="1" applyAlignment="1">
      <alignment horizontal="center" vertical="center"/>
    </xf>
    <xf numFmtId="0" fontId="36" fillId="0" borderId="234" xfId="0" applyFont="1" applyFill="1" applyBorder="1" applyAlignment="1">
      <alignment horizontal="center" vertical="center"/>
    </xf>
    <xf numFmtId="0" fontId="36" fillId="0" borderId="233" xfId="0" applyFont="1" applyFill="1" applyBorder="1" applyAlignment="1">
      <alignment horizontal="center" vertical="center"/>
    </xf>
    <xf numFmtId="0" fontId="36" fillId="0" borderId="232" xfId="0" applyFont="1" applyFill="1" applyBorder="1" applyAlignment="1">
      <alignment horizontal="center" vertical="center"/>
    </xf>
    <xf numFmtId="0" fontId="36" fillId="0" borderId="431" xfId="0" applyFont="1" applyFill="1" applyBorder="1" applyAlignment="1">
      <alignment horizontal="center" vertical="center"/>
    </xf>
    <xf numFmtId="0" fontId="36" fillId="0" borderId="432" xfId="0" applyFont="1" applyFill="1" applyBorder="1" applyAlignment="1">
      <alignment horizontal="center" vertical="center"/>
    </xf>
    <xf numFmtId="0" fontId="36" fillId="0" borderId="433" xfId="0" applyFont="1" applyFill="1" applyBorder="1" applyAlignment="1">
      <alignment horizontal="center" vertical="center"/>
    </xf>
    <xf numFmtId="0" fontId="36" fillId="0" borderId="434" xfId="0" applyFont="1" applyFill="1" applyBorder="1" applyAlignment="1">
      <alignment horizontal="center" vertical="center"/>
    </xf>
    <xf numFmtId="0" fontId="36" fillId="0" borderId="231" xfId="0" applyFont="1" applyFill="1" applyBorder="1" applyAlignment="1">
      <alignment horizontal="center" vertical="center"/>
    </xf>
    <xf numFmtId="0" fontId="36" fillId="0" borderId="230" xfId="0" applyFont="1" applyFill="1" applyBorder="1" applyAlignment="1">
      <alignment horizontal="center" vertical="center"/>
    </xf>
    <xf numFmtId="0" fontId="36" fillId="0" borderId="229" xfId="0" applyFont="1" applyFill="1" applyBorder="1" applyAlignment="1">
      <alignment horizontal="center" vertical="center"/>
    </xf>
    <xf numFmtId="169" fontId="60" fillId="4" borderId="7" xfId="1" applyNumberFormat="1" applyFont="1" applyFill="1" applyBorder="1" applyAlignment="1">
      <alignment horizontal="center" wrapText="1"/>
    </xf>
    <xf numFmtId="0" fontId="22" fillId="13" borderId="386" xfId="0" applyFont="1" applyFill="1" applyBorder="1" applyAlignment="1">
      <alignment horizontal="center"/>
    </xf>
    <xf numFmtId="2" fontId="22" fillId="13" borderId="386" xfId="0" applyNumberFormat="1" applyFont="1" applyFill="1" applyBorder="1" applyAlignment="1">
      <alignment horizontal="center"/>
    </xf>
    <xf numFmtId="44" fontId="22" fillId="13" borderId="386" xfId="3" applyFont="1" applyFill="1" applyBorder="1" applyAlignment="1">
      <alignment horizontal="center"/>
    </xf>
    <xf numFmtId="0" fontId="50" fillId="0" borderId="418" xfId="0" applyFont="1" applyFill="1" applyBorder="1" applyAlignment="1">
      <alignment horizontal="center" vertical="center"/>
    </xf>
    <xf numFmtId="0" fontId="50" fillId="0" borderId="389" xfId="0" applyFont="1" applyFill="1" applyBorder="1" applyAlignment="1">
      <alignment horizontal="center" vertical="center"/>
    </xf>
    <xf numFmtId="0" fontId="50" fillId="0" borderId="420" xfId="0" applyFont="1" applyFill="1" applyBorder="1" applyAlignment="1">
      <alignment horizontal="center" vertical="center"/>
    </xf>
    <xf numFmtId="0" fontId="50" fillId="0" borderId="419" xfId="0" applyFont="1" applyFill="1" applyBorder="1" applyAlignment="1">
      <alignment horizontal="center" vertical="center"/>
    </xf>
    <xf numFmtId="0" fontId="50" fillId="0" borderId="390" xfId="0" applyFont="1" applyFill="1" applyBorder="1" applyAlignment="1">
      <alignment horizontal="center" vertical="center"/>
    </xf>
    <xf numFmtId="165" fontId="3" fillId="0" borderId="427" xfId="0" applyNumberFormat="1" applyFont="1" applyBorder="1" applyAlignment="1">
      <alignment horizontal="center"/>
    </xf>
    <xf numFmtId="165" fontId="3" fillId="0" borderId="421" xfId="0" applyNumberFormat="1" applyFont="1" applyBorder="1" applyAlignment="1">
      <alignment horizontal="center"/>
    </xf>
    <xf numFmtId="44" fontId="3" fillId="0" borderId="421" xfId="3" applyFont="1" applyBorder="1" applyAlignment="1">
      <alignment horizontal="center"/>
    </xf>
    <xf numFmtId="44" fontId="3" fillId="0" borderId="393" xfId="3" applyFont="1" applyBorder="1" applyAlignment="1">
      <alignment horizontal="center"/>
    </xf>
    <xf numFmtId="0" fontId="50" fillId="0" borderId="400" xfId="0" applyFont="1" applyFill="1" applyBorder="1" applyAlignment="1">
      <alignment horizontal="center" vertical="center"/>
    </xf>
    <xf numFmtId="0" fontId="50" fillId="0" borderId="388" xfId="0" applyFont="1" applyFill="1" applyBorder="1" applyAlignment="1">
      <alignment horizontal="center" vertical="center"/>
    </xf>
    <xf numFmtId="0" fontId="50" fillId="0" borderId="401" xfId="0" applyFont="1" applyFill="1" applyBorder="1" applyAlignment="1">
      <alignment horizontal="center" vertical="center"/>
    </xf>
    <xf numFmtId="165" fontId="3" fillId="0" borderId="425" xfId="0" applyNumberFormat="1" applyFont="1" applyBorder="1" applyAlignment="1">
      <alignment horizontal="center"/>
    </xf>
    <xf numFmtId="44" fontId="3" fillId="8" borderId="0" xfId="3" applyFont="1" applyFill="1" applyBorder="1" applyAlignment="1">
      <alignment horizontal="right"/>
    </xf>
    <xf numFmtId="44" fontId="3" fillId="8" borderId="426" xfId="3" applyFont="1" applyFill="1" applyBorder="1" applyAlignment="1">
      <alignment horizontal="right"/>
    </xf>
    <xf numFmtId="165" fontId="3" fillId="0" borderId="428" xfId="0" applyNumberFormat="1" applyFont="1" applyBorder="1" applyAlignment="1">
      <alignment horizontal="center"/>
    </xf>
    <xf numFmtId="165" fontId="3" fillId="0" borderId="417" xfId="0" applyNumberFormat="1" applyFont="1" applyBorder="1" applyAlignment="1">
      <alignment horizontal="center"/>
    </xf>
    <xf numFmtId="44" fontId="3" fillId="0" borderId="417" xfId="3" applyFont="1" applyBorder="1" applyAlignment="1">
      <alignment horizontal="center"/>
    </xf>
    <xf numFmtId="44" fontId="3" fillId="0" borderId="415" xfId="3" applyFont="1" applyBorder="1" applyAlignment="1">
      <alignment horizontal="center"/>
    </xf>
    <xf numFmtId="167" fontId="3" fillId="3" borderId="428" xfId="0" applyNumberFormat="1" applyFont="1" applyFill="1" applyBorder="1" applyAlignment="1">
      <alignment horizontal="center"/>
    </xf>
    <xf numFmtId="167" fontId="3" fillId="3" borderId="417" xfId="0" applyNumberFormat="1" applyFont="1" applyFill="1" applyBorder="1" applyAlignment="1">
      <alignment horizontal="center"/>
    </xf>
    <xf numFmtId="167" fontId="3" fillId="3" borderId="415" xfId="0" applyNumberFormat="1" applyFont="1" applyFill="1" applyBorder="1" applyAlignment="1">
      <alignment horizontal="center"/>
    </xf>
    <xf numFmtId="3" fontId="3" fillId="8" borderId="426" xfId="0" applyNumberFormat="1" applyFont="1" applyFill="1" applyBorder="1" applyAlignment="1">
      <alignment horizontal="right"/>
    </xf>
    <xf numFmtId="44" fontId="3" fillId="8" borderId="421" xfId="3" applyFont="1" applyFill="1" applyBorder="1" applyAlignment="1">
      <alignment horizontal="right"/>
    </xf>
    <xf numFmtId="44" fontId="3" fillId="8" borderId="393" xfId="3" applyFont="1" applyFill="1" applyBorder="1" applyAlignment="1">
      <alignment horizontal="right"/>
    </xf>
    <xf numFmtId="0" fontId="59" fillId="0" borderId="0" xfId="0" applyFont="1" applyFill="1" applyBorder="1" applyAlignment="1">
      <alignment horizontal="center" vertical="center" wrapText="1"/>
    </xf>
    <xf numFmtId="165" fontId="3" fillId="0" borderId="422" xfId="0" applyNumberFormat="1" applyFont="1" applyBorder="1" applyAlignment="1">
      <alignment horizontal="center"/>
    </xf>
    <xf numFmtId="165" fontId="3" fillId="0" borderId="423" xfId="0" applyNumberFormat="1" applyFont="1" applyBorder="1" applyAlignment="1">
      <alignment horizontal="center"/>
    </xf>
    <xf numFmtId="3" fontId="3" fillId="8" borderId="423" xfId="0" applyNumberFormat="1" applyFont="1" applyFill="1" applyBorder="1" applyAlignment="1">
      <alignment horizontal="right"/>
    </xf>
    <xf numFmtId="3" fontId="3" fillId="8" borderId="424" xfId="0" applyNumberFormat="1" applyFont="1" applyFill="1" applyBorder="1" applyAlignment="1">
      <alignment horizontal="right"/>
    </xf>
    <xf numFmtId="0" fontId="22" fillId="11" borderId="76" xfId="0" applyFont="1" applyFill="1" applyBorder="1" applyAlignment="1">
      <alignment horizontal="center"/>
    </xf>
    <xf numFmtId="0" fontId="22" fillId="11" borderId="77" xfId="0" applyFont="1" applyFill="1" applyBorder="1" applyAlignment="1">
      <alignment horizontal="center"/>
    </xf>
    <xf numFmtId="0" fontId="22" fillId="11" borderId="119" xfId="0" applyFont="1" applyFill="1" applyBorder="1" applyAlignment="1">
      <alignment horizontal="center"/>
    </xf>
    <xf numFmtId="0" fontId="22" fillId="11" borderId="344" xfId="0" applyFont="1" applyFill="1" applyBorder="1" applyAlignment="1">
      <alignment horizontal="center"/>
    </xf>
    <xf numFmtId="2" fontId="22" fillId="11" borderId="78" xfId="0" applyNumberFormat="1" applyFont="1" applyFill="1" applyBorder="1" applyAlignment="1">
      <alignment horizontal="center"/>
    </xf>
    <xf numFmtId="2" fontId="22" fillId="11" borderId="79" xfId="0" applyNumberFormat="1" applyFont="1" applyFill="1" applyBorder="1" applyAlignment="1">
      <alignment horizontal="center"/>
    </xf>
    <xf numFmtId="44" fontId="22" fillId="11" borderId="80" xfId="3" applyFont="1" applyFill="1" applyBorder="1" applyAlignment="1">
      <alignment horizontal="center"/>
    </xf>
    <xf numFmtId="44" fontId="22" fillId="11" borderId="66" xfId="3" applyFont="1" applyFill="1" applyBorder="1" applyAlignment="1">
      <alignment horizontal="center"/>
    </xf>
    <xf numFmtId="44" fontId="22" fillId="11" borderId="81" xfId="3" applyFont="1" applyFill="1" applyBorder="1" applyAlignment="1">
      <alignment horizontal="center"/>
    </xf>
    <xf numFmtId="44" fontId="22" fillId="11" borderId="82" xfId="3" applyFont="1" applyFill="1" applyBorder="1" applyAlignment="1">
      <alignment horizontal="center"/>
    </xf>
    <xf numFmtId="167" fontId="3" fillId="3" borderId="333" xfId="0" applyNumberFormat="1" applyFont="1" applyFill="1" applyBorder="1" applyAlignment="1">
      <alignment horizontal="center"/>
    </xf>
    <xf numFmtId="167" fontId="3" fillId="3" borderId="332" xfId="0" applyNumberFormat="1" applyFont="1" applyFill="1" applyBorder="1" applyAlignment="1">
      <alignment horizontal="center"/>
    </xf>
    <xf numFmtId="167" fontId="3" fillId="3" borderId="331" xfId="0" applyNumberFormat="1" applyFont="1" applyFill="1" applyBorder="1" applyAlignment="1">
      <alignment horizontal="center"/>
    </xf>
    <xf numFmtId="165" fontId="3" fillId="0" borderId="325" xfId="0" applyNumberFormat="1" applyFont="1" applyBorder="1" applyAlignment="1">
      <alignment horizontal="center"/>
    </xf>
    <xf numFmtId="165" fontId="3" fillId="0" borderId="324" xfId="0" applyNumberFormat="1" applyFont="1" applyBorder="1" applyAlignment="1">
      <alignment horizontal="center"/>
    </xf>
    <xf numFmtId="3" fontId="3" fillId="8" borderId="324" xfId="0" applyNumberFormat="1" applyFont="1" applyFill="1" applyBorder="1" applyAlignment="1">
      <alignment horizontal="right"/>
    </xf>
    <xf numFmtId="3" fontId="3" fillId="8" borderId="323" xfId="0" applyNumberFormat="1" applyFont="1" applyFill="1" applyBorder="1" applyAlignment="1">
      <alignment horizontal="right"/>
    </xf>
    <xf numFmtId="165" fontId="3" fillId="0" borderId="280" xfId="0" applyNumberFormat="1" applyFont="1" applyBorder="1" applyAlignment="1">
      <alignment horizontal="center"/>
    </xf>
    <xf numFmtId="3" fontId="3" fillId="8" borderId="334" xfId="0" applyNumberFormat="1" applyFont="1" applyFill="1" applyBorder="1" applyAlignment="1">
      <alignment horizontal="right"/>
    </xf>
    <xf numFmtId="165" fontId="3" fillId="0" borderId="330" xfId="0" applyNumberFormat="1" applyFont="1" applyBorder="1" applyAlignment="1">
      <alignment horizontal="center"/>
    </xf>
    <xf numFmtId="165" fontId="3" fillId="0" borderId="329" xfId="0" applyNumberFormat="1" applyFont="1" applyBorder="1" applyAlignment="1">
      <alignment horizontal="center"/>
    </xf>
    <xf numFmtId="44" fontId="3" fillId="8" borderId="329" xfId="3" applyFont="1" applyFill="1" applyBorder="1" applyAlignment="1">
      <alignment horizontal="right"/>
    </xf>
    <xf numFmtId="44" fontId="3" fillId="8" borderId="328" xfId="3" applyFont="1" applyFill="1" applyBorder="1" applyAlignment="1">
      <alignment horizontal="right"/>
    </xf>
    <xf numFmtId="44" fontId="3" fillId="8" borderId="324" xfId="3" applyFont="1" applyFill="1" applyBorder="1" applyAlignment="1">
      <alignment horizontal="right"/>
    </xf>
    <xf numFmtId="44" fontId="3" fillId="8" borderId="323" xfId="3" applyFont="1" applyFill="1" applyBorder="1" applyAlignment="1">
      <alignment horizontal="right"/>
    </xf>
    <xf numFmtId="165" fontId="3" fillId="0" borderId="333" xfId="0" applyNumberFormat="1" applyFont="1" applyBorder="1" applyAlignment="1">
      <alignment horizontal="center"/>
    </xf>
    <xf numFmtId="165" fontId="3" fillId="0" borderId="332" xfId="0" applyNumberFormat="1" applyFont="1" applyBorder="1" applyAlignment="1">
      <alignment horizontal="center"/>
    </xf>
    <xf numFmtId="44" fontId="3" fillId="0" borderId="332" xfId="3" applyFont="1" applyBorder="1" applyAlignment="1">
      <alignment horizontal="center"/>
    </xf>
    <xf numFmtId="44" fontId="3" fillId="0" borderId="331" xfId="3" applyFont="1" applyBorder="1" applyAlignment="1">
      <alignment horizontal="center"/>
    </xf>
    <xf numFmtId="44" fontId="3" fillId="0" borderId="329" xfId="3" applyFont="1" applyBorder="1" applyAlignment="1">
      <alignment horizontal="center"/>
    </xf>
    <xf numFmtId="44" fontId="3" fillId="0" borderId="328" xfId="3" applyFont="1" applyBorder="1" applyAlignment="1">
      <alignment horizontal="center"/>
    </xf>
    <xf numFmtId="0" fontId="41" fillId="0" borderId="325" xfId="0" applyFont="1" applyFill="1" applyBorder="1" applyAlignment="1">
      <alignment horizontal="center" vertical="center"/>
    </xf>
    <xf numFmtId="0" fontId="41" fillId="0" borderId="324" xfId="0" applyFont="1" applyFill="1" applyBorder="1" applyAlignment="1">
      <alignment horizontal="center" vertical="center"/>
    </xf>
    <xf numFmtId="0" fontId="41" fillId="0" borderId="323" xfId="0" applyFont="1" applyFill="1" applyBorder="1" applyAlignment="1">
      <alignment horizontal="center" vertical="center"/>
    </xf>
    <xf numFmtId="0" fontId="41" fillId="0" borderId="326" xfId="0" applyFont="1" applyFill="1" applyBorder="1" applyAlignment="1">
      <alignment horizontal="center" vertical="center"/>
    </xf>
    <xf numFmtId="0" fontId="41" fillId="0" borderId="294" xfId="0" applyFont="1" applyFill="1" applyBorder="1" applyAlignment="1">
      <alignment horizontal="center" vertical="center"/>
    </xf>
    <xf numFmtId="0" fontId="41" fillId="0" borderId="286" xfId="0" applyFont="1" applyFill="1" applyBorder="1" applyAlignment="1">
      <alignment horizontal="center" vertical="center"/>
    </xf>
    <xf numFmtId="0" fontId="41" fillId="0" borderId="289" xfId="0" applyFont="1" applyFill="1" applyBorder="1" applyAlignment="1">
      <alignment horizontal="center" vertical="center"/>
    </xf>
    <xf numFmtId="0" fontId="41" fillId="0" borderId="335" xfId="0" applyFont="1" applyFill="1" applyBorder="1" applyAlignment="1">
      <alignment horizontal="center" vertical="center"/>
    </xf>
    <xf numFmtId="0" fontId="41" fillId="0" borderId="336" xfId="0" applyFont="1" applyFill="1" applyBorder="1" applyAlignment="1">
      <alignment horizontal="center" vertical="center"/>
    </xf>
    <xf numFmtId="0" fontId="22" fillId="12" borderId="346" xfId="0" applyFont="1" applyFill="1" applyBorder="1" applyAlignment="1">
      <alignment horizontal="center"/>
    </xf>
    <xf numFmtId="2" fontId="22" fillId="12" borderId="346" xfId="0" applyNumberFormat="1" applyFont="1" applyFill="1" applyBorder="1" applyAlignment="1">
      <alignment horizontal="center"/>
    </xf>
    <xf numFmtId="44" fontId="22" fillId="12" borderId="346" xfId="3" applyFont="1" applyFill="1" applyBorder="1" applyAlignment="1">
      <alignment horizontal="center"/>
    </xf>
    <xf numFmtId="167" fontId="3" fillId="3" borderId="380" xfId="0" applyNumberFormat="1" applyFont="1" applyFill="1" applyBorder="1" applyAlignment="1">
      <alignment horizontal="center"/>
    </xf>
    <xf numFmtId="167" fontId="3" fillId="3" borderId="379" xfId="0" applyNumberFormat="1" applyFont="1" applyFill="1" applyBorder="1" applyAlignment="1">
      <alignment horizontal="center"/>
    </xf>
    <xf numFmtId="167" fontId="3" fillId="3" borderId="378" xfId="0" applyNumberFormat="1" applyFont="1" applyFill="1" applyBorder="1" applyAlignment="1">
      <alignment horizontal="center"/>
    </xf>
    <xf numFmtId="165" fontId="3" fillId="0" borderId="385" xfId="0" applyNumberFormat="1" applyFont="1" applyBorder="1" applyAlignment="1">
      <alignment horizontal="center"/>
    </xf>
    <xf numFmtId="165" fontId="3" fillId="0" borderId="384" xfId="0" applyNumberFormat="1" applyFont="1" applyBorder="1" applyAlignment="1">
      <alignment horizontal="center"/>
    </xf>
    <xf numFmtId="3" fontId="3" fillId="8" borderId="384" xfId="0" applyNumberFormat="1" applyFont="1" applyFill="1" applyBorder="1" applyAlignment="1">
      <alignment horizontal="right"/>
    </xf>
    <xf numFmtId="3" fontId="3" fillId="8" borderId="383" xfId="0" applyNumberFormat="1" applyFont="1" applyFill="1" applyBorder="1" applyAlignment="1">
      <alignment horizontal="right"/>
    </xf>
    <xf numFmtId="165" fontId="3" fillId="0" borderId="382" xfId="0" applyNumberFormat="1" applyFont="1" applyBorder="1" applyAlignment="1">
      <alignment horizontal="center"/>
    </xf>
    <xf numFmtId="3" fontId="3" fillId="8" borderId="381" xfId="0" applyNumberFormat="1" applyFont="1" applyFill="1" applyBorder="1" applyAlignment="1">
      <alignment horizontal="right"/>
    </xf>
    <xf numFmtId="165" fontId="3" fillId="0" borderId="377" xfId="0" applyNumberFormat="1" applyFont="1" applyBorder="1" applyAlignment="1">
      <alignment horizontal="center"/>
    </xf>
    <xf numFmtId="165" fontId="3" fillId="0" borderId="376" xfId="0" applyNumberFormat="1" applyFont="1" applyBorder="1" applyAlignment="1">
      <alignment horizontal="center"/>
    </xf>
    <xf numFmtId="44" fontId="3" fillId="8" borderId="376" xfId="3" applyFont="1" applyFill="1" applyBorder="1" applyAlignment="1">
      <alignment horizontal="right"/>
    </xf>
    <xf numFmtId="44" fontId="3" fillId="8" borderId="375" xfId="3" applyFont="1" applyFill="1" applyBorder="1" applyAlignment="1">
      <alignment horizontal="right"/>
    </xf>
    <xf numFmtId="0" fontId="45" fillId="0" borderId="371" xfId="0" applyFont="1" applyFill="1" applyBorder="1" applyAlignment="1">
      <alignment horizontal="center" vertical="center"/>
    </xf>
    <xf numFmtId="0" fontId="45" fillId="0" borderId="370" xfId="0" applyFont="1" applyFill="1" applyBorder="1" applyAlignment="1">
      <alignment horizontal="center" vertical="center"/>
    </xf>
    <xf numFmtId="0" fontId="45" fillId="0" borderId="373" xfId="0" applyFont="1" applyFill="1" applyBorder="1" applyAlignment="1">
      <alignment horizontal="center" vertical="center"/>
    </xf>
    <xf numFmtId="165" fontId="45" fillId="0" borderId="372" xfId="0" applyNumberFormat="1" applyFont="1" applyFill="1" applyBorder="1" applyAlignment="1">
      <alignment horizontal="center" vertical="center"/>
    </xf>
    <xf numFmtId="165" fontId="45" fillId="0" borderId="370" xfId="0" applyNumberFormat="1" applyFont="1" applyFill="1" applyBorder="1" applyAlignment="1">
      <alignment horizontal="center" vertical="center"/>
    </xf>
    <xf numFmtId="165" fontId="45" fillId="0" borderId="369" xfId="0" applyNumberFormat="1" applyFont="1" applyFill="1" applyBorder="1" applyAlignment="1">
      <alignment horizontal="center" vertical="center"/>
    </xf>
    <xf numFmtId="0" fontId="45" fillId="0" borderId="372" xfId="0" applyFont="1" applyFill="1" applyBorder="1" applyAlignment="1">
      <alignment horizontal="center" vertical="center"/>
    </xf>
    <xf numFmtId="0" fontId="45" fillId="0" borderId="369" xfId="0" applyFont="1" applyFill="1" applyBorder="1" applyAlignment="1">
      <alignment horizontal="center" vertical="center"/>
    </xf>
    <xf numFmtId="44" fontId="3" fillId="8" borderId="381" xfId="3" applyFont="1" applyFill="1" applyBorder="1" applyAlignment="1">
      <alignment horizontal="right"/>
    </xf>
    <xf numFmtId="165" fontId="3" fillId="0" borderId="380" xfId="0" applyNumberFormat="1" applyFont="1" applyBorder="1" applyAlignment="1">
      <alignment horizontal="center"/>
    </xf>
    <xf numFmtId="165" fontId="3" fillId="0" borderId="379" xfId="0" applyNumberFormat="1" applyFont="1" applyBorder="1" applyAlignment="1">
      <alignment horizontal="center"/>
    </xf>
    <xf numFmtId="44" fontId="3" fillId="0" borderId="379" xfId="3" applyFont="1" applyBorder="1" applyAlignment="1">
      <alignment horizontal="center"/>
    </xf>
    <xf numFmtId="44" fontId="3" fillId="0" borderId="378" xfId="3" applyFont="1" applyBorder="1" applyAlignment="1">
      <alignment horizontal="center"/>
    </xf>
    <xf numFmtId="44" fontId="3" fillId="0" borderId="376" xfId="3" applyFont="1" applyBorder="1" applyAlignment="1">
      <alignment horizontal="center"/>
    </xf>
    <xf numFmtId="44" fontId="3" fillId="0" borderId="375" xfId="3" applyFont="1" applyBorder="1" applyAlignment="1">
      <alignment horizontal="center"/>
    </xf>
    <xf numFmtId="0" fontId="22" fillId="16" borderId="346" xfId="0" applyFont="1" applyFill="1" applyBorder="1" applyAlignment="1">
      <alignment horizontal="center"/>
    </xf>
    <xf numFmtId="2" fontId="22" fillId="16" borderId="346" xfId="0" applyNumberFormat="1" applyFont="1" applyFill="1" applyBorder="1" applyAlignment="1">
      <alignment horizontal="center"/>
    </xf>
    <xf numFmtId="44" fontId="22" fillId="16" borderId="346" xfId="3" applyFont="1" applyFill="1" applyBorder="1" applyAlignment="1">
      <alignment horizontal="center"/>
    </xf>
    <xf numFmtId="0" fontId="58" fillId="0" borderId="501" xfId="0" applyFont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167" fontId="3" fillId="3" borderId="472" xfId="0" applyNumberFormat="1" applyFont="1" applyFill="1" applyBorder="1" applyAlignment="1">
      <alignment horizontal="center"/>
    </xf>
    <xf numFmtId="167" fontId="3" fillId="3" borderId="473" xfId="0" applyNumberFormat="1" applyFont="1" applyFill="1" applyBorder="1" applyAlignment="1">
      <alignment horizontal="center"/>
    </xf>
    <xf numFmtId="167" fontId="3" fillId="3" borderId="474" xfId="0" applyNumberFormat="1" applyFont="1" applyFill="1" applyBorder="1" applyAlignment="1">
      <alignment horizontal="center"/>
    </xf>
    <xf numFmtId="165" fontId="3" fillId="0" borderId="467" xfId="0" applyNumberFormat="1" applyFont="1" applyBorder="1" applyAlignment="1">
      <alignment horizontal="center"/>
    </xf>
    <xf numFmtId="3" fontId="3" fillId="8" borderId="468" xfId="0" applyNumberFormat="1" applyFont="1" applyFill="1" applyBorder="1" applyAlignment="1">
      <alignment horizontal="right"/>
    </xf>
    <xf numFmtId="165" fontId="3" fillId="0" borderId="469" xfId="0" applyNumberFormat="1" applyFont="1" applyBorder="1" applyAlignment="1">
      <alignment horizontal="center"/>
    </xf>
    <xf numFmtId="165" fontId="3" fillId="0" borderId="470" xfId="0" applyNumberFormat="1" applyFont="1" applyBorder="1" applyAlignment="1">
      <alignment horizontal="center"/>
    </xf>
    <xf numFmtId="44" fontId="3" fillId="8" borderId="470" xfId="3" applyFont="1" applyFill="1" applyBorder="1" applyAlignment="1">
      <alignment horizontal="right"/>
    </xf>
    <xf numFmtId="44" fontId="3" fillId="8" borderId="471" xfId="3" applyFont="1" applyFill="1" applyBorder="1" applyAlignment="1">
      <alignment horizontal="right"/>
    </xf>
    <xf numFmtId="165" fontId="3" fillId="0" borderId="464" xfId="0" applyNumberFormat="1" applyFont="1" applyBorder="1" applyAlignment="1">
      <alignment horizontal="center"/>
    </xf>
    <xf numFmtId="165" fontId="3" fillId="0" borderId="465" xfId="0" applyNumberFormat="1" applyFont="1" applyBorder="1" applyAlignment="1">
      <alignment horizontal="center"/>
    </xf>
    <xf numFmtId="3" fontId="3" fillId="8" borderId="465" xfId="0" applyNumberFormat="1" applyFont="1" applyFill="1" applyBorder="1" applyAlignment="1">
      <alignment horizontal="right"/>
    </xf>
    <xf numFmtId="3" fontId="3" fillId="8" borderId="466" xfId="0" applyNumberFormat="1" applyFont="1" applyFill="1" applyBorder="1" applyAlignment="1">
      <alignment horizontal="right"/>
    </xf>
    <xf numFmtId="44" fontId="3" fillId="8" borderId="465" xfId="3" applyFont="1" applyFill="1" applyBorder="1" applyAlignment="1">
      <alignment horizontal="right"/>
    </xf>
    <xf numFmtId="44" fontId="3" fillId="8" borderId="466" xfId="3" applyFont="1" applyFill="1" applyBorder="1" applyAlignment="1">
      <alignment horizontal="right"/>
    </xf>
    <xf numFmtId="165" fontId="3" fillId="0" borderId="472" xfId="0" applyNumberFormat="1" applyFont="1" applyBorder="1" applyAlignment="1">
      <alignment horizontal="center"/>
    </xf>
    <xf numFmtId="165" fontId="3" fillId="0" borderId="473" xfId="0" applyNumberFormat="1" applyFont="1" applyBorder="1" applyAlignment="1">
      <alignment horizontal="center"/>
    </xf>
    <xf numFmtId="44" fontId="3" fillId="0" borderId="473" xfId="3" applyFont="1" applyBorder="1" applyAlignment="1">
      <alignment horizontal="center"/>
    </xf>
    <xf numFmtId="44" fontId="3" fillId="0" borderId="474" xfId="3" applyFont="1" applyBorder="1" applyAlignment="1">
      <alignment horizontal="center"/>
    </xf>
    <xf numFmtId="44" fontId="3" fillId="0" borderId="470" xfId="3" applyFont="1" applyBorder="1" applyAlignment="1">
      <alignment horizontal="center"/>
    </xf>
    <xf numFmtId="44" fontId="3" fillId="0" borderId="471" xfId="3" applyFont="1" applyBorder="1" applyAlignment="1">
      <alignment horizontal="center"/>
    </xf>
    <xf numFmtId="0" fontId="45" fillId="0" borderId="460" xfId="0" applyFont="1" applyFill="1" applyBorder="1" applyAlignment="1">
      <alignment horizontal="center" vertical="center"/>
    </xf>
    <xf numFmtId="0" fontId="45" fillId="0" borderId="447" xfId="0" applyFont="1" applyFill="1" applyBorder="1" applyAlignment="1">
      <alignment horizontal="center" vertical="center"/>
    </xf>
    <xf numFmtId="0" fontId="45" fillId="0" borderId="449" xfId="0" applyFont="1" applyFill="1" applyBorder="1" applyAlignment="1">
      <alignment horizontal="center" vertical="center"/>
    </xf>
    <xf numFmtId="165" fontId="45" fillId="0" borderId="460" xfId="0" applyNumberFormat="1" applyFont="1" applyFill="1" applyBorder="1" applyAlignment="1">
      <alignment horizontal="center" vertical="center"/>
    </xf>
    <xf numFmtId="165" fontId="45" fillId="0" borderId="447" xfId="0" applyNumberFormat="1" applyFont="1" applyFill="1" applyBorder="1" applyAlignment="1">
      <alignment horizontal="center" vertical="center"/>
    </xf>
    <xf numFmtId="165" fontId="45" fillId="0" borderId="449" xfId="0" applyNumberFormat="1" applyFont="1" applyFill="1" applyBorder="1" applyAlignment="1">
      <alignment horizontal="center" vertical="center"/>
    </xf>
    <xf numFmtId="0" fontId="45" fillId="0" borderId="446" xfId="0" applyFont="1" applyFill="1" applyBorder="1" applyAlignment="1">
      <alignment horizontal="center" vertical="center"/>
    </xf>
    <xf numFmtId="0" fontId="45" fillId="0" borderId="448" xfId="0" applyFont="1" applyFill="1" applyBorder="1" applyAlignment="1">
      <alignment horizontal="center" vertical="center"/>
    </xf>
    <xf numFmtId="0" fontId="22" fillId="17" borderId="346" xfId="0" applyFont="1" applyFill="1" applyBorder="1" applyAlignment="1">
      <alignment horizontal="center"/>
    </xf>
    <xf numFmtId="2" fontId="22" fillId="17" borderId="346" xfId="0" applyNumberFormat="1" applyFont="1" applyFill="1" applyBorder="1" applyAlignment="1">
      <alignment horizontal="center"/>
    </xf>
    <xf numFmtId="44" fontId="22" fillId="17" borderId="346" xfId="3" applyFont="1" applyFill="1" applyBorder="1" applyAlignment="1">
      <alignment horizontal="center"/>
    </xf>
    <xf numFmtId="0" fontId="45" fillId="0" borderId="480" xfId="0" applyFont="1" applyFill="1" applyBorder="1" applyAlignment="1">
      <alignment horizontal="center" vertical="center"/>
    </xf>
    <xf numFmtId="0" fontId="45" fillId="0" borderId="481" xfId="0" applyFont="1" applyFill="1" applyBorder="1" applyAlignment="1">
      <alignment horizontal="center" vertical="center"/>
    </xf>
    <xf numFmtId="0" fontId="45" fillId="0" borderId="482" xfId="0" applyFont="1" applyFill="1" applyBorder="1" applyAlignment="1">
      <alignment horizontal="center" vertical="center"/>
    </xf>
    <xf numFmtId="165" fontId="3" fillId="0" borderId="498" xfId="0" applyNumberFormat="1" applyFont="1" applyBorder="1" applyAlignment="1">
      <alignment horizontal="center"/>
    </xf>
    <xf numFmtId="165" fontId="3" fillId="0" borderId="499" xfId="0" applyNumberFormat="1" applyFont="1" applyBorder="1" applyAlignment="1">
      <alignment horizontal="center"/>
    </xf>
    <xf numFmtId="44" fontId="3" fillId="0" borderId="499" xfId="3" applyFont="1" applyBorder="1" applyAlignment="1">
      <alignment horizontal="center"/>
    </xf>
    <xf numFmtId="44" fontId="3" fillId="0" borderId="500" xfId="3" applyFont="1" applyBorder="1" applyAlignment="1">
      <alignment horizontal="center"/>
    </xf>
    <xf numFmtId="165" fontId="3" fillId="0" borderId="490" xfId="0" applyNumberFormat="1" applyFont="1" applyBorder="1" applyAlignment="1">
      <alignment horizontal="center"/>
    </xf>
    <xf numFmtId="165" fontId="3" fillId="0" borderId="491" xfId="0" applyNumberFormat="1" applyFont="1" applyBorder="1" applyAlignment="1">
      <alignment horizontal="center"/>
    </xf>
    <xf numFmtId="44" fontId="3" fillId="8" borderId="491" xfId="3" applyFont="1" applyFill="1" applyBorder="1" applyAlignment="1">
      <alignment horizontal="right"/>
    </xf>
    <xf numFmtId="44" fontId="3" fillId="8" borderId="492" xfId="3" applyFont="1" applyFill="1" applyBorder="1" applyAlignment="1">
      <alignment horizontal="right"/>
    </xf>
    <xf numFmtId="165" fontId="3" fillId="0" borderId="495" xfId="0" applyNumberFormat="1" applyFont="1" applyBorder="1" applyAlignment="1">
      <alignment horizontal="center"/>
    </xf>
    <xf numFmtId="165" fontId="3" fillId="0" borderId="496" xfId="0" applyNumberFormat="1" applyFont="1" applyBorder="1" applyAlignment="1">
      <alignment horizontal="center"/>
    </xf>
    <xf numFmtId="44" fontId="3" fillId="8" borderId="496" xfId="3" applyFont="1" applyFill="1" applyBorder="1" applyAlignment="1">
      <alignment horizontal="right"/>
    </xf>
    <xf numFmtId="44" fontId="3" fillId="8" borderId="497" xfId="3" applyFont="1" applyFill="1" applyBorder="1" applyAlignment="1">
      <alignment horizontal="right"/>
    </xf>
    <xf numFmtId="167" fontId="3" fillId="3" borderId="498" xfId="0" applyNumberFormat="1" applyFont="1" applyFill="1" applyBorder="1" applyAlignment="1">
      <alignment horizontal="center"/>
    </xf>
    <xf numFmtId="167" fontId="3" fillId="3" borderId="499" xfId="0" applyNumberFormat="1" applyFont="1" applyFill="1" applyBorder="1" applyAlignment="1">
      <alignment horizontal="center"/>
    </xf>
    <xf numFmtId="167" fontId="3" fillId="3" borderId="500" xfId="0" applyNumberFormat="1" applyFont="1" applyFill="1" applyBorder="1" applyAlignment="1">
      <alignment horizontal="center"/>
    </xf>
    <xf numFmtId="165" fontId="3" fillId="0" borderId="493" xfId="0" applyNumberFormat="1" applyFont="1" applyBorder="1" applyAlignment="1">
      <alignment horizontal="center"/>
    </xf>
    <xf numFmtId="3" fontId="3" fillId="8" borderId="494" xfId="0" applyNumberFormat="1" applyFont="1" applyFill="1" applyBorder="1" applyAlignment="1">
      <alignment horizontal="right"/>
    </xf>
    <xf numFmtId="0" fontId="58" fillId="0" borderId="0" xfId="0" applyFont="1" applyFill="1" applyBorder="1" applyAlignment="1">
      <alignment horizontal="center" vertical="center" wrapText="1"/>
    </xf>
    <xf numFmtId="3" fontId="3" fillId="8" borderId="491" xfId="0" applyNumberFormat="1" applyFont="1" applyFill="1" applyBorder="1" applyAlignment="1">
      <alignment horizontal="right"/>
    </xf>
    <xf numFmtId="3" fontId="3" fillId="8" borderId="492" xfId="0" applyNumberFormat="1" applyFont="1" applyFill="1" applyBorder="1" applyAlignment="1">
      <alignment horizontal="right"/>
    </xf>
  </cellXfs>
  <cellStyles count="5">
    <cellStyle name="Komma" xfId="1" builtinId="3"/>
    <cellStyle name="Link" xfId="4" builtinId="8"/>
    <cellStyle name="Prozent" xfId="2" builtinId="5"/>
    <cellStyle name="Standard" xfId="0" builtinId="0"/>
    <cellStyle name="Währung" xfId="3" builtinId="4"/>
  </cellStyles>
  <dxfs count="0"/>
  <tableStyles count="0" defaultTableStyle="TableStyleMedium2" defaultPivotStyle="PivotStyleLight16"/>
  <colors>
    <mruColors>
      <color rgb="FFB4E0FE"/>
      <color rgb="FFFE82AE"/>
      <color rgb="FF33CCCC"/>
      <color rgb="FF00FFFF"/>
      <color rgb="FF0555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2</xdr:row>
      <xdr:rowOff>161925</xdr:rowOff>
    </xdr:from>
    <xdr:to>
      <xdr:col>0</xdr:col>
      <xdr:colOff>1088117</xdr:colOff>
      <xdr:row>2</xdr:row>
      <xdr:rowOff>792842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600075"/>
          <a:ext cx="630917" cy="630917"/>
        </a:xfrm>
        <a:prstGeom prst="rect">
          <a:avLst/>
        </a:prstGeom>
      </xdr:spPr>
    </xdr:pic>
    <xdr:clientData/>
  </xdr:twoCellAnchor>
  <xdr:oneCellAnchor>
    <xdr:from>
      <xdr:col>1</xdr:col>
      <xdr:colOff>464344</xdr:colOff>
      <xdr:row>2</xdr:row>
      <xdr:rowOff>27518</xdr:rowOff>
    </xdr:from>
    <xdr:ext cx="889264" cy="889264"/>
    <xdr:pic>
      <xdr:nvPicPr>
        <xdr:cNvPr id="3" name="Grafik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250282" y="468049"/>
          <a:ext cx="889264" cy="889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171449</xdr:colOff>
      <xdr:row>2</xdr:row>
      <xdr:rowOff>183137</xdr:rowOff>
    </xdr:from>
    <xdr:to>
      <xdr:col>4</xdr:col>
      <xdr:colOff>1660211</xdr:colOff>
      <xdr:row>2</xdr:row>
      <xdr:rowOff>788415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621287"/>
          <a:ext cx="1488762" cy="605278"/>
        </a:xfrm>
        <a:prstGeom prst="rect">
          <a:avLst/>
        </a:prstGeom>
      </xdr:spPr>
    </xdr:pic>
    <xdr:clientData/>
  </xdr:twoCellAnchor>
  <xdr:oneCellAnchor>
    <xdr:from>
      <xdr:col>5</xdr:col>
      <xdr:colOff>114300</xdr:colOff>
      <xdr:row>2</xdr:row>
      <xdr:rowOff>209550</xdr:rowOff>
    </xdr:from>
    <xdr:ext cx="1466366" cy="581025"/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5" y="647700"/>
          <a:ext cx="1466366" cy="581025"/>
        </a:xfrm>
        <a:prstGeom prst="rect">
          <a:avLst/>
        </a:prstGeom>
      </xdr:spPr>
    </xdr:pic>
    <xdr:clientData/>
  </xdr:oneCellAnchor>
  <xdr:twoCellAnchor editAs="oneCell">
    <xdr:from>
      <xdr:col>6</xdr:col>
      <xdr:colOff>419100</xdr:colOff>
      <xdr:row>2</xdr:row>
      <xdr:rowOff>38100</xdr:rowOff>
    </xdr:from>
    <xdr:to>
      <xdr:col>6</xdr:col>
      <xdr:colOff>1438275</xdr:colOff>
      <xdr:row>2</xdr:row>
      <xdr:rowOff>953765</xdr:rowOff>
    </xdr:to>
    <xdr:pic>
      <xdr:nvPicPr>
        <xdr:cNvPr id="7" name="Grafik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150" y="476250"/>
          <a:ext cx="1019175" cy="915665"/>
        </a:xfrm>
        <a:prstGeom prst="rect">
          <a:avLst/>
        </a:prstGeom>
      </xdr:spPr>
    </xdr:pic>
    <xdr:clientData/>
  </xdr:twoCellAnchor>
  <xdr:twoCellAnchor editAs="oneCell">
    <xdr:from>
      <xdr:col>7</xdr:col>
      <xdr:colOff>419100</xdr:colOff>
      <xdr:row>2</xdr:row>
      <xdr:rowOff>28575</xdr:rowOff>
    </xdr:from>
    <xdr:to>
      <xdr:col>7</xdr:col>
      <xdr:colOff>1486715</xdr:colOff>
      <xdr:row>2</xdr:row>
      <xdr:rowOff>996874</xdr:rowOff>
    </xdr:to>
    <xdr:pic>
      <xdr:nvPicPr>
        <xdr:cNvPr id="8" name="Grafik 7" descr="Datei:Ffn Logo 2015.png – Wikipedia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7325" y="466725"/>
          <a:ext cx="1067615" cy="968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</xdr:colOff>
      <xdr:row>1</xdr:row>
      <xdr:rowOff>95250</xdr:rowOff>
    </xdr:from>
    <xdr:to>
      <xdr:col>2</xdr:col>
      <xdr:colOff>1589125</xdr:colOff>
      <xdr:row>2</xdr:row>
      <xdr:rowOff>981075</xdr:rowOff>
    </xdr:to>
    <xdr:pic>
      <xdr:nvPicPr>
        <xdr:cNvPr id="10" name="Grafik 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025" y="342900"/>
          <a:ext cx="1522450" cy="1076325"/>
        </a:xfrm>
        <a:prstGeom prst="rect">
          <a:avLst/>
        </a:prstGeom>
      </xdr:spPr>
    </xdr:pic>
    <xdr:clientData/>
  </xdr:twoCellAnchor>
  <xdr:twoCellAnchor editAs="oneCell">
    <xdr:from>
      <xdr:col>3</xdr:col>
      <xdr:colOff>118476</xdr:colOff>
      <xdr:row>2</xdr:row>
      <xdr:rowOff>76201</xdr:rowOff>
    </xdr:from>
    <xdr:to>
      <xdr:col>3</xdr:col>
      <xdr:colOff>1669386</xdr:colOff>
      <xdr:row>2</xdr:row>
      <xdr:rowOff>876301</xdr:rowOff>
    </xdr:to>
    <xdr:pic>
      <xdr:nvPicPr>
        <xdr:cNvPr id="9" name="Grafik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62001" y="514351"/>
          <a:ext cx="1550910" cy="800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2</xdr:row>
      <xdr:rowOff>304800</xdr:rowOff>
    </xdr:to>
    <xdr:sp macro="" textlink="">
      <xdr:nvSpPr>
        <xdr:cNvPr id="1025" name="AutoShape 1" descr="Radio Wellenrausch Schleswig-Holstein startet am 29.10.23"/>
        <xdr:cNvSpPr>
          <a:spLocks noChangeAspect="1" noChangeArrowheads="1"/>
        </xdr:cNvSpPr>
      </xdr:nvSpPr>
      <xdr:spPr bwMode="auto">
        <a:xfrm>
          <a:off x="14249400" y="4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114300</xdr:rowOff>
    </xdr:to>
    <xdr:sp macro="" textlink="">
      <xdr:nvSpPr>
        <xdr:cNvPr id="1027" name="AutoShape 3" descr="Radio Wellenrausch-Logo"/>
        <xdr:cNvSpPr>
          <a:spLocks noChangeAspect="1" noChangeArrowheads="1"/>
        </xdr:cNvSpPr>
      </xdr:nvSpPr>
      <xdr:spPr bwMode="auto">
        <a:xfrm>
          <a:off x="8905875" y="305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1752600</xdr:colOff>
      <xdr:row>2</xdr:row>
      <xdr:rowOff>0</xdr:rowOff>
    </xdr:from>
    <xdr:to>
      <xdr:col>8</xdr:col>
      <xdr:colOff>276225</xdr:colOff>
      <xdr:row>2</xdr:row>
      <xdr:rowOff>304800</xdr:rowOff>
    </xdr:to>
    <xdr:sp macro="" textlink="">
      <xdr:nvSpPr>
        <xdr:cNvPr id="1028" name="AutoShape 4" descr="Radio Wellenrausch-Logo"/>
        <xdr:cNvSpPr>
          <a:spLocks noChangeAspect="1" noChangeArrowheads="1"/>
        </xdr:cNvSpPr>
      </xdr:nvSpPr>
      <xdr:spPr bwMode="auto">
        <a:xfrm>
          <a:off x="14220825" y="4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600075</xdr:colOff>
      <xdr:row>23</xdr:row>
      <xdr:rowOff>161925</xdr:rowOff>
    </xdr:to>
    <xdr:sp macro="" textlink="">
      <xdr:nvSpPr>
        <xdr:cNvPr id="1029" name="AutoShape 5" descr="Radio Wellenrausch-Logo"/>
        <xdr:cNvSpPr>
          <a:spLocks noChangeAspect="1" noChangeArrowheads="1"/>
        </xdr:cNvSpPr>
      </xdr:nvSpPr>
      <xdr:spPr bwMode="auto">
        <a:xfrm>
          <a:off x="12468225" y="4010025"/>
          <a:ext cx="2381250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104775</xdr:rowOff>
    </xdr:from>
    <xdr:ext cx="1555656" cy="484234"/>
    <xdr:pic>
      <xdr:nvPicPr>
        <xdr:cNvPr id="2" name="Grafik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0" t="21545" b="22433"/>
        <a:stretch>
          <a:fillRect/>
        </a:stretch>
      </xdr:blipFill>
      <xdr:spPr bwMode="auto">
        <a:xfrm>
          <a:off x="0" y="295275"/>
          <a:ext cx="1555656" cy="484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537882</xdr:colOff>
      <xdr:row>1</xdr:row>
      <xdr:rowOff>22410</xdr:rowOff>
    </xdr:from>
    <xdr:ext cx="630917" cy="630917"/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882" y="212910"/>
          <a:ext cx="630917" cy="63091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57150</xdr:rowOff>
    </xdr:from>
    <xdr:ext cx="1550194" cy="871538"/>
    <xdr:pic>
      <xdr:nvPicPr>
        <xdr:cNvPr id="2" name="Grafik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0"/>
        <a:stretch>
          <a:fillRect/>
        </a:stretch>
      </xdr:blipFill>
      <xdr:spPr bwMode="auto">
        <a:xfrm>
          <a:off x="19050" y="57150"/>
          <a:ext cx="1550194" cy="871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76200</xdr:colOff>
      <xdr:row>1</xdr:row>
      <xdr:rowOff>19050</xdr:rowOff>
    </xdr:from>
    <xdr:to>
      <xdr:col>3</xdr:col>
      <xdr:colOff>9525</xdr:colOff>
      <xdr:row>1</xdr:row>
      <xdr:rowOff>561975</xdr:rowOff>
    </xdr:to>
    <xdr:pic>
      <xdr:nvPicPr>
        <xdr:cNvPr id="3" name="Bild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209550"/>
          <a:ext cx="8953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171450</xdr:rowOff>
    </xdr:from>
    <xdr:ext cx="1554956" cy="495300"/>
    <xdr:pic>
      <xdr:nvPicPr>
        <xdr:cNvPr id="2" name="Grafik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0" t="21545" b="22433"/>
        <a:stretch>
          <a:fillRect/>
        </a:stretch>
      </xdr:blipFill>
      <xdr:spPr bwMode="auto">
        <a:xfrm>
          <a:off x="0" y="361950"/>
          <a:ext cx="1554956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602456</xdr:colOff>
      <xdr:row>1</xdr:row>
      <xdr:rowOff>159544</xdr:rowOff>
    </xdr:from>
    <xdr:ext cx="514350" cy="514350"/>
    <xdr:pic>
      <xdr:nvPicPr>
        <xdr:cNvPr id="3" name="Grafik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3750" y="652603"/>
          <a:ext cx="5143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550194" cy="871538"/>
    <xdr:pic>
      <xdr:nvPicPr>
        <xdr:cNvPr id="2" name="Grafik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0"/>
        <a:stretch>
          <a:fillRect/>
        </a:stretch>
      </xdr:blipFill>
      <xdr:spPr bwMode="auto">
        <a:xfrm>
          <a:off x="0" y="57150"/>
          <a:ext cx="1550194" cy="871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28575</xdr:colOff>
      <xdr:row>1</xdr:row>
      <xdr:rowOff>38100</xdr:rowOff>
    </xdr:from>
    <xdr:ext cx="523875" cy="523875"/>
    <xdr:pic>
      <xdr:nvPicPr>
        <xdr:cNvPr id="3" name="Grafik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97794" y="228600"/>
          <a:ext cx="5238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235654</xdr:rowOff>
    </xdr:from>
    <xdr:to>
      <xdr:col>1</xdr:col>
      <xdr:colOff>0</xdr:colOff>
      <xdr:row>2</xdr:row>
      <xdr:rowOff>661146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8713"/>
          <a:ext cx="1389529" cy="7168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1</xdr:row>
      <xdr:rowOff>0</xdr:rowOff>
    </xdr:from>
    <xdr:to>
      <xdr:col>2</xdr:col>
      <xdr:colOff>239821</xdr:colOff>
      <xdr:row>2</xdr:row>
      <xdr:rowOff>26894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29" y="190500"/>
          <a:ext cx="1550910" cy="8001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88846</xdr:colOff>
      <xdr:row>2</xdr:row>
      <xdr:rowOff>138532</xdr:rowOff>
    </xdr:from>
    <xdr:to>
      <xdr:col>0</xdr:col>
      <xdr:colOff>1382016</xdr:colOff>
      <xdr:row>2</xdr:row>
      <xdr:rowOff>664289</xdr:rowOff>
    </xdr:to>
    <xdr:pic>
      <xdr:nvPicPr>
        <xdr:cNvPr id="7" name="Grafik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46" y="922944"/>
          <a:ext cx="1293170" cy="5257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73449</xdr:rowOff>
    </xdr:from>
    <xdr:to>
      <xdr:col>3</xdr:col>
      <xdr:colOff>313765</xdr:colOff>
      <xdr:row>2</xdr:row>
      <xdr:rowOff>2702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73449"/>
          <a:ext cx="2196353" cy="89295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228600</xdr:rowOff>
    </xdr:from>
    <xdr:ext cx="2313214" cy="1162050"/>
    <xdr:pic>
      <xdr:nvPicPr>
        <xdr:cNvPr id="2" name="Grafik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0"/>
        <a:stretch>
          <a:fillRect/>
        </a:stretch>
      </xdr:blipFill>
      <xdr:spPr bwMode="auto">
        <a:xfrm>
          <a:off x="85725" y="200025"/>
          <a:ext cx="2313214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525235</xdr:colOff>
      <xdr:row>0</xdr:row>
      <xdr:rowOff>104775</xdr:rowOff>
    </xdr:from>
    <xdr:ext cx="1655989" cy="1321254"/>
    <xdr:pic>
      <xdr:nvPicPr>
        <xdr:cNvPr id="3" name="Grafik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3164" y="104775"/>
          <a:ext cx="1655989" cy="1321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57150</xdr:rowOff>
    </xdr:from>
    <xdr:ext cx="1362075" cy="762000"/>
    <xdr:pic>
      <xdr:nvPicPr>
        <xdr:cNvPr id="2" name="Grafik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0"/>
        <a:stretch>
          <a:fillRect/>
        </a:stretch>
      </xdr:blipFill>
      <xdr:spPr bwMode="auto">
        <a:xfrm>
          <a:off x="19050" y="57150"/>
          <a:ext cx="13620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190500</xdr:colOff>
      <xdr:row>0</xdr:row>
      <xdr:rowOff>28575</xdr:rowOff>
    </xdr:from>
    <xdr:ext cx="800100" cy="809625"/>
    <xdr:pic>
      <xdr:nvPicPr>
        <xdr:cNvPr id="3" name="Grafik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8575"/>
          <a:ext cx="8001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266700</xdr:rowOff>
    </xdr:from>
    <xdr:ext cx="1553975" cy="485354"/>
    <xdr:pic>
      <xdr:nvPicPr>
        <xdr:cNvPr id="2" name="Grafik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0" t="21545" b="22433"/>
        <a:stretch>
          <a:fillRect/>
        </a:stretch>
      </xdr:blipFill>
      <xdr:spPr bwMode="auto">
        <a:xfrm>
          <a:off x="0" y="381000"/>
          <a:ext cx="1553975" cy="485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438150</xdr:colOff>
      <xdr:row>1</xdr:row>
      <xdr:rowOff>152400</xdr:rowOff>
    </xdr:from>
    <xdr:ext cx="1805736" cy="715495"/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" y="342900"/>
          <a:ext cx="1805736" cy="71549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57150</xdr:rowOff>
    </xdr:from>
    <xdr:ext cx="1550194" cy="871538"/>
    <xdr:pic>
      <xdr:nvPicPr>
        <xdr:cNvPr id="2" name="Grafik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0"/>
        <a:stretch>
          <a:fillRect/>
        </a:stretch>
      </xdr:blipFill>
      <xdr:spPr bwMode="auto">
        <a:xfrm>
          <a:off x="66675" y="57150"/>
          <a:ext cx="1550194" cy="871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190500</xdr:colOff>
      <xdr:row>0</xdr:row>
      <xdr:rowOff>119063</xdr:rowOff>
    </xdr:from>
    <xdr:ext cx="1805736" cy="715495"/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19063"/>
          <a:ext cx="1805736" cy="71549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459441</xdr:rowOff>
    </xdr:from>
    <xdr:to>
      <xdr:col>1</xdr:col>
      <xdr:colOff>343387</xdr:colOff>
      <xdr:row>5</xdr:row>
      <xdr:rowOff>11206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9441"/>
          <a:ext cx="1284681" cy="115420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107157</xdr:colOff>
      <xdr:row>3</xdr:row>
      <xdr:rowOff>34044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71562" cy="96273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1</xdr:row>
      <xdr:rowOff>22411</xdr:rowOff>
    </xdr:from>
    <xdr:to>
      <xdr:col>1</xdr:col>
      <xdr:colOff>148733</xdr:colOff>
      <xdr:row>4</xdr:row>
      <xdr:rowOff>83034</xdr:rowOff>
    </xdr:to>
    <xdr:pic>
      <xdr:nvPicPr>
        <xdr:cNvPr id="3" name="Grafik 2" descr="Datei:Ffn Logo 2015.png – Wiki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2" y="515470"/>
          <a:ext cx="1067615" cy="968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17318</xdr:colOff>
      <xdr:row>0</xdr:row>
      <xdr:rowOff>0</xdr:rowOff>
    </xdr:from>
    <xdr:to>
      <xdr:col>1</xdr:col>
      <xdr:colOff>121227</xdr:colOff>
      <xdr:row>3</xdr:row>
      <xdr:rowOff>27005</xdr:rowOff>
    </xdr:to>
    <xdr:pic>
      <xdr:nvPicPr>
        <xdr:cNvPr id="3" name="Grafik 2" descr="Datei:Ffn Logo 2015.png – Wiki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8" y="0"/>
          <a:ext cx="1073727" cy="962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="80" zoomScaleNormal="80" workbookViewId="0">
      <selection activeCell="B14" sqref="B14"/>
    </sheetView>
  </sheetViews>
  <sheetFormatPr baseColWidth="10" defaultRowHeight="15"/>
  <cols>
    <col min="1" max="8" width="26.7109375" customWidth="1"/>
    <col min="9" max="9" width="20.140625" customWidth="1"/>
  </cols>
  <sheetData>
    <row r="1" spans="1:9" ht="19.5">
      <c r="A1" s="837" t="s">
        <v>139</v>
      </c>
    </row>
    <row r="3" spans="1:9" ht="80.25" customHeight="1"/>
    <row r="4" spans="1:9">
      <c r="A4" s="840" t="s">
        <v>140</v>
      </c>
      <c r="B4" s="840" t="s">
        <v>172</v>
      </c>
      <c r="C4" s="840" t="s">
        <v>141</v>
      </c>
      <c r="D4" s="840" t="s">
        <v>170</v>
      </c>
      <c r="E4" s="840" t="s">
        <v>142</v>
      </c>
      <c r="F4" s="840" t="s">
        <v>143</v>
      </c>
      <c r="G4" s="840" t="s">
        <v>159</v>
      </c>
      <c r="H4" s="840" t="s">
        <v>160</v>
      </c>
      <c r="I4" s="840"/>
    </row>
    <row r="5" spans="1:9" ht="25.5">
      <c r="A5" s="839" t="s">
        <v>144</v>
      </c>
      <c r="B5" s="839" t="s">
        <v>144</v>
      </c>
      <c r="C5" s="839" t="s">
        <v>144</v>
      </c>
      <c r="D5" s="839" t="s">
        <v>144</v>
      </c>
      <c r="E5" s="839" t="s">
        <v>144</v>
      </c>
      <c r="F5" s="839" t="s">
        <v>144</v>
      </c>
      <c r="G5" s="839" t="s">
        <v>144</v>
      </c>
      <c r="H5" s="839" t="s">
        <v>144</v>
      </c>
      <c r="I5" s="839"/>
    </row>
    <row r="6" spans="1:9" ht="25.5">
      <c r="A6" s="839" t="s">
        <v>145</v>
      </c>
      <c r="B6" s="839" t="s">
        <v>145</v>
      </c>
      <c r="C6" s="839" t="s">
        <v>145</v>
      </c>
      <c r="D6" s="839" t="s">
        <v>145</v>
      </c>
      <c r="E6" s="839" t="s">
        <v>145</v>
      </c>
      <c r="F6" s="839" t="s">
        <v>145</v>
      </c>
      <c r="G6" s="839" t="s">
        <v>145</v>
      </c>
      <c r="H6" s="839" t="s">
        <v>145</v>
      </c>
      <c r="I6" s="839"/>
    </row>
    <row r="7" spans="1:9">
      <c r="A7" s="840"/>
      <c r="B7" s="840"/>
      <c r="C7" s="840"/>
      <c r="D7" s="840"/>
      <c r="E7" s="840"/>
      <c r="F7" s="840"/>
      <c r="G7" s="840"/>
      <c r="H7" s="840"/>
    </row>
    <row r="8" spans="1:9">
      <c r="A8" s="840"/>
      <c r="B8" s="840"/>
      <c r="C8" s="840"/>
      <c r="D8" s="840"/>
      <c r="E8" s="840"/>
      <c r="F8" s="840"/>
      <c r="G8" s="840"/>
      <c r="H8" s="840"/>
    </row>
    <row r="9" spans="1:9">
      <c r="A9" s="840"/>
      <c r="B9" s="840"/>
      <c r="C9" s="840"/>
      <c r="D9" s="840"/>
      <c r="E9" s="840"/>
      <c r="F9" s="840"/>
      <c r="G9" s="840"/>
      <c r="H9" s="840"/>
    </row>
    <row r="10" spans="1:9">
      <c r="A10" s="840"/>
      <c r="B10" s="840"/>
      <c r="C10" s="840"/>
      <c r="D10" s="840"/>
      <c r="E10" s="840"/>
      <c r="F10" s="840"/>
      <c r="G10" s="840"/>
      <c r="H10" s="840"/>
    </row>
    <row r="11" spans="1:9">
      <c r="A11" s="841"/>
      <c r="B11" s="841"/>
      <c r="C11" s="841"/>
      <c r="D11" s="841"/>
      <c r="E11" s="841"/>
      <c r="G11" s="841"/>
      <c r="H11" s="841"/>
    </row>
    <row r="12" spans="1:9">
      <c r="A12" s="841"/>
      <c r="B12" s="841"/>
      <c r="C12" s="841"/>
      <c r="D12" s="841"/>
      <c r="E12" s="841"/>
      <c r="F12" s="841"/>
      <c r="G12" s="841"/>
      <c r="H12" s="841"/>
    </row>
    <row r="19" spans="2:2">
      <c r="B19" s="838"/>
    </row>
  </sheetData>
  <hyperlinks>
    <hyperlink ref="A5" location="'Preise RHH'!A1" display="Preise"/>
    <hyperlink ref="A6" location="PlanerRHH!A1" display="Planer"/>
    <hyperlink ref="B5" location="'Preise HH2'!A1" display="Preise"/>
    <hyperlink ref="B6" location="PlanerHH2!A1" display="Planer"/>
    <hyperlink ref="C5" location="'Preise RAHH'!A1" display="Preise"/>
    <hyperlink ref="C6" location="'Planer RAHH'!A1" display="Planer"/>
    <hyperlink ref="D5" location="'Preise MOREHHKombi'!A1" display="Preise"/>
    <hyperlink ref="D6" location="'Planer MOREHHKombi'!A1" display="Planer"/>
    <hyperlink ref="E5" location="'Preise MOREHHKombi+'!Druckbereich" display="Preise"/>
    <hyperlink ref="E6" location="'Planer MOREHHKombi+'!A1" display="Planer"/>
    <hyperlink ref="F5" location="'Preise CARAVANFM'!A1" display="Preise"/>
    <hyperlink ref="F6" location="PlanerCARAVANFM!A1" display="Planer"/>
    <hyperlink ref="G5" location="'Preise Bollerwagen'!A1" display="Preise"/>
    <hyperlink ref="G6" location="'Planer Bollerwagen'!A1" display="Planer"/>
    <hyperlink ref="H5" location="'Preise radio ffn'!Druckbereich" display="Preise"/>
    <hyperlink ref="H6" location="'Planer radio ffn'!A1" display="Planer"/>
  </hyperlinks>
  <pageMargins left="0.7" right="0.7" top="0.78740157499999996" bottom="0.78740157499999996" header="0.3" footer="0.3"/>
  <pageSetup paperSize="9" orientation="portrait" horizontalDpi="204" verticalDpi="196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119"/>
  <sheetViews>
    <sheetView view="pageBreakPreview" zoomScale="85" zoomScaleNormal="85" zoomScaleSheetLayoutView="85" workbookViewId="0">
      <pane ySplit="12" topLeftCell="A13" activePane="bottomLeft" state="frozen"/>
      <selection activeCell="A4" sqref="A4:BH4"/>
      <selection pane="bottomLeft"/>
    </sheetView>
  </sheetViews>
  <sheetFormatPr baseColWidth="10" defaultColWidth="11.42578125" defaultRowHeight="15"/>
  <cols>
    <col min="1" max="1" width="14.140625" style="1" customWidth="1"/>
    <col min="2" max="2" width="18.7109375" style="99" customWidth="1"/>
    <col min="3" max="3" width="18" style="96" customWidth="1"/>
    <col min="4" max="4" width="18.7109375" style="96" customWidth="1"/>
    <col min="5" max="5" width="15.85546875" style="96" customWidth="1"/>
    <col min="6" max="6" width="18.140625" style="96" customWidth="1"/>
    <col min="7" max="7" width="19" style="96" customWidth="1"/>
    <col min="8" max="8" width="18.5703125" style="96" customWidth="1"/>
    <col min="9" max="9" width="18.7109375" style="96" customWidth="1"/>
    <col min="10" max="10" width="19.5703125" style="96" customWidth="1"/>
    <col min="11" max="11" width="15.85546875" style="96" customWidth="1"/>
    <col min="12" max="12" width="18" style="1" customWidth="1"/>
    <col min="13" max="13" width="20.42578125" style="1" customWidth="1"/>
    <col min="14" max="14" width="10.5703125" style="1" customWidth="1"/>
    <col min="15" max="15" width="3.85546875" style="1" customWidth="1"/>
    <col min="16" max="16" width="3.5703125" style="1" customWidth="1"/>
    <col min="17" max="17" width="2.42578125" style="1" customWidth="1"/>
    <col min="18" max="18" width="3.140625" style="1" customWidth="1"/>
    <col min="19" max="19" width="10.42578125" style="1" customWidth="1"/>
    <col min="20" max="20" width="7.7109375" style="1" customWidth="1"/>
    <col min="21" max="21" width="12.85546875" style="1" bestFit="1" customWidth="1"/>
    <col min="22" max="22" width="11.7109375" style="1" bestFit="1" customWidth="1"/>
    <col min="23" max="23" width="14.42578125" style="1" bestFit="1" customWidth="1"/>
    <col min="24" max="24" width="20.42578125" style="1" bestFit="1" customWidth="1"/>
    <col min="25" max="25" width="19.5703125" style="1" bestFit="1" customWidth="1"/>
    <col min="26" max="16384" width="11.42578125" style="1"/>
  </cols>
  <sheetData>
    <row r="1" spans="1:64" ht="39" customHeight="1" thickBot="1">
      <c r="A1" s="533" t="s">
        <v>169</v>
      </c>
      <c r="B1" s="533"/>
      <c r="C1" s="533"/>
      <c r="D1" s="564"/>
      <c r="E1" s="859" t="s">
        <v>132</v>
      </c>
      <c r="F1" s="859"/>
      <c r="G1" s="859"/>
      <c r="H1" s="859"/>
      <c r="I1" s="859"/>
      <c r="J1" s="859"/>
      <c r="K1" s="859"/>
      <c r="L1" s="859"/>
      <c r="M1" s="859"/>
      <c r="N1" s="859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</row>
    <row r="2" spans="1:64" ht="23.25">
      <c r="D2" s="405"/>
      <c r="E2" s="563" t="s">
        <v>125</v>
      </c>
      <c r="F2" s="549"/>
      <c r="G2" s="549"/>
      <c r="H2" s="549"/>
      <c r="I2" s="549"/>
      <c r="J2" s="549"/>
      <c r="K2" s="549"/>
      <c r="L2" s="549"/>
      <c r="M2" s="549"/>
      <c r="N2" s="550"/>
      <c r="P2" s="565" t="s">
        <v>110</v>
      </c>
      <c r="Q2" s="565"/>
      <c r="R2" s="565"/>
      <c r="S2" s="565"/>
      <c r="T2" s="565" t="s">
        <v>113</v>
      </c>
    </row>
    <row r="3" spans="1:64" s="91" customFormat="1" ht="32.450000000000003" customHeight="1">
      <c r="A3" s="545"/>
      <c r="B3" s="545"/>
      <c r="C3" s="545"/>
      <c r="E3" s="542" t="s">
        <v>129</v>
      </c>
      <c r="F3" s="543" t="s">
        <v>153</v>
      </c>
      <c r="G3" s="543" t="s">
        <v>126</v>
      </c>
      <c r="H3" s="548" t="s">
        <v>128</v>
      </c>
      <c r="I3" s="543" t="s">
        <v>127</v>
      </c>
      <c r="J3" s="543" t="s">
        <v>130</v>
      </c>
      <c r="K3" s="543" t="s">
        <v>131</v>
      </c>
      <c r="L3" s="543" t="s">
        <v>135</v>
      </c>
      <c r="M3" s="543" t="s">
        <v>133</v>
      </c>
      <c r="N3" s="544" t="s">
        <v>134</v>
      </c>
      <c r="P3" s="566">
        <v>1</v>
      </c>
      <c r="Q3" s="566" t="s">
        <v>112</v>
      </c>
      <c r="R3" s="566">
        <v>15</v>
      </c>
      <c r="S3" s="566" t="s">
        <v>111</v>
      </c>
      <c r="T3" s="566">
        <v>110</v>
      </c>
    </row>
    <row r="4" spans="1:64" ht="15.75">
      <c r="E4" s="541" t="s">
        <v>137</v>
      </c>
      <c r="F4" s="539" t="s">
        <v>108</v>
      </c>
      <c r="G4" s="539"/>
      <c r="H4" s="540">
        <f>IF($E$4=$J$11,VLOOKUP($F$4,$A$37:$K$78,11,0),IF($E$4=$H$11,VLOOKUP($F$4,$A$37:$K$78,9,0),IF($E$4=$F$11,VLOOKUP($F$4,$A$37:$K$78,7,0),IF($E$4=$D$11,VLOOKUP($F$4,$A$37:$K$78,5,0),IF($E$4=$B$11,VLOOKUP($F$4,$A$37:$K$78,3,0))))))</f>
        <v>411.42857142857144</v>
      </c>
      <c r="I4" s="540">
        <f>H4*G4</f>
        <v>0</v>
      </c>
      <c r="J4" s="551"/>
      <c r="K4" s="551"/>
      <c r="L4" s="540">
        <f>(I4-(I4*J4))-(I4-(I4*J4))*K4</f>
        <v>0</v>
      </c>
      <c r="M4" s="556" t="e">
        <f>1-L4/I4</f>
        <v>#DIV/0!</v>
      </c>
      <c r="N4" s="557" t="e">
        <f>(1-M4)*100</f>
        <v>#DIV/0!</v>
      </c>
      <c r="P4" s="566">
        <v>16</v>
      </c>
      <c r="Q4" s="566" t="s">
        <v>112</v>
      </c>
      <c r="R4" s="566">
        <v>24</v>
      </c>
      <c r="S4" s="566" t="s">
        <v>111</v>
      </c>
      <c r="T4" s="566">
        <v>105</v>
      </c>
    </row>
    <row r="5" spans="1:64" s="2" customFormat="1" ht="15.75">
      <c r="B5" s="97"/>
      <c r="C5" s="95"/>
      <c r="E5" s="541" t="s">
        <v>55</v>
      </c>
      <c r="F5" s="539" t="s">
        <v>79</v>
      </c>
      <c r="G5" s="539"/>
      <c r="H5" s="540">
        <f>IF($E$5=$J$11,VLOOKUP($F$5,$A$37:$K$78,11,0),IF($E$5=$H$11,VLOOKUP($F$5,$A$37:$K$78,9,0),IF($E$5=$F$11,VLOOKUP($F$5,$A$37:$K$78,7,0),IF($E$5=$D$11,VLOOKUP($F$5,$A$37:$K$78,5,0),IF($E$5=$B$11,VLOOKUP($F$5,$A$37:$K$78,3,0))))))</f>
        <v>798</v>
      </c>
      <c r="I5" s="540">
        <f>H5*G5</f>
        <v>0</v>
      </c>
      <c r="J5" s="551"/>
      <c r="K5" s="552"/>
      <c r="L5" s="540">
        <f>(I5-(I5*J5))-(I5-(I5*J5))*K5</f>
        <v>0</v>
      </c>
      <c r="M5" s="556" t="e">
        <f>1-L5/I5</f>
        <v>#DIV/0!</v>
      </c>
      <c r="N5" s="557" t="e">
        <f>(1-M5)*100</f>
        <v>#DIV/0!</v>
      </c>
      <c r="P5" s="566">
        <v>25</v>
      </c>
      <c r="Q5" s="566" t="s">
        <v>112</v>
      </c>
      <c r="R5" s="566">
        <v>34</v>
      </c>
      <c r="S5" s="566" t="s">
        <v>111</v>
      </c>
      <c r="T5" s="566">
        <v>100</v>
      </c>
    </row>
    <row r="6" spans="1:64" s="2" customFormat="1" ht="16.5" thickBot="1">
      <c r="B6" s="97"/>
      <c r="C6" s="95"/>
      <c r="E6" s="541" t="s">
        <v>55</v>
      </c>
      <c r="F6" s="539" t="s">
        <v>79</v>
      </c>
      <c r="G6" s="539"/>
      <c r="H6" s="540">
        <f>IF($E$6=$J$11,VLOOKUP($F$6,$A$37:$K$78,11,0),IF($E$6=$H$11,VLOOKUP($F$6,$A$37:$K$78,9,0),IF($E$6=$F$11,VLOOKUP($F$6,$A$37:$K$78,7,0),IF($E$6=$D$11,VLOOKUP($F$6,$A$37:$K$78,5,0),IF($E$6=$B$11,VLOOKUP($F$6,$A$37:$K$78,3,0))))))</f>
        <v>798</v>
      </c>
      <c r="I6" s="540">
        <f>H6*G6</f>
        <v>0</v>
      </c>
      <c r="J6" s="551"/>
      <c r="K6" s="552"/>
      <c r="L6" s="540">
        <f>(I6-(I6*J6))-(I6-(I6*J6))*K6</f>
        <v>0</v>
      </c>
      <c r="M6" s="556" t="e">
        <f>1-L6/I6</f>
        <v>#DIV/0!</v>
      </c>
      <c r="N6" s="557" t="e">
        <f>(1-M6)*100</f>
        <v>#DIV/0!</v>
      </c>
      <c r="P6" s="566">
        <v>35</v>
      </c>
      <c r="Q6" s="566" t="s">
        <v>112</v>
      </c>
      <c r="R6" s="566">
        <v>99</v>
      </c>
      <c r="S6" s="566" t="s">
        <v>111</v>
      </c>
      <c r="T6" s="566">
        <v>95</v>
      </c>
    </row>
    <row r="7" spans="1:64" s="2" customFormat="1" ht="18.75" thickBot="1">
      <c r="A7" s="92" t="s">
        <v>53</v>
      </c>
      <c r="B7" s="97"/>
      <c r="C7" s="562">
        <v>20</v>
      </c>
      <c r="E7" s="848" t="s">
        <v>55</v>
      </c>
      <c r="F7" s="849" t="s">
        <v>79</v>
      </c>
      <c r="G7" s="849"/>
      <c r="H7" s="850">
        <f>IF($E$7=$J$11,VLOOKUP($F$7,$A$37:$K$78,11,0),IF($E$7=$H$11,VLOOKUP($F$7,$A$37:$K$78,9,0),IF($E$7=$F$11,VLOOKUP($F$7,$A$37:$K$78,7,0),IF($E$7=$D$11,VLOOKUP($F$7,$A$37:$K$78,5,0),IF($E$7=$B$11,VLOOKUP($F$7,$A$37:$K$78,3,0))))))</f>
        <v>798</v>
      </c>
      <c r="I7" s="850">
        <f>H7*G7</f>
        <v>0</v>
      </c>
      <c r="J7" s="851"/>
      <c r="K7" s="852"/>
      <c r="L7" s="850">
        <f>(I7-(I7*J7))-(I7-(I7*J7))*K7</f>
        <v>0</v>
      </c>
      <c r="M7" s="853" t="e">
        <f>1-L7/I7</f>
        <v>#DIV/0!</v>
      </c>
      <c r="N7" s="854" t="e">
        <f>(1-M7)*100</f>
        <v>#DIV/0!</v>
      </c>
    </row>
    <row r="8" spans="1:64" s="2" customFormat="1" ht="18">
      <c r="A8" s="92" t="s">
        <v>162</v>
      </c>
      <c r="B8" s="97"/>
      <c r="C8" s="561"/>
      <c r="E8" s="182"/>
      <c r="F8" s="182"/>
      <c r="G8" s="182"/>
      <c r="H8" s="554"/>
      <c r="I8" s="554"/>
      <c r="J8" s="558"/>
      <c r="K8" s="559"/>
      <c r="L8" s="554">
        <f>SUM(L4:L7)</f>
        <v>0</v>
      </c>
      <c r="M8" s="555"/>
      <c r="N8" s="560"/>
      <c r="O8" s="147"/>
      <c r="Q8" s="147"/>
      <c r="R8" s="147"/>
      <c r="S8" s="147"/>
    </row>
    <row r="9" spans="1:64" s="2" customFormat="1" ht="18.75" thickBot="1">
      <c r="A9" s="92" t="s">
        <v>163</v>
      </c>
      <c r="B9" s="97"/>
      <c r="C9" s="561"/>
      <c r="E9" s="182"/>
      <c r="F9" s="182"/>
      <c r="G9" s="182"/>
      <c r="H9" s="554"/>
      <c r="I9" s="554"/>
      <c r="J9" s="558"/>
      <c r="K9" s="559"/>
      <c r="L9" s="554"/>
      <c r="M9" s="555"/>
      <c r="N9" s="560"/>
      <c r="O9" s="147"/>
      <c r="P9" s="147"/>
      <c r="Q9" s="147"/>
      <c r="R9" s="147"/>
      <c r="S9" s="147"/>
    </row>
    <row r="10" spans="1:64" s="2" customFormat="1" ht="18.75" thickBot="1">
      <c r="A10" s="860" t="s">
        <v>54</v>
      </c>
      <c r="B10" s="861"/>
      <c r="C10" s="861"/>
      <c r="D10" s="861"/>
      <c r="E10" s="862"/>
      <c r="F10" s="862"/>
      <c r="G10" s="862"/>
      <c r="H10" s="862"/>
      <c r="I10" s="862"/>
      <c r="J10" s="862"/>
      <c r="K10" s="863"/>
    </row>
    <row r="11" spans="1:64" s="3" customFormat="1" ht="19.899999999999999" customHeight="1">
      <c r="A11" s="120"/>
      <c r="B11" s="864" t="s">
        <v>55</v>
      </c>
      <c r="C11" s="865"/>
      <c r="D11" s="866" t="s">
        <v>0</v>
      </c>
      <c r="E11" s="867"/>
      <c r="F11" s="866" t="s">
        <v>21</v>
      </c>
      <c r="G11" s="867"/>
      <c r="H11" s="868" t="s">
        <v>56</v>
      </c>
      <c r="I11" s="869"/>
      <c r="J11" s="870" t="s">
        <v>57</v>
      </c>
      <c r="K11" s="871"/>
    </row>
    <row r="12" spans="1:64" s="2" customFormat="1" ht="38.25" customHeight="1" thickBot="1">
      <c r="A12" s="121" t="s">
        <v>58</v>
      </c>
      <c r="B12" s="139" t="s">
        <v>114</v>
      </c>
      <c r="C12" s="122" t="s">
        <v>59</v>
      </c>
      <c r="D12" s="139" t="s">
        <v>109</v>
      </c>
      <c r="E12" s="122" t="s">
        <v>59</v>
      </c>
      <c r="F12" s="139" t="s">
        <v>109</v>
      </c>
      <c r="G12" s="123" t="s">
        <v>59</v>
      </c>
      <c r="H12" s="139" t="s">
        <v>109</v>
      </c>
      <c r="I12" s="123" t="s">
        <v>59</v>
      </c>
      <c r="J12" s="139" t="s">
        <v>109</v>
      </c>
      <c r="K12" s="124" t="s">
        <v>59</v>
      </c>
    </row>
    <row r="13" spans="1:64" s="2" customFormat="1" ht="21.6" customHeight="1">
      <c r="A13" s="93" t="s">
        <v>103</v>
      </c>
      <c r="B13" s="108">
        <v>1</v>
      </c>
      <c r="C13" s="100">
        <f t="shared" ref="C13:C45" si="0">IF(AND($C$7&gt;=$P$5,$C$7&lt;=$R$5),B13*$C$7*$T$5/100,IF(AND($C$7&gt;=$P$4,$C$7&lt;=$R$4),B13*$C$7*$T$4/100,IF(AND($C$7&gt;=$P$3,$C$7&lt;=$R$3),B13*$C$7*$T$3/100,IF($C$7&gt;=$P$6,B13*$C$7*$T$6/100))))</f>
        <v>21</v>
      </c>
      <c r="D13" s="109">
        <v>1</v>
      </c>
      <c r="E13" s="100">
        <f t="shared" ref="E13:E45" si="1">IF(AND($C$7&gt;=$P$5,$C$7&lt;=$R$5),D13*$C$7*$T$5/100,IF(AND($C$7&gt;=$P$4,$C$7&lt;=$R$4),D13*$C$7*$T$4/100,IF(AND($C$7&gt;=$P$3,$C$7&lt;=$R$3),D13*$C$7*$T$3/100,IF($C$7&gt;=$P$6,D13*$C$7*$T$6/100))))</f>
        <v>21</v>
      </c>
      <c r="F13" s="103">
        <v>1</v>
      </c>
      <c r="G13" s="100">
        <f t="shared" ref="G13:G35" si="2">IF(AND($C$7&gt;=$P$5,$C$7&lt;=$R$5),F13*$C$7*$T$5/100,IF(AND($C$7&gt;=$P$4,$C$7&lt;=$R$4),F13*$C$7*$T$4/100,IF(AND($C$7&gt;=$P$3,$C$7&lt;=$R$3),F13*$C$7*$T$3/100,IF($C$7&gt;=$P$6,F13*$C$7*$T$6/100))))</f>
        <v>21</v>
      </c>
      <c r="H13" s="103">
        <f t="shared" ref="H13:H36" si="3">((B13*5)+D13)/6</f>
        <v>1</v>
      </c>
      <c r="I13" s="100">
        <f t="shared" ref="I13:I36" si="4">IF(AND($C$7&gt;=$P$5,$C$7&lt;=$R$5),H13*$C$7*$T$5/100,IF(AND($C$7&gt;=$P$4,$C$7&lt;=$R$4),H13*$C$7*$T$4/100,IF(AND($C$7&gt;=$P$3,$C$7&lt;=$R$3),H13*$C$7*$T$3/100,IF($C$7&gt;=$P$6,H13*$C$7*$T$6/100))))</f>
        <v>21</v>
      </c>
      <c r="J13" s="110">
        <f t="shared" ref="J13:J36" si="5">((B13*5)+D13+F13)/7</f>
        <v>1</v>
      </c>
      <c r="K13" s="100">
        <f t="shared" ref="K13:K36" si="6">IF(AND($C$7&gt;=$P$5,$C$7&lt;=$R$5),J13*$C$7*$T$5/100,IF(AND($C$7&gt;=$P$4,$C$7&lt;=$R$4),J13*$C$7*$T$4/100,IF(AND($C$7&gt;=$P$3,$C$7&lt;=$R$3),J13*$C$7*$T$3/100,IF($C$7&gt;=$P$6,J13*$C$7*$T$6/100))))</f>
        <v>21</v>
      </c>
      <c r="L13" s="553"/>
      <c r="M13" s="553"/>
      <c r="N13" s="553"/>
      <c r="T13" s="140"/>
      <c r="U13" s="140"/>
    </row>
    <row r="14" spans="1:64" s="2" customFormat="1" ht="21.6" customHeight="1">
      <c r="A14" s="93" t="s">
        <v>107</v>
      </c>
      <c r="B14" s="108">
        <v>1</v>
      </c>
      <c r="C14" s="100">
        <f t="shared" si="0"/>
        <v>21</v>
      </c>
      <c r="D14" s="109">
        <v>1</v>
      </c>
      <c r="E14" s="100">
        <f t="shared" si="1"/>
        <v>21</v>
      </c>
      <c r="F14" s="103">
        <v>1</v>
      </c>
      <c r="G14" s="100">
        <f t="shared" si="2"/>
        <v>21</v>
      </c>
      <c r="H14" s="103">
        <f t="shared" si="3"/>
        <v>1</v>
      </c>
      <c r="I14" s="100">
        <f t="shared" si="4"/>
        <v>21</v>
      </c>
      <c r="J14" s="110">
        <f t="shared" si="5"/>
        <v>1</v>
      </c>
      <c r="K14" s="100">
        <f t="shared" si="6"/>
        <v>21</v>
      </c>
      <c r="T14" s="140"/>
      <c r="U14" s="140"/>
    </row>
    <row r="15" spans="1:64" s="2" customFormat="1" ht="21.6" customHeight="1">
      <c r="A15" s="93" t="s">
        <v>106</v>
      </c>
      <c r="B15" s="108">
        <v>1</v>
      </c>
      <c r="C15" s="100">
        <f t="shared" si="0"/>
        <v>21</v>
      </c>
      <c r="D15" s="109">
        <v>1</v>
      </c>
      <c r="E15" s="100">
        <f t="shared" si="1"/>
        <v>21</v>
      </c>
      <c r="F15" s="103">
        <v>1</v>
      </c>
      <c r="G15" s="100">
        <f t="shared" si="2"/>
        <v>21</v>
      </c>
      <c r="H15" s="103">
        <f t="shared" si="3"/>
        <v>1</v>
      </c>
      <c r="I15" s="100">
        <f t="shared" si="4"/>
        <v>21</v>
      </c>
      <c r="J15" s="110">
        <f t="shared" si="5"/>
        <v>1</v>
      </c>
      <c r="K15" s="100">
        <f t="shared" si="6"/>
        <v>21</v>
      </c>
      <c r="T15" s="140"/>
      <c r="U15" s="140"/>
    </row>
    <row r="16" spans="1:64" s="2" customFormat="1" ht="21.6" customHeight="1">
      <c r="A16" s="93" t="s">
        <v>105</v>
      </c>
      <c r="B16" s="108">
        <v>1</v>
      </c>
      <c r="C16" s="100">
        <f t="shared" si="0"/>
        <v>21</v>
      </c>
      <c r="D16" s="109">
        <v>1</v>
      </c>
      <c r="E16" s="100">
        <f t="shared" si="1"/>
        <v>21</v>
      </c>
      <c r="F16" s="103">
        <v>1</v>
      </c>
      <c r="G16" s="100">
        <f t="shared" si="2"/>
        <v>21</v>
      </c>
      <c r="H16" s="103">
        <f t="shared" si="3"/>
        <v>1</v>
      </c>
      <c r="I16" s="100">
        <f t="shared" si="4"/>
        <v>21</v>
      </c>
      <c r="J16" s="110">
        <f t="shared" si="5"/>
        <v>1</v>
      </c>
      <c r="K16" s="100">
        <f t="shared" si="6"/>
        <v>21</v>
      </c>
    </row>
    <row r="17" spans="1:26" s="2" customFormat="1" ht="18">
      <c r="A17" s="93" t="s">
        <v>104</v>
      </c>
      <c r="B17" s="108">
        <v>1</v>
      </c>
      <c r="C17" s="100">
        <f t="shared" si="0"/>
        <v>21</v>
      </c>
      <c r="D17" s="109">
        <v>1</v>
      </c>
      <c r="E17" s="100">
        <f t="shared" si="1"/>
        <v>21</v>
      </c>
      <c r="F17" s="103">
        <v>1</v>
      </c>
      <c r="G17" s="100">
        <f t="shared" si="2"/>
        <v>21</v>
      </c>
      <c r="H17" s="103">
        <f t="shared" si="3"/>
        <v>1</v>
      </c>
      <c r="I17" s="100">
        <f t="shared" si="4"/>
        <v>21</v>
      </c>
      <c r="J17" s="110">
        <f t="shared" si="5"/>
        <v>1</v>
      </c>
      <c r="K17" s="100">
        <f t="shared" si="6"/>
        <v>21</v>
      </c>
      <c r="S17" s="141"/>
      <c r="V17" s="1"/>
      <c r="W17" s="1"/>
      <c r="X17" s="1"/>
      <c r="Y17" s="1"/>
      <c r="Z17" s="1"/>
    </row>
    <row r="18" spans="1:26" s="2" customFormat="1" ht="18">
      <c r="A18" s="93" t="s">
        <v>60</v>
      </c>
      <c r="B18" s="106">
        <v>13</v>
      </c>
      <c r="C18" s="100">
        <f t="shared" si="0"/>
        <v>273</v>
      </c>
      <c r="D18" s="103">
        <v>3</v>
      </c>
      <c r="E18" s="100">
        <f t="shared" si="1"/>
        <v>63</v>
      </c>
      <c r="F18" s="103">
        <v>3</v>
      </c>
      <c r="G18" s="100">
        <f t="shared" si="2"/>
        <v>63</v>
      </c>
      <c r="H18" s="103">
        <f t="shared" si="3"/>
        <v>11.333333333333334</v>
      </c>
      <c r="I18" s="100">
        <f t="shared" si="4"/>
        <v>238.00000000000003</v>
      </c>
      <c r="J18" s="110">
        <f t="shared" si="5"/>
        <v>10.142857142857142</v>
      </c>
      <c r="K18" s="100">
        <f t="shared" si="6"/>
        <v>212.99999999999997</v>
      </c>
      <c r="V18" s="3"/>
      <c r="W18" s="404"/>
      <c r="X18" s="3"/>
      <c r="Y18" s="3"/>
      <c r="Z18" s="3"/>
    </row>
    <row r="19" spans="1:26" s="2" customFormat="1" ht="18">
      <c r="A19" s="93" t="s">
        <v>61</v>
      </c>
      <c r="B19" s="106">
        <v>48</v>
      </c>
      <c r="C19" s="100">
        <f t="shared" si="0"/>
        <v>1008</v>
      </c>
      <c r="D19" s="103">
        <v>13</v>
      </c>
      <c r="E19" s="100">
        <f t="shared" si="1"/>
        <v>273</v>
      </c>
      <c r="F19" s="103">
        <v>6</v>
      </c>
      <c r="G19" s="100">
        <f t="shared" si="2"/>
        <v>126</v>
      </c>
      <c r="H19" s="103">
        <f t="shared" si="3"/>
        <v>42.166666666666664</v>
      </c>
      <c r="I19" s="100">
        <f t="shared" si="4"/>
        <v>885.49999999999989</v>
      </c>
      <c r="J19" s="110">
        <f t="shared" si="5"/>
        <v>37</v>
      </c>
      <c r="K19" s="100">
        <f t="shared" si="6"/>
        <v>777</v>
      </c>
      <c r="V19" s="3"/>
      <c r="W19" s="3"/>
      <c r="X19" s="3"/>
      <c r="Y19" s="3"/>
      <c r="Z19" s="3"/>
    </row>
    <row r="20" spans="1:26" s="2" customFormat="1" ht="18">
      <c r="A20" s="93" t="s">
        <v>62</v>
      </c>
      <c r="B20" s="106">
        <v>67</v>
      </c>
      <c r="C20" s="100">
        <f t="shared" si="0"/>
        <v>1407</v>
      </c>
      <c r="D20" s="103">
        <v>40</v>
      </c>
      <c r="E20" s="100">
        <f t="shared" si="1"/>
        <v>840</v>
      </c>
      <c r="F20" s="103">
        <v>13</v>
      </c>
      <c r="G20" s="100">
        <f t="shared" si="2"/>
        <v>273</v>
      </c>
      <c r="H20" s="103">
        <f t="shared" si="3"/>
        <v>62.5</v>
      </c>
      <c r="I20" s="100">
        <f t="shared" si="4"/>
        <v>1312.5</v>
      </c>
      <c r="J20" s="110">
        <f t="shared" si="5"/>
        <v>55.428571428571431</v>
      </c>
      <c r="K20" s="100">
        <f t="shared" si="6"/>
        <v>1164.0000000000002</v>
      </c>
      <c r="V20" s="3"/>
      <c r="W20" s="3"/>
      <c r="X20" s="3"/>
      <c r="Y20" s="3"/>
      <c r="Z20" s="3"/>
    </row>
    <row r="21" spans="1:26" s="2" customFormat="1" ht="18">
      <c r="A21" s="93" t="s">
        <v>63</v>
      </c>
      <c r="B21" s="106">
        <v>56</v>
      </c>
      <c r="C21" s="100">
        <f t="shared" si="0"/>
        <v>1176</v>
      </c>
      <c r="D21" s="103">
        <v>53</v>
      </c>
      <c r="E21" s="100">
        <f t="shared" si="1"/>
        <v>1113</v>
      </c>
      <c r="F21" s="103">
        <v>35</v>
      </c>
      <c r="G21" s="100">
        <f t="shared" si="2"/>
        <v>735</v>
      </c>
      <c r="H21" s="103">
        <f t="shared" si="3"/>
        <v>55.5</v>
      </c>
      <c r="I21" s="100">
        <f t="shared" si="4"/>
        <v>1165.5</v>
      </c>
      <c r="J21" s="110">
        <f t="shared" si="5"/>
        <v>52.571428571428569</v>
      </c>
      <c r="K21" s="100">
        <f t="shared" si="6"/>
        <v>1103.9999999999998</v>
      </c>
      <c r="V21" s="3"/>
      <c r="W21" s="3"/>
      <c r="X21" s="3"/>
      <c r="Y21" s="3"/>
      <c r="Z21" s="3"/>
    </row>
    <row r="22" spans="1:26" s="2" customFormat="1" ht="18">
      <c r="A22" s="93" t="s">
        <v>64</v>
      </c>
      <c r="B22" s="106">
        <v>43</v>
      </c>
      <c r="C22" s="100">
        <f t="shared" si="0"/>
        <v>903</v>
      </c>
      <c r="D22" s="103">
        <v>66</v>
      </c>
      <c r="E22" s="100">
        <f t="shared" si="1"/>
        <v>1386</v>
      </c>
      <c r="F22" s="103">
        <v>53</v>
      </c>
      <c r="G22" s="100">
        <f t="shared" si="2"/>
        <v>1113</v>
      </c>
      <c r="H22" s="103">
        <f t="shared" si="3"/>
        <v>46.833333333333336</v>
      </c>
      <c r="I22" s="100">
        <f t="shared" si="4"/>
        <v>983.50000000000011</v>
      </c>
      <c r="J22" s="110">
        <f t="shared" si="5"/>
        <v>47.714285714285715</v>
      </c>
      <c r="K22" s="100">
        <f t="shared" si="6"/>
        <v>1002</v>
      </c>
    </row>
    <row r="23" spans="1:26" s="2" customFormat="1" ht="18">
      <c r="A23" s="93" t="s">
        <v>65</v>
      </c>
      <c r="B23" s="106">
        <v>31</v>
      </c>
      <c r="C23" s="100">
        <f t="shared" si="0"/>
        <v>651</v>
      </c>
      <c r="D23" s="103">
        <v>71</v>
      </c>
      <c r="E23" s="100">
        <f t="shared" si="1"/>
        <v>1491</v>
      </c>
      <c r="F23" s="103">
        <v>41</v>
      </c>
      <c r="G23" s="100">
        <f t="shared" si="2"/>
        <v>861</v>
      </c>
      <c r="H23" s="103">
        <f t="shared" si="3"/>
        <v>37.666666666666664</v>
      </c>
      <c r="I23" s="100">
        <f t="shared" si="4"/>
        <v>790.99999999999989</v>
      </c>
      <c r="J23" s="110">
        <f t="shared" si="5"/>
        <v>38.142857142857146</v>
      </c>
      <c r="K23" s="100">
        <f t="shared" si="6"/>
        <v>801</v>
      </c>
    </row>
    <row r="24" spans="1:26" s="2" customFormat="1" ht="18">
      <c r="A24" s="93" t="s">
        <v>66</v>
      </c>
      <c r="B24" s="106">
        <v>30</v>
      </c>
      <c r="C24" s="100">
        <f t="shared" si="0"/>
        <v>630</v>
      </c>
      <c r="D24" s="103">
        <v>38</v>
      </c>
      <c r="E24" s="100">
        <f t="shared" si="1"/>
        <v>798</v>
      </c>
      <c r="F24" s="103">
        <v>37</v>
      </c>
      <c r="G24" s="100">
        <f t="shared" si="2"/>
        <v>777</v>
      </c>
      <c r="H24" s="103">
        <f t="shared" si="3"/>
        <v>31.333333333333332</v>
      </c>
      <c r="I24" s="100">
        <f t="shared" si="4"/>
        <v>658</v>
      </c>
      <c r="J24" s="110">
        <f t="shared" si="5"/>
        <v>32.142857142857146</v>
      </c>
      <c r="K24" s="100">
        <f t="shared" si="6"/>
        <v>675</v>
      </c>
    </row>
    <row r="25" spans="1:26" s="2" customFormat="1" ht="18">
      <c r="A25" s="93" t="s">
        <v>67</v>
      </c>
      <c r="B25" s="106">
        <v>30</v>
      </c>
      <c r="C25" s="100">
        <f t="shared" si="0"/>
        <v>630</v>
      </c>
      <c r="D25" s="103">
        <v>38</v>
      </c>
      <c r="E25" s="100">
        <f t="shared" si="1"/>
        <v>798</v>
      </c>
      <c r="F25" s="103">
        <v>23</v>
      </c>
      <c r="G25" s="100">
        <f t="shared" si="2"/>
        <v>483</v>
      </c>
      <c r="H25" s="103">
        <f t="shared" si="3"/>
        <v>31.333333333333332</v>
      </c>
      <c r="I25" s="100">
        <f t="shared" si="4"/>
        <v>658</v>
      </c>
      <c r="J25" s="110">
        <f t="shared" si="5"/>
        <v>30.142857142857142</v>
      </c>
      <c r="K25" s="100">
        <f t="shared" si="6"/>
        <v>633</v>
      </c>
    </row>
    <row r="26" spans="1:26" s="2" customFormat="1" ht="18">
      <c r="A26" s="93" t="s">
        <v>68</v>
      </c>
      <c r="B26" s="106">
        <v>30</v>
      </c>
      <c r="C26" s="100">
        <f t="shared" si="0"/>
        <v>630</v>
      </c>
      <c r="D26" s="103">
        <v>25</v>
      </c>
      <c r="E26" s="100">
        <f t="shared" si="1"/>
        <v>525</v>
      </c>
      <c r="F26" s="103">
        <v>18</v>
      </c>
      <c r="G26" s="100">
        <f t="shared" si="2"/>
        <v>378</v>
      </c>
      <c r="H26" s="103">
        <f t="shared" si="3"/>
        <v>29.166666666666668</v>
      </c>
      <c r="I26" s="100">
        <f t="shared" si="4"/>
        <v>612.50000000000011</v>
      </c>
      <c r="J26" s="110">
        <f t="shared" si="5"/>
        <v>27.571428571428573</v>
      </c>
      <c r="K26" s="100">
        <f t="shared" si="6"/>
        <v>579</v>
      </c>
    </row>
    <row r="27" spans="1:26" s="2" customFormat="1" ht="18">
      <c r="A27" s="93" t="s">
        <v>69</v>
      </c>
      <c r="B27" s="106">
        <v>30</v>
      </c>
      <c r="C27" s="100">
        <f t="shared" si="0"/>
        <v>630</v>
      </c>
      <c r="D27" s="103">
        <v>24</v>
      </c>
      <c r="E27" s="100">
        <f t="shared" si="1"/>
        <v>504</v>
      </c>
      <c r="F27" s="103">
        <v>17</v>
      </c>
      <c r="G27" s="100">
        <f t="shared" si="2"/>
        <v>357</v>
      </c>
      <c r="H27" s="103">
        <f t="shared" si="3"/>
        <v>29</v>
      </c>
      <c r="I27" s="100">
        <f t="shared" si="4"/>
        <v>609</v>
      </c>
      <c r="J27" s="110">
        <f t="shared" si="5"/>
        <v>27.285714285714285</v>
      </c>
      <c r="K27" s="100">
        <f t="shared" si="6"/>
        <v>572.99999999999989</v>
      </c>
    </row>
    <row r="28" spans="1:26" s="2" customFormat="1" ht="18">
      <c r="A28" s="93" t="s">
        <v>70</v>
      </c>
      <c r="B28" s="106">
        <v>30</v>
      </c>
      <c r="C28" s="100">
        <f t="shared" si="0"/>
        <v>630</v>
      </c>
      <c r="D28" s="103">
        <v>21</v>
      </c>
      <c r="E28" s="100">
        <f t="shared" si="1"/>
        <v>441</v>
      </c>
      <c r="F28" s="103">
        <v>18</v>
      </c>
      <c r="G28" s="100">
        <f t="shared" si="2"/>
        <v>378</v>
      </c>
      <c r="H28" s="103">
        <f t="shared" si="3"/>
        <v>28.5</v>
      </c>
      <c r="I28" s="100">
        <f t="shared" si="4"/>
        <v>598.5</v>
      </c>
      <c r="J28" s="110">
        <f t="shared" si="5"/>
        <v>27</v>
      </c>
      <c r="K28" s="100">
        <f t="shared" si="6"/>
        <v>567</v>
      </c>
    </row>
    <row r="29" spans="1:26" s="2" customFormat="1" ht="18">
      <c r="A29" s="93" t="s">
        <v>71</v>
      </c>
      <c r="B29" s="106">
        <v>31</v>
      </c>
      <c r="C29" s="100">
        <f t="shared" si="0"/>
        <v>651</v>
      </c>
      <c r="D29" s="103">
        <v>17</v>
      </c>
      <c r="E29" s="100">
        <f t="shared" si="1"/>
        <v>357</v>
      </c>
      <c r="F29" s="103">
        <v>22</v>
      </c>
      <c r="G29" s="100">
        <f t="shared" si="2"/>
        <v>462</v>
      </c>
      <c r="H29" s="103">
        <f t="shared" si="3"/>
        <v>28.666666666666668</v>
      </c>
      <c r="I29" s="100">
        <f t="shared" si="4"/>
        <v>602.00000000000011</v>
      </c>
      <c r="J29" s="110">
        <f t="shared" si="5"/>
        <v>27.714285714285715</v>
      </c>
      <c r="K29" s="100">
        <f t="shared" si="6"/>
        <v>582.00000000000011</v>
      </c>
    </row>
    <row r="30" spans="1:26" s="2" customFormat="1" ht="18">
      <c r="A30" s="93" t="s">
        <v>72</v>
      </c>
      <c r="B30" s="106">
        <v>30</v>
      </c>
      <c r="C30" s="100">
        <f t="shared" si="0"/>
        <v>630</v>
      </c>
      <c r="D30" s="103">
        <v>14</v>
      </c>
      <c r="E30" s="100">
        <f t="shared" si="1"/>
        <v>294</v>
      </c>
      <c r="F30" s="103">
        <v>17</v>
      </c>
      <c r="G30" s="100">
        <f t="shared" si="2"/>
        <v>357</v>
      </c>
      <c r="H30" s="103">
        <f t="shared" si="3"/>
        <v>27.333333333333332</v>
      </c>
      <c r="I30" s="100">
        <f t="shared" si="4"/>
        <v>573.99999999999989</v>
      </c>
      <c r="J30" s="110">
        <f t="shared" si="5"/>
        <v>25.857142857142858</v>
      </c>
      <c r="K30" s="100">
        <f t="shared" si="6"/>
        <v>543</v>
      </c>
    </row>
    <row r="31" spans="1:26" s="2" customFormat="1" ht="18">
      <c r="A31" s="93" t="s">
        <v>73</v>
      </c>
      <c r="B31" s="106">
        <v>23</v>
      </c>
      <c r="C31" s="100">
        <f t="shared" si="0"/>
        <v>483</v>
      </c>
      <c r="D31" s="103">
        <v>9</v>
      </c>
      <c r="E31" s="100">
        <f t="shared" si="1"/>
        <v>189</v>
      </c>
      <c r="F31" s="103">
        <v>8</v>
      </c>
      <c r="G31" s="100">
        <f t="shared" si="2"/>
        <v>168</v>
      </c>
      <c r="H31" s="103">
        <f t="shared" si="3"/>
        <v>20.666666666666668</v>
      </c>
      <c r="I31" s="100">
        <f t="shared" si="4"/>
        <v>434.00000000000006</v>
      </c>
      <c r="J31" s="110">
        <f t="shared" si="5"/>
        <v>18.857142857142858</v>
      </c>
      <c r="K31" s="100">
        <f t="shared" si="6"/>
        <v>396</v>
      </c>
    </row>
    <row r="32" spans="1:26" s="2" customFormat="1" ht="18">
      <c r="A32" s="93" t="s">
        <v>74</v>
      </c>
      <c r="B32" s="106">
        <v>9</v>
      </c>
      <c r="C32" s="100">
        <f t="shared" si="0"/>
        <v>189</v>
      </c>
      <c r="D32" s="103">
        <v>6</v>
      </c>
      <c r="E32" s="100">
        <f t="shared" si="1"/>
        <v>126</v>
      </c>
      <c r="F32" s="103">
        <v>5</v>
      </c>
      <c r="G32" s="100">
        <f t="shared" si="2"/>
        <v>105</v>
      </c>
      <c r="H32" s="103">
        <f t="shared" si="3"/>
        <v>8.5</v>
      </c>
      <c r="I32" s="100">
        <f t="shared" si="4"/>
        <v>178.5</v>
      </c>
      <c r="J32" s="110">
        <f t="shared" si="5"/>
        <v>8</v>
      </c>
      <c r="K32" s="100">
        <f t="shared" si="6"/>
        <v>168</v>
      </c>
    </row>
    <row r="33" spans="1:19" s="2" customFormat="1" ht="18">
      <c r="A33" s="93" t="s">
        <v>75</v>
      </c>
      <c r="B33" s="106">
        <v>6</v>
      </c>
      <c r="C33" s="100">
        <f t="shared" si="0"/>
        <v>126</v>
      </c>
      <c r="D33" s="103">
        <v>2</v>
      </c>
      <c r="E33" s="100">
        <f t="shared" si="1"/>
        <v>42</v>
      </c>
      <c r="F33" s="103">
        <v>2</v>
      </c>
      <c r="G33" s="100">
        <f t="shared" si="2"/>
        <v>42</v>
      </c>
      <c r="H33" s="103">
        <f t="shared" si="3"/>
        <v>5.333333333333333</v>
      </c>
      <c r="I33" s="100">
        <f t="shared" si="4"/>
        <v>111.99999999999999</v>
      </c>
      <c r="J33" s="110">
        <f t="shared" si="5"/>
        <v>4.8571428571428568</v>
      </c>
      <c r="K33" s="100">
        <f t="shared" si="6"/>
        <v>102</v>
      </c>
    </row>
    <row r="34" spans="1:19" s="2" customFormat="1" ht="18">
      <c r="A34" s="93" t="s">
        <v>76</v>
      </c>
      <c r="B34" s="106">
        <v>4</v>
      </c>
      <c r="C34" s="100">
        <f t="shared" si="0"/>
        <v>84</v>
      </c>
      <c r="D34" s="103">
        <v>1</v>
      </c>
      <c r="E34" s="100">
        <f t="shared" si="1"/>
        <v>21</v>
      </c>
      <c r="F34" s="103">
        <v>2</v>
      </c>
      <c r="G34" s="100">
        <f t="shared" si="2"/>
        <v>42</v>
      </c>
      <c r="H34" s="103">
        <f t="shared" si="3"/>
        <v>3.5</v>
      </c>
      <c r="I34" s="100">
        <f t="shared" si="4"/>
        <v>73.5</v>
      </c>
      <c r="J34" s="110">
        <f t="shared" si="5"/>
        <v>3.2857142857142856</v>
      </c>
      <c r="K34" s="100">
        <f t="shared" si="6"/>
        <v>68.999999999999986</v>
      </c>
    </row>
    <row r="35" spans="1:19" s="2" customFormat="1" ht="18">
      <c r="A35" s="93" t="s">
        <v>77</v>
      </c>
      <c r="B35" s="106">
        <v>2</v>
      </c>
      <c r="C35" s="100">
        <f t="shared" si="0"/>
        <v>42</v>
      </c>
      <c r="D35" s="103">
        <v>1</v>
      </c>
      <c r="E35" s="100">
        <f t="shared" si="1"/>
        <v>21</v>
      </c>
      <c r="F35" s="103">
        <v>1</v>
      </c>
      <c r="G35" s="100">
        <f t="shared" si="2"/>
        <v>21</v>
      </c>
      <c r="H35" s="103">
        <f t="shared" si="3"/>
        <v>1.8333333333333333</v>
      </c>
      <c r="I35" s="100">
        <f t="shared" si="4"/>
        <v>38.499999999999993</v>
      </c>
      <c r="J35" s="110">
        <f t="shared" si="5"/>
        <v>1.7142857142857142</v>
      </c>
      <c r="K35" s="100">
        <f t="shared" si="6"/>
        <v>36</v>
      </c>
      <c r="R35" s="140"/>
    </row>
    <row r="36" spans="1:19" s="2" customFormat="1" ht="18.75" thickBot="1">
      <c r="A36" s="93" t="s">
        <v>78</v>
      </c>
      <c r="B36" s="107">
        <v>2</v>
      </c>
      <c r="C36" s="100">
        <f t="shared" si="0"/>
        <v>42</v>
      </c>
      <c r="D36" s="104">
        <v>1</v>
      </c>
      <c r="E36" s="100">
        <f t="shared" si="1"/>
        <v>21</v>
      </c>
      <c r="F36" s="104">
        <v>1</v>
      </c>
      <c r="G36" s="105">
        <f>F36*$C$7</f>
        <v>20</v>
      </c>
      <c r="H36" s="104">
        <f t="shared" si="3"/>
        <v>1.8333333333333333</v>
      </c>
      <c r="I36" s="100">
        <f t="shared" si="4"/>
        <v>38.499999999999993</v>
      </c>
      <c r="J36" s="111">
        <f t="shared" si="5"/>
        <v>1.7142857142857142</v>
      </c>
      <c r="K36" s="100">
        <f t="shared" si="6"/>
        <v>36</v>
      </c>
    </row>
    <row r="37" spans="1:19" s="3" customFormat="1" ht="27.75" customHeight="1" thickBot="1">
      <c r="A37" s="94" t="s">
        <v>79</v>
      </c>
      <c r="B37" s="98">
        <f>SUM(B19:B30)/12</f>
        <v>38</v>
      </c>
      <c r="C37" s="98">
        <f t="shared" si="0"/>
        <v>798</v>
      </c>
      <c r="D37" s="98">
        <f>SUM(D19:D30)/12</f>
        <v>35</v>
      </c>
      <c r="E37" s="98">
        <f t="shared" si="1"/>
        <v>735</v>
      </c>
      <c r="F37" s="98">
        <f>SUM(F19:F30)/12</f>
        <v>25</v>
      </c>
      <c r="G37" s="98">
        <f t="shared" ref="G37:G78" si="7">IF(AND($C$7&gt;=$P$5,$C$7&lt;=$R$5),F37*$C$7*$T$5/100,IF(AND($C$7&gt;=$P$4,$C$7&lt;=$R$4),F37*$C$7*$T$4/100,IF(AND($C$7&gt;=$P$3,$C$7&lt;=$R$3),F37*$C$7*$T$3/100,IF($C$7&gt;=$P$6,F37*$C$7*$T$6/100))))</f>
        <v>525</v>
      </c>
      <c r="H37" s="98">
        <f>SUM(H19:H30)/12</f>
        <v>37.5</v>
      </c>
      <c r="I37" s="98">
        <f t="shared" ref="I37:I78" si="8">((5*C37)+E37)/6</f>
        <v>787.5</v>
      </c>
      <c r="J37" s="567">
        <f>SUM(J19:J30)/12</f>
        <v>35.714285714285715</v>
      </c>
      <c r="K37" s="98">
        <f t="shared" ref="K37:K78" si="9">((5*C37)+E37+G37)/7</f>
        <v>750</v>
      </c>
    </row>
    <row r="38" spans="1:19" s="3" customFormat="1" ht="21.75" customHeight="1">
      <c r="A38" s="125" t="s">
        <v>80</v>
      </c>
      <c r="B38" s="112">
        <f>SUM(B18:B22)/5</f>
        <v>45.4</v>
      </c>
      <c r="C38" s="132">
        <f t="shared" si="0"/>
        <v>953.4</v>
      </c>
      <c r="D38" s="115">
        <f>SUM(D18:D22)/5</f>
        <v>35</v>
      </c>
      <c r="E38" s="113">
        <f t="shared" si="1"/>
        <v>735</v>
      </c>
      <c r="F38" s="115">
        <f>SUM(F18:F22)/5</f>
        <v>22</v>
      </c>
      <c r="G38" s="132">
        <f t="shared" si="7"/>
        <v>462</v>
      </c>
      <c r="H38" s="115">
        <f>SUM(H18:H22)/5</f>
        <v>43.666666666666671</v>
      </c>
      <c r="I38" s="132">
        <f t="shared" si="8"/>
        <v>917</v>
      </c>
      <c r="J38" s="118">
        <f>SUM(J18:J22)/5</f>
        <v>40.571428571428569</v>
      </c>
      <c r="K38" s="132">
        <f t="shared" si="9"/>
        <v>852</v>
      </c>
    </row>
    <row r="39" spans="1:19" s="3" customFormat="1" ht="21.75" customHeight="1">
      <c r="A39" s="125" t="s">
        <v>167</v>
      </c>
      <c r="B39" s="114">
        <f>SUM(B18:B34)/17</f>
        <v>30.058823529411764</v>
      </c>
      <c r="C39" s="101">
        <f t="shared" ref="C39" si="10">IF(AND($C$7&gt;=$P$5,$C$7&lt;=$R$5),B39*$C$7*$T$5/100,IF(AND($C$7&gt;=$P$4,$C$7&lt;=$R$4),B39*$C$7*$T$4/100,IF(AND($C$7&gt;=$P$3,$C$7&lt;=$R$3),B39*$C$7*$T$3/100,IF($C$7&gt;=$P$6,B39*$C$7*$T$6/100))))</f>
        <v>631.23529411764696</v>
      </c>
      <c r="D39" s="114">
        <f>SUM(D18:D34)/17</f>
        <v>25.941176470588236</v>
      </c>
      <c r="E39" s="101">
        <f t="shared" ref="E39" si="11">IF(AND($C$7&gt;=$P$5,$C$7&lt;=$R$5),D39*$C$7*$T$5/100,IF(AND($C$7&gt;=$P$4,$C$7&lt;=$R$4),D39*$C$7*$T$4/100,IF(AND($C$7&gt;=$P$3,$C$7&lt;=$R$3),D39*$C$7*$T$3/100,IF($C$7&gt;=$P$6,D39*$C$7*$T$6/100))))</f>
        <v>544.76470588235304</v>
      </c>
      <c r="F39" s="114">
        <f>SUM(F18:F34)/17</f>
        <v>18.823529411764707</v>
      </c>
      <c r="G39" s="101">
        <f t="shared" ref="G39" si="12">IF(AND($C$7&gt;=$P$5,$C$7&lt;=$R$5),F39*$C$7*$T$5/100,IF(AND($C$7&gt;=$P$4,$C$7&lt;=$R$4),F39*$C$7*$T$4/100,IF(AND($C$7&gt;=$P$3,$C$7&lt;=$R$3),F39*$C$7*$T$3/100,IF($C$7&gt;=$P$6,F39*$C$7*$T$6/100))))</f>
        <v>395.2941176470589</v>
      </c>
      <c r="H39" s="114">
        <f>SUM(H18:H34)/17</f>
        <v>29.372549019607842</v>
      </c>
      <c r="I39" s="101">
        <f t="shared" ref="I39" si="13">((5*C39)+E39)/6</f>
        <v>616.82352941176464</v>
      </c>
      <c r="J39" s="114">
        <f>SUM(J18:J34)/17</f>
        <v>27.865546218487392</v>
      </c>
      <c r="K39" s="101">
        <f t="shared" ref="K39" si="14">((5*C39)+E39+G39)/7</f>
        <v>585.17647058823525</v>
      </c>
    </row>
    <row r="40" spans="1:19" s="3" customFormat="1" ht="21.75" customHeight="1">
      <c r="A40" s="125" t="s">
        <v>102</v>
      </c>
      <c r="B40" s="114">
        <f>SUM(B18:B36)/19</f>
        <v>27.105263157894736</v>
      </c>
      <c r="C40" s="101">
        <f t="shared" si="0"/>
        <v>569.21052631578937</v>
      </c>
      <c r="D40" s="114">
        <f>SUM(D18:D36)/19</f>
        <v>23.315789473684209</v>
      </c>
      <c r="E40" s="101">
        <f t="shared" si="1"/>
        <v>489.63157894736838</v>
      </c>
      <c r="F40" s="114">
        <f>SUM(F18:F36)/19</f>
        <v>16.94736842105263</v>
      </c>
      <c r="G40" s="101">
        <f t="shared" si="7"/>
        <v>355.89473684210526</v>
      </c>
      <c r="H40" s="114">
        <f>SUM(H18:H36)/19</f>
        <v>26.473684210526311</v>
      </c>
      <c r="I40" s="101">
        <f t="shared" si="8"/>
        <v>555.94736842105249</v>
      </c>
      <c r="J40" s="114">
        <f>SUM(J18:J36)/19</f>
        <v>25.112781954887215</v>
      </c>
      <c r="K40" s="101">
        <f t="shared" si="9"/>
        <v>527.36842105263145</v>
      </c>
      <c r="S40" s="128"/>
    </row>
    <row r="41" spans="1:19" s="3" customFormat="1" ht="21.75" customHeight="1">
      <c r="A41" s="125" t="s">
        <v>81</v>
      </c>
      <c r="B41" s="114">
        <f>SUM(B19:B21)/3</f>
        <v>57</v>
      </c>
      <c r="C41" s="101">
        <f t="shared" si="0"/>
        <v>1197</v>
      </c>
      <c r="D41" s="116">
        <f>SUM(D19:D21)/3</f>
        <v>35.333333333333336</v>
      </c>
      <c r="E41" s="101">
        <f t="shared" si="1"/>
        <v>742.00000000000011</v>
      </c>
      <c r="F41" s="116">
        <f>SUM(F19:F21)/3</f>
        <v>18</v>
      </c>
      <c r="G41" s="101">
        <f t="shared" si="7"/>
        <v>378</v>
      </c>
      <c r="H41" s="116">
        <f>SUM(H19:H21)/3</f>
        <v>53.388888888888886</v>
      </c>
      <c r="I41" s="101">
        <f t="shared" si="8"/>
        <v>1121.1666666666667</v>
      </c>
      <c r="J41" s="119">
        <f>SUM(J19:J21)/3</f>
        <v>48.333333333333336</v>
      </c>
      <c r="K41" s="101">
        <f t="shared" si="9"/>
        <v>1015</v>
      </c>
    </row>
    <row r="42" spans="1:19" s="3" customFormat="1" ht="21.75" customHeight="1">
      <c r="A42" s="125" t="s">
        <v>82</v>
      </c>
      <c r="B42" s="114">
        <f>SUM(B19:B22)/4</f>
        <v>53.5</v>
      </c>
      <c r="C42" s="101">
        <f t="shared" si="0"/>
        <v>1123.5</v>
      </c>
      <c r="D42" s="116">
        <f>SUM(D19:D22)/4</f>
        <v>43</v>
      </c>
      <c r="E42" s="130">
        <f t="shared" si="1"/>
        <v>903</v>
      </c>
      <c r="F42" s="116">
        <f>SUM(F19:F22)/4</f>
        <v>26.75</v>
      </c>
      <c r="G42" s="101">
        <f t="shared" si="7"/>
        <v>561.75</v>
      </c>
      <c r="H42" s="116">
        <f>SUM(H19:H22)/4</f>
        <v>51.75</v>
      </c>
      <c r="I42" s="131">
        <f t="shared" si="8"/>
        <v>1086.75</v>
      </c>
      <c r="J42" s="119">
        <f>SUM(J19:J22)/4</f>
        <v>48.178571428571431</v>
      </c>
      <c r="K42" s="101">
        <f t="shared" si="9"/>
        <v>1011.75</v>
      </c>
    </row>
    <row r="43" spans="1:19" s="3" customFormat="1" ht="21.75" customHeight="1">
      <c r="A43" s="125" t="s">
        <v>154</v>
      </c>
      <c r="B43" s="114">
        <f>SUM(B19:B26)/8</f>
        <v>41.875</v>
      </c>
      <c r="C43" s="101">
        <f t="shared" si="0"/>
        <v>879.375</v>
      </c>
      <c r="D43" s="116">
        <f>SUM(D19:D26)/8</f>
        <v>43</v>
      </c>
      <c r="E43" s="130">
        <f t="shared" si="1"/>
        <v>903</v>
      </c>
      <c r="F43" s="116">
        <f>SUM(F19:F26)/8</f>
        <v>28.25</v>
      </c>
      <c r="G43" s="101">
        <f t="shared" si="7"/>
        <v>593.25</v>
      </c>
      <c r="H43" s="116">
        <f>SUM(H19:H26)/8</f>
        <v>42.0625</v>
      </c>
      <c r="I43" s="131">
        <f t="shared" si="8"/>
        <v>883.3125</v>
      </c>
      <c r="J43" s="119">
        <f>SUM(J19:J26)/8</f>
        <v>40.089285714285715</v>
      </c>
      <c r="K43" s="101">
        <f t="shared" si="9"/>
        <v>841.875</v>
      </c>
    </row>
    <row r="44" spans="1:19" s="3" customFormat="1" ht="21.75" customHeight="1">
      <c r="A44" s="125" t="s">
        <v>83</v>
      </c>
      <c r="B44" s="114">
        <f>SUM(B19:B31)/13</f>
        <v>36.846153846153847</v>
      </c>
      <c r="C44" s="130">
        <f t="shared" si="0"/>
        <v>773.76923076923083</v>
      </c>
      <c r="D44" s="116">
        <f>SUM(D19:D31)/13</f>
        <v>33</v>
      </c>
      <c r="E44" s="101">
        <f t="shared" si="1"/>
        <v>693</v>
      </c>
      <c r="F44" s="116">
        <f>SUM(F19:F31)/13</f>
        <v>23.692307692307693</v>
      </c>
      <c r="G44" s="130">
        <f t="shared" si="7"/>
        <v>497.53846153846155</v>
      </c>
      <c r="H44" s="116">
        <f>SUM(H19:H31)/13</f>
        <v>36.205128205128204</v>
      </c>
      <c r="I44" s="101">
        <f t="shared" si="8"/>
        <v>760.30769230769238</v>
      </c>
      <c r="J44" s="119">
        <f>SUM(J19:J31)/13</f>
        <v>34.417582417582416</v>
      </c>
      <c r="K44" s="101">
        <f t="shared" si="9"/>
        <v>722.76923076923083</v>
      </c>
    </row>
    <row r="45" spans="1:19" s="3" customFormat="1" ht="21.75" customHeight="1">
      <c r="A45" s="125" t="s">
        <v>84</v>
      </c>
      <c r="B45" s="114">
        <f>SUM(B19:B32)/14</f>
        <v>34.857142857142854</v>
      </c>
      <c r="C45" s="131">
        <f t="shared" si="0"/>
        <v>732</v>
      </c>
      <c r="D45" s="116">
        <f>SUM(D19:D32)/14</f>
        <v>31.071428571428573</v>
      </c>
      <c r="E45" s="130">
        <f t="shared" si="1"/>
        <v>652.5</v>
      </c>
      <c r="F45" s="116">
        <f>SUM(F19:F32)/14</f>
        <v>22.357142857142858</v>
      </c>
      <c r="G45" s="101">
        <f t="shared" si="7"/>
        <v>469.5</v>
      </c>
      <c r="H45" s="116">
        <f>SUM(H19:H32)/14</f>
        <v>34.226190476190474</v>
      </c>
      <c r="I45" s="101">
        <f t="shared" si="8"/>
        <v>718.75</v>
      </c>
      <c r="J45" s="119">
        <f>SUM(J19:J32)/14</f>
        <v>32.530612244897959</v>
      </c>
      <c r="K45" s="101">
        <f t="shared" si="9"/>
        <v>683.14285714285711</v>
      </c>
    </row>
    <row r="46" spans="1:19" s="3" customFormat="1" ht="21.75" customHeight="1">
      <c r="A46" s="125" t="s">
        <v>85</v>
      </c>
      <c r="B46" s="127">
        <f>SUM(B19:B34)/16</f>
        <v>31.125</v>
      </c>
      <c r="C46" s="131">
        <f t="shared" ref="C46:C78" si="15">IF(AND($C$7&gt;=$P$5,$C$7&lt;=$R$5),B46*$C$7*$T$5/100,IF(AND($C$7&gt;=$P$4,$C$7&lt;=$R$4),B46*$C$7*$T$4/100,IF(AND($C$7&gt;=$P$3,$C$7&lt;=$R$3),B46*$C$7*$T$3/100,IF($C$7&gt;=$P$6,B46*$C$7*$T$6/100))))</f>
        <v>653.625</v>
      </c>
      <c r="D46" s="116">
        <f>SUM(D19:D34)/16</f>
        <v>27.375</v>
      </c>
      <c r="E46" s="101">
        <f t="shared" ref="E46:E78" si="16">IF(AND($C$7&gt;=$P$5,$C$7&lt;=$R$5),D46*$C$7*$T$5/100,IF(AND($C$7&gt;=$P$4,$C$7&lt;=$R$4),D46*$C$7*$T$4/100,IF(AND($C$7&gt;=$P$3,$C$7&lt;=$R$3),D46*$C$7*$T$3/100,IF($C$7&gt;=$P$6,D46*$C$7*$T$6/100))))</f>
        <v>574.875</v>
      </c>
      <c r="F46" s="116">
        <f>SUM(F19:F34)/16</f>
        <v>19.8125</v>
      </c>
      <c r="G46" s="129">
        <f t="shared" si="7"/>
        <v>416.0625</v>
      </c>
      <c r="H46" s="116">
        <f>SUM(H19:H34)/16</f>
        <v>30.5</v>
      </c>
      <c r="I46" s="101">
        <f t="shared" si="8"/>
        <v>640.5</v>
      </c>
      <c r="J46" s="119">
        <f>SUM(J19:J34)/16</f>
        <v>28.973214285714281</v>
      </c>
      <c r="K46" s="101">
        <f t="shared" si="9"/>
        <v>608.4375</v>
      </c>
    </row>
    <row r="47" spans="1:19" ht="21.75" customHeight="1">
      <c r="A47" s="125" t="s">
        <v>115</v>
      </c>
      <c r="B47" s="114">
        <f>SUM(B19:B36)/18</f>
        <v>27.888888888888889</v>
      </c>
      <c r="C47" s="131">
        <f t="shared" si="15"/>
        <v>585.66666666666674</v>
      </c>
      <c r="D47" s="116">
        <f>SUM(D19:D36)/18</f>
        <v>24.444444444444443</v>
      </c>
      <c r="E47" s="101">
        <f t="shared" si="16"/>
        <v>513.33333333333326</v>
      </c>
      <c r="F47" s="116">
        <f>SUM(F19:F36)/18</f>
        <v>17.722222222222221</v>
      </c>
      <c r="G47" s="130">
        <f t="shared" si="7"/>
        <v>372.16666666666674</v>
      </c>
      <c r="H47" s="116">
        <f>SUM(H19:H36)/18</f>
        <v>27.314814814814813</v>
      </c>
      <c r="I47" s="129">
        <f t="shared" si="8"/>
        <v>573.6111111111112</v>
      </c>
      <c r="J47" s="136">
        <f>SUM(J19:J36)/18</f>
        <v>25.944444444444443</v>
      </c>
      <c r="K47" s="130">
        <f t="shared" si="9"/>
        <v>544.83333333333337</v>
      </c>
    </row>
    <row r="48" spans="1:19" ht="21.75" customHeight="1">
      <c r="A48" s="125" t="s">
        <v>122</v>
      </c>
      <c r="B48" s="114">
        <f>SUM(B20:B36)/17</f>
        <v>26.705882352941178</v>
      </c>
      <c r="C48" s="131">
        <f t="shared" si="15"/>
        <v>560.82352941176464</v>
      </c>
      <c r="D48" s="133">
        <f>SUM(D20:D36)/17</f>
        <v>25.117647058823529</v>
      </c>
      <c r="E48" s="130">
        <f t="shared" si="16"/>
        <v>527.47058823529414</v>
      </c>
      <c r="F48" s="133">
        <f>SUM(F20:F36)/17</f>
        <v>18.411764705882351</v>
      </c>
      <c r="G48" s="130">
        <f t="shared" si="7"/>
        <v>386.64705882352939</v>
      </c>
      <c r="H48" s="133">
        <f>SUM(H20:H36)/17</f>
        <v>26.441176470588236</v>
      </c>
      <c r="I48" s="130">
        <f t="shared" si="8"/>
        <v>555.26470588235293</v>
      </c>
      <c r="J48" s="136">
        <f>SUM(J20:J36)/17</f>
        <v>25.294117647058819</v>
      </c>
      <c r="K48" s="130">
        <f t="shared" si="9"/>
        <v>531.17647058823525</v>
      </c>
    </row>
    <row r="49" spans="1:38" s="3" customFormat="1" ht="21.75" customHeight="1">
      <c r="A49" s="125" t="s">
        <v>86</v>
      </c>
      <c r="B49" s="114">
        <f>SUM(B21:B25)/5</f>
        <v>38</v>
      </c>
      <c r="C49" s="131">
        <f t="shared" si="15"/>
        <v>798</v>
      </c>
      <c r="D49" s="133">
        <f>SUM(D21:D25)/5</f>
        <v>53.2</v>
      </c>
      <c r="E49" s="130">
        <f t="shared" si="16"/>
        <v>1117.2</v>
      </c>
      <c r="F49" s="133">
        <f>SUM(F21:F25)/5</f>
        <v>37.799999999999997</v>
      </c>
      <c r="G49" s="101">
        <f t="shared" si="7"/>
        <v>793.8</v>
      </c>
      <c r="H49" s="133">
        <f>SUM(H21:H25)/5</f>
        <v>40.533333333333339</v>
      </c>
      <c r="I49" s="130">
        <f t="shared" si="8"/>
        <v>851.19999999999993</v>
      </c>
      <c r="J49" s="116">
        <f>SUM(J21:J25)/5</f>
        <v>40.142857142857139</v>
      </c>
      <c r="K49" s="101">
        <f t="shared" si="9"/>
        <v>843</v>
      </c>
    </row>
    <row r="50" spans="1:38" s="3" customFormat="1" ht="21.75" customHeight="1">
      <c r="A50" s="125" t="s">
        <v>87</v>
      </c>
      <c r="B50" s="114">
        <f>SUM(B21:B30)/10</f>
        <v>34.1</v>
      </c>
      <c r="C50" s="131">
        <f t="shared" si="15"/>
        <v>716.1</v>
      </c>
      <c r="D50" s="116">
        <f>SUM(D21:D30)/10</f>
        <v>36.700000000000003</v>
      </c>
      <c r="E50" s="101">
        <f t="shared" si="16"/>
        <v>770.7</v>
      </c>
      <c r="F50" s="116">
        <f>SUM(F21:F30)/10</f>
        <v>28.1</v>
      </c>
      <c r="G50" s="130">
        <f t="shared" si="7"/>
        <v>590.1</v>
      </c>
      <c r="H50" s="116">
        <f>SUM(H21:H30)/10</f>
        <v>34.533333333333339</v>
      </c>
      <c r="I50" s="101">
        <f t="shared" si="8"/>
        <v>725.19999999999993</v>
      </c>
      <c r="J50" s="119">
        <f>SUM(J21:J30)/10</f>
        <v>33.614285714285714</v>
      </c>
      <c r="K50" s="101">
        <f t="shared" si="9"/>
        <v>705.9</v>
      </c>
    </row>
    <row r="51" spans="1:38" s="3" customFormat="1" ht="21.75" customHeight="1">
      <c r="A51" s="125" t="s">
        <v>100</v>
      </c>
      <c r="B51" s="114">
        <f>SUM(B21:B31)/11</f>
        <v>33.090909090909093</v>
      </c>
      <c r="C51" s="131">
        <f t="shared" si="15"/>
        <v>694.90909090909099</v>
      </c>
      <c r="D51" s="116">
        <f>SUM(D21:D31)/11</f>
        <v>34.18181818181818</v>
      </c>
      <c r="E51" s="101">
        <f t="shared" si="16"/>
        <v>717.81818181818176</v>
      </c>
      <c r="F51" s="116">
        <f>SUM(F21:F31)/11</f>
        <v>26.272727272727273</v>
      </c>
      <c r="G51" s="101">
        <f t="shared" si="7"/>
        <v>551.72727272727275</v>
      </c>
      <c r="H51" s="116">
        <f>SUM(H21:H31)/11</f>
        <v>33.27272727272728</v>
      </c>
      <c r="I51" s="130">
        <f t="shared" si="8"/>
        <v>698.72727272727286</v>
      </c>
      <c r="J51" s="119">
        <f>SUM(J21:J31)/11</f>
        <v>32.272727272727266</v>
      </c>
      <c r="K51" s="101">
        <f t="shared" si="9"/>
        <v>677.72727272727286</v>
      </c>
    </row>
    <row r="52" spans="1:38" s="3" customFormat="1" ht="21.75" customHeight="1">
      <c r="A52" s="125" t="s">
        <v>88</v>
      </c>
      <c r="B52" s="114">
        <f>SUM(B21:B32)/12</f>
        <v>31.083333333333332</v>
      </c>
      <c r="C52" s="101">
        <f t="shared" si="15"/>
        <v>652.74999999999989</v>
      </c>
      <c r="D52" s="116">
        <f>SUM(D21:D32)/12</f>
        <v>31.833333333333332</v>
      </c>
      <c r="E52" s="101">
        <f t="shared" si="16"/>
        <v>668.5</v>
      </c>
      <c r="F52" s="116">
        <f>SUM(F21:F32)/12</f>
        <v>24.5</v>
      </c>
      <c r="G52" s="130">
        <f t="shared" si="7"/>
        <v>514.5</v>
      </c>
      <c r="H52" s="116">
        <f>SUM(H21:H32)/12</f>
        <v>31.208333333333339</v>
      </c>
      <c r="I52" s="101">
        <f t="shared" si="8"/>
        <v>655.37499999999989</v>
      </c>
      <c r="J52" s="119">
        <f>SUM(J21:J32)/12</f>
        <v>30.249999999999996</v>
      </c>
      <c r="K52" s="101">
        <f t="shared" si="9"/>
        <v>635.25</v>
      </c>
    </row>
    <row r="53" spans="1:38" s="3" customFormat="1" ht="21.75" customHeight="1">
      <c r="A53" s="125" t="s">
        <v>89</v>
      </c>
      <c r="B53" s="114">
        <f>SUM(B21:B34)/14</f>
        <v>27.357142857142858</v>
      </c>
      <c r="C53" s="101">
        <f t="shared" si="15"/>
        <v>574.5</v>
      </c>
      <c r="D53" s="116">
        <f>SUM(D21:D34)/14</f>
        <v>27.5</v>
      </c>
      <c r="E53" s="101">
        <f t="shared" si="16"/>
        <v>577.5</v>
      </c>
      <c r="F53" s="116">
        <f>SUM(F21:F34)/14</f>
        <v>21.285714285714285</v>
      </c>
      <c r="G53" s="101">
        <f t="shared" si="7"/>
        <v>446.99999999999994</v>
      </c>
      <c r="H53" s="116">
        <f>SUM(H21:H34)/14</f>
        <v>27.380952380952383</v>
      </c>
      <c r="I53" s="130">
        <f t="shared" si="8"/>
        <v>575</v>
      </c>
      <c r="J53" s="119">
        <f>SUM(J21:J34)/14</f>
        <v>26.510204081632647</v>
      </c>
      <c r="K53" s="101">
        <f t="shared" si="9"/>
        <v>556.71428571428567</v>
      </c>
    </row>
    <row r="54" spans="1:38" s="3" customFormat="1" ht="21.75" customHeight="1">
      <c r="A54" s="125" t="s">
        <v>138</v>
      </c>
      <c r="B54" s="114">
        <f>SUM(B21:B36)/16</f>
        <v>24.1875</v>
      </c>
      <c r="C54" s="101">
        <f t="shared" si="15"/>
        <v>507.9375</v>
      </c>
      <c r="D54" s="116">
        <f>SUM(D21:D36)/16</f>
        <v>24.1875</v>
      </c>
      <c r="E54" s="101">
        <f t="shared" si="16"/>
        <v>507.9375</v>
      </c>
      <c r="F54" s="116">
        <f>SUM(F21:F36)/16</f>
        <v>18.75</v>
      </c>
      <c r="G54" s="101">
        <f t="shared" si="7"/>
        <v>393.75</v>
      </c>
      <c r="H54" s="116">
        <f>SUM(H21:H36)/16</f>
        <v>24.1875</v>
      </c>
      <c r="I54" s="130">
        <f t="shared" si="8"/>
        <v>507.9375</v>
      </c>
      <c r="J54" s="119">
        <f>SUM(J21:J36)/16</f>
        <v>23.410714285714281</v>
      </c>
      <c r="K54" s="101">
        <f t="shared" si="9"/>
        <v>491.625</v>
      </c>
      <c r="L54" s="165"/>
      <c r="O54" s="158"/>
      <c r="P54" s="158"/>
      <c r="Q54" s="167"/>
      <c r="R54" s="166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</row>
    <row r="55" spans="1:38" s="3" customFormat="1" ht="21.75" customHeight="1">
      <c r="A55" s="125" t="s">
        <v>124</v>
      </c>
      <c r="B55" s="114">
        <f>SUM(B22:B36)/15</f>
        <v>22.066666666666666</v>
      </c>
      <c r="C55" s="101">
        <f t="shared" si="15"/>
        <v>463.4</v>
      </c>
      <c r="D55" s="116">
        <f>SUM(D22:D36)/15</f>
        <v>22.266666666666666</v>
      </c>
      <c r="E55" s="101">
        <f t="shared" si="16"/>
        <v>467.6</v>
      </c>
      <c r="F55" s="116">
        <f>SUM(F22:F36)/15</f>
        <v>17.666666666666668</v>
      </c>
      <c r="G55" s="101">
        <f t="shared" si="7"/>
        <v>371.00000000000006</v>
      </c>
      <c r="H55" s="116">
        <f>SUM(H22:H36)/15</f>
        <v>22.099999999999998</v>
      </c>
      <c r="I55" s="130">
        <f t="shared" si="8"/>
        <v>464.09999999999997</v>
      </c>
      <c r="J55" s="119">
        <f>SUM(J22:J36)/15</f>
        <v>21.466666666666661</v>
      </c>
      <c r="K55" s="101">
        <f t="shared" si="9"/>
        <v>450.8</v>
      </c>
    </row>
    <row r="56" spans="1:38" s="3" customFormat="1" ht="21.75" customHeight="1">
      <c r="A56" s="125" t="s">
        <v>157</v>
      </c>
      <c r="B56" s="114">
        <f>SUM(B23:B27)/5</f>
        <v>30.2</v>
      </c>
      <c r="C56" s="101">
        <f t="shared" si="15"/>
        <v>634.20000000000005</v>
      </c>
      <c r="D56" s="116">
        <f>SUM(D23:D27)/5</f>
        <v>39.200000000000003</v>
      </c>
      <c r="E56" s="130">
        <f t="shared" si="16"/>
        <v>823.2</v>
      </c>
      <c r="F56" s="116">
        <f>SUM(F23:F27)/5</f>
        <v>27.2</v>
      </c>
      <c r="G56" s="130">
        <f t="shared" si="7"/>
        <v>571.20000000000005</v>
      </c>
      <c r="H56" s="116">
        <f>SUM(H23:H27)/5</f>
        <v>31.7</v>
      </c>
      <c r="I56" s="101">
        <f t="shared" si="8"/>
        <v>665.69999999999993</v>
      </c>
      <c r="J56" s="119">
        <f>SUM(J23:J27)/5</f>
        <v>31.057142857142857</v>
      </c>
      <c r="K56" s="101">
        <f t="shared" si="9"/>
        <v>652.19999999999993</v>
      </c>
    </row>
    <row r="57" spans="1:38" s="3" customFormat="1" ht="21.75" customHeight="1">
      <c r="A57" s="125" t="s">
        <v>90</v>
      </c>
      <c r="B57" s="114">
        <f>SUM(B23:B28)/6</f>
        <v>30.166666666666668</v>
      </c>
      <c r="C57" s="101">
        <f t="shared" si="15"/>
        <v>633.50000000000011</v>
      </c>
      <c r="D57" s="116">
        <f>SUM(D23:D28)/6</f>
        <v>36.166666666666664</v>
      </c>
      <c r="E57" s="130">
        <f t="shared" si="16"/>
        <v>759.49999999999989</v>
      </c>
      <c r="F57" s="116">
        <f>SUM(F23:F28)/6</f>
        <v>25.666666666666668</v>
      </c>
      <c r="G57" s="130">
        <f t="shared" si="7"/>
        <v>539.00000000000011</v>
      </c>
      <c r="H57" s="116">
        <f>SUM(H23:H28)/6</f>
        <v>31.166666666666668</v>
      </c>
      <c r="I57" s="101">
        <f t="shared" si="8"/>
        <v>654.50000000000011</v>
      </c>
      <c r="J57" s="119">
        <f>SUM(J23:J28)/6</f>
        <v>30.38095238095238</v>
      </c>
      <c r="K57" s="101">
        <f t="shared" si="9"/>
        <v>638.00000000000011</v>
      </c>
    </row>
    <row r="58" spans="1:38" s="3" customFormat="1" ht="21.75" customHeight="1">
      <c r="A58" s="125" t="s">
        <v>91</v>
      </c>
      <c r="B58" s="114">
        <f>SUM(B23:B30)/8</f>
        <v>30.25</v>
      </c>
      <c r="C58" s="130">
        <f t="shared" si="15"/>
        <v>635.25</v>
      </c>
      <c r="D58" s="116">
        <f>SUM(D23:D30)/8</f>
        <v>31</v>
      </c>
      <c r="E58" s="101">
        <f t="shared" si="16"/>
        <v>651</v>
      </c>
      <c r="F58" s="116">
        <f>SUM(F23:F30)/8</f>
        <v>24.125</v>
      </c>
      <c r="G58" s="101">
        <f t="shared" si="7"/>
        <v>506.625</v>
      </c>
      <c r="H58" s="116">
        <f>SUM(H23:H30)/8</f>
        <v>30.375</v>
      </c>
      <c r="I58" s="101">
        <f t="shared" si="8"/>
        <v>637.875</v>
      </c>
      <c r="J58" s="119">
        <f>SUM(J23:J30)/8</f>
        <v>29.482142857142858</v>
      </c>
      <c r="K58" s="101">
        <f t="shared" si="9"/>
        <v>619.125</v>
      </c>
    </row>
    <row r="59" spans="1:38" s="3" customFormat="1" ht="21.75" customHeight="1">
      <c r="A59" s="125" t="s">
        <v>99</v>
      </c>
      <c r="B59" s="114">
        <f>SUM(B23:B31)/9</f>
        <v>29.444444444444443</v>
      </c>
      <c r="C59" s="101">
        <f t="shared" si="15"/>
        <v>618.33333333333337</v>
      </c>
      <c r="D59" s="114">
        <f>SUM(D23:D31)/9</f>
        <v>28.555555555555557</v>
      </c>
      <c r="E59" s="130">
        <f t="shared" si="16"/>
        <v>599.66666666666663</v>
      </c>
      <c r="F59" s="114">
        <f>SUM(F23:F31)/9</f>
        <v>22.333333333333332</v>
      </c>
      <c r="G59" s="130">
        <f t="shared" si="7"/>
        <v>468.99999999999994</v>
      </c>
      <c r="H59" s="114">
        <f>SUM(H23:H31)/9</f>
        <v>29.296296296296298</v>
      </c>
      <c r="I59" s="101">
        <f t="shared" si="8"/>
        <v>615.22222222222229</v>
      </c>
      <c r="J59" s="114">
        <f>SUM(J23:J31)/9</f>
        <v>28.301587301587304</v>
      </c>
      <c r="K59" s="101">
        <f t="shared" si="9"/>
        <v>594.33333333333326</v>
      </c>
    </row>
    <row r="60" spans="1:38" s="3" customFormat="1" ht="21.75" customHeight="1">
      <c r="A60" s="125" t="s">
        <v>92</v>
      </c>
      <c r="B60" s="114">
        <f>SUM(B23:B32)/10</f>
        <v>27.4</v>
      </c>
      <c r="C60" s="130">
        <f t="shared" si="15"/>
        <v>575.4</v>
      </c>
      <c r="D60" s="116">
        <f>SUM(D23:D32)/10</f>
        <v>26.3</v>
      </c>
      <c r="E60" s="101">
        <f t="shared" si="16"/>
        <v>552.29999999999995</v>
      </c>
      <c r="F60" s="116">
        <f>SUM(F23:F32)/10</f>
        <v>20.6</v>
      </c>
      <c r="G60" s="101">
        <f t="shared" si="7"/>
        <v>432.6</v>
      </c>
      <c r="H60" s="116">
        <f>SUM(H23:H32)/10</f>
        <v>27.216666666666669</v>
      </c>
      <c r="I60" s="130">
        <f t="shared" si="8"/>
        <v>571.55000000000007</v>
      </c>
      <c r="J60" s="119">
        <f>SUM(J23:J32)/10</f>
        <v>26.271428571428572</v>
      </c>
      <c r="K60" s="101">
        <f t="shared" si="9"/>
        <v>551.70000000000005</v>
      </c>
    </row>
    <row r="61" spans="1:38" s="3" customFormat="1" ht="21.75" customHeight="1">
      <c r="A61" s="125" t="s">
        <v>93</v>
      </c>
      <c r="B61" s="114">
        <f>SUM(B23:B34)/12</f>
        <v>23.666666666666668</v>
      </c>
      <c r="C61" s="131">
        <f t="shared" si="15"/>
        <v>497.00000000000006</v>
      </c>
      <c r="D61" s="116">
        <f>SUM(D23:D34)/12</f>
        <v>22.166666666666668</v>
      </c>
      <c r="E61" s="101">
        <f t="shared" si="16"/>
        <v>465.50000000000006</v>
      </c>
      <c r="F61" s="116">
        <f>SUM(F23:F34)/12</f>
        <v>17.5</v>
      </c>
      <c r="G61" s="101">
        <f t="shared" si="7"/>
        <v>367.5</v>
      </c>
      <c r="H61" s="116">
        <f>SUM(H23:H34)/12</f>
        <v>23.416666666666668</v>
      </c>
      <c r="I61" s="131">
        <f t="shared" si="8"/>
        <v>491.75000000000006</v>
      </c>
      <c r="J61" s="119">
        <f>SUM(J23:J34)/12</f>
        <v>22.571428571428569</v>
      </c>
      <c r="K61" s="101">
        <f t="shared" si="9"/>
        <v>474.00000000000006</v>
      </c>
      <c r="S61" s="128"/>
    </row>
    <row r="62" spans="1:38" s="3" customFormat="1" ht="21.75" customHeight="1">
      <c r="A62" s="125" t="s">
        <v>108</v>
      </c>
      <c r="B62" s="114">
        <f>SUM(B23:B36)/14</f>
        <v>20.571428571428573</v>
      </c>
      <c r="C62" s="131">
        <f t="shared" si="15"/>
        <v>432</v>
      </c>
      <c r="D62" s="116">
        <f>SUM(D23:D36)/14</f>
        <v>19.142857142857142</v>
      </c>
      <c r="E62" s="130">
        <f t="shared" si="16"/>
        <v>402</v>
      </c>
      <c r="F62" s="116">
        <f>SUM(F23:F36)/14</f>
        <v>15.142857142857142</v>
      </c>
      <c r="G62" s="130">
        <f t="shared" si="7"/>
        <v>317.99999999999994</v>
      </c>
      <c r="H62" s="116">
        <f>SUM(H23:H36)/14</f>
        <v>20.333333333333332</v>
      </c>
      <c r="I62" s="101">
        <f t="shared" si="8"/>
        <v>427</v>
      </c>
      <c r="J62" s="119">
        <f>SUM(J23:J36)/14</f>
        <v>19.591836734693878</v>
      </c>
      <c r="K62" s="130">
        <f t="shared" si="9"/>
        <v>411.42857142857144</v>
      </c>
      <c r="S62" s="128"/>
    </row>
    <row r="63" spans="1:38" s="3" customFormat="1" ht="21.75" customHeight="1">
      <c r="A63" s="125" t="s">
        <v>150</v>
      </c>
      <c r="B63" s="114">
        <f>SUM(B25:B36)/12</f>
        <v>18.916666666666668</v>
      </c>
      <c r="C63" s="131">
        <f t="shared" si="15"/>
        <v>397.25000000000006</v>
      </c>
      <c r="D63" s="116">
        <f>SUM(D25:D36)/12</f>
        <v>13.25</v>
      </c>
      <c r="E63" s="130">
        <f t="shared" si="16"/>
        <v>278.25</v>
      </c>
      <c r="F63" s="116">
        <f>SUM(F25:F36)/12</f>
        <v>11.166666666666666</v>
      </c>
      <c r="G63" s="130">
        <f t="shared" si="7"/>
        <v>234.49999999999997</v>
      </c>
      <c r="H63" s="116">
        <f>SUM(H25:H36)/12</f>
        <v>17.972222222222225</v>
      </c>
      <c r="I63" s="101">
        <f t="shared" si="8"/>
        <v>377.41666666666669</v>
      </c>
      <c r="J63" s="119">
        <f>SUM(J25:J36)/12</f>
        <v>17.000000000000004</v>
      </c>
      <c r="K63" s="130">
        <f t="shared" si="9"/>
        <v>357</v>
      </c>
      <c r="S63" s="128"/>
    </row>
    <row r="64" spans="1:38" s="3" customFormat="1" ht="21.75" customHeight="1">
      <c r="A64" s="125" t="s">
        <v>165</v>
      </c>
      <c r="B64" s="114">
        <f>SUM(B27:B31)/5</f>
        <v>28.8</v>
      </c>
      <c r="C64" s="131">
        <f t="shared" si="15"/>
        <v>604.79999999999995</v>
      </c>
      <c r="D64" s="116">
        <f>SUM(D27:D31)/5</f>
        <v>17</v>
      </c>
      <c r="E64" s="130">
        <f t="shared" si="16"/>
        <v>357</v>
      </c>
      <c r="F64" s="116">
        <f>SUM(F27:F31)/5</f>
        <v>16.399999999999999</v>
      </c>
      <c r="G64" s="130">
        <f t="shared" si="7"/>
        <v>344.4</v>
      </c>
      <c r="H64" s="116">
        <f>SUM(H27:H31)/5</f>
        <v>26.833333333333332</v>
      </c>
      <c r="I64" s="101">
        <f t="shared" ref="I64" si="17">((5*C64)+E64)/6</f>
        <v>563.5</v>
      </c>
      <c r="J64" s="119">
        <f>SUM(J27:J31)/5</f>
        <v>25.342857142857145</v>
      </c>
      <c r="K64" s="130">
        <f t="shared" ref="K64" si="18">((5*C64)+E64+G64)/7</f>
        <v>532.20000000000005</v>
      </c>
      <c r="S64" s="128"/>
    </row>
    <row r="65" spans="1:19" s="3" customFormat="1" ht="21.75" customHeight="1">
      <c r="A65" s="125" t="s">
        <v>151</v>
      </c>
      <c r="B65" s="114">
        <f>SUM(B27:B32)/6</f>
        <v>25.5</v>
      </c>
      <c r="C65" s="131">
        <f t="shared" si="15"/>
        <v>535.5</v>
      </c>
      <c r="D65" s="116">
        <f>SUM(D27:D32)/6</f>
        <v>15.166666666666666</v>
      </c>
      <c r="E65" s="130">
        <f t="shared" si="16"/>
        <v>318.49999999999994</v>
      </c>
      <c r="F65" s="116">
        <f>SUM(F27:F32)/6</f>
        <v>14.5</v>
      </c>
      <c r="G65" s="130">
        <f t="shared" si="7"/>
        <v>304.5</v>
      </c>
      <c r="H65" s="116">
        <f>SUM(H27:H32)/6</f>
        <v>23.777777777777775</v>
      </c>
      <c r="I65" s="101">
        <f t="shared" si="8"/>
        <v>499.33333333333331</v>
      </c>
      <c r="J65" s="119">
        <f>SUM(J27:J32)/6</f>
        <v>22.452380952380953</v>
      </c>
      <c r="K65" s="130">
        <f t="shared" si="9"/>
        <v>471.5</v>
      </c>
      <c r="S65" s="128"/>
    </row>
    <row r="66" spans="1:19" s="3" customFormat="1" ht="21.75" customHeight="1">
      <c r="A66" s="125" t="s">
        <v>149</v>
      </c>
      <c r="B66" s="114">
        <f>SUM(B27:B34)/8</f>
        <v>20.375</v>
      </c>
      <c r="C66" s="131">
        <f t="shared" si="15"/>
        <v>427.875</v>
      </c>
      <c r="D66" s="116">
        <f>SUM(D27:D34)/8</f>
        <v>11.75</v>
      </c>
      <c r="E66" s="130">
        <f t="shared" si="16"/>
        <v>246.75</v>
      </c>
      <c r="F66" s="116">
        <f>SUM(F27:F34)/8</f>
        <v>11.375</v>
      </c>
      <c r="G66" s="130">
        <f t="shared" si="7"/>
        <v>238.875</v>
      </c>
      <c r="H66" s="116">
        <f>SUM(H27:H34)/8</f>
        <v>18.9375</v>
      </c>
      <c r="I66" s="101">
        <f t="shared" si="8"/>
        <v>397.6875</v>
      </c>
      <c r="J66" s="119">
        <f>SUM(J27:J34)/8</f>
        <v>17.857142857142858</v>
      </c>
      <c r="K66" s="130">
        <f t="shared" si="9"/>
        <v>375</v>
      </c>
      <c r="S66" s="128"/>
    </row>
    <row r="67" spans="1:19" s="3" customFormat="1" ht="21.75" customHeight="1">
      <c r="A67" s="125" t="s">
        <v>152</v>
      </c>
      <c r="B67" s="114">
        <f>SUM(B27:B36)/10</f>
        <v>16.7</v>
      </c>
      <c r="C67" s="131">
        <f t="shared" si="15"/>
        <v>350.7</v>
      </c>
      <c r="D67" s="116">
        <f>SUM(D27:D36)/10</f>
        <v>9.6</v>
      </c>
      <c r="E67" s="130">
        <f t="shared" si="16"/>
        <v>201.6</v>
      </c>
      <c r="F67" s="116">
        <f>SUM(F27:F36)/10</f>
        <v>9.3000000000000007</v>
      </c>
      <c r="G67" s="130">
        <f t="shared" si="7"/>
        <v>195.3</v>
      </c>
      <c r="H67" s="116">
        <f>SUM(H27:H36)/10</f>
        <v>15.516666666666669</v>
      </c>
      <c r="I67" s="101">
        <f t="shared" si="8"/>
        <v>325.84999999999997</v>
      </c>
      <c r="J67" s="119">
        <f>SUM(J27:J36)/10</f>
        <v>14.62857142857143</v>
      </c>
      <c r="K67" s="130">
        <f t="shared" si="9"/>
        <v>307.2</v>
      </c>
      <c r="S67" s="128"/>
    </row>
    <row r="68" spans="1:19" s="3" customFormat="1" ht="21.75" customHeight="1">
      <c r="A68" s="125" t="s">
        <v>156</v>
      </c>
      <c r="B68" s="114">
        <f>SUM(B28:B33)/6</f>
        <v>21.5</v>
      </c>
      <c r="C68" s="131">
        <f t="shared" si="15"/>
        <v>451.5</v>
      </c>
      <c r="D68" s="114">
        <f>SUM(D28:D33)/6</f>
        <v>11.5</v>
      </c>
      <c r="E68" s="130">
        <f t="shared" si="16"/>
        <v>241.5</v>
      </c>
      <c r="F68" s="114">
        <f>SUM(F28:F33)/6</f>
        <v>12</v>
      </c>
      <c r="G68" s="130">
        <f t="shared" si="7"/>
        <v>252</v>
      </c>
      <c r="H68" s="114">
        <f>SUM(H28:H33)/6</f>
        <v>19.833333333333332</v>
      </c>
      <c r="I68" s="101">
        <f t="shared" si="8"/>
        <v>416.5</v>
      </c>
      <c r="J68" s="114">
        <f>SUM(J28:J33)/6</f>
        <v>18.714285714285715</v>
      </c>
      <c r="K68" s="130">
        <f t="shared" si="9"/>
        <v>393</v>
      </c>
      <c r="S68" s="128"/>
    </row>
    <row r="69" spans="1:19" s="3" customFormat="1" ht="21.75" customHeight="1">
      <c r="A69" s="125" t="s">
        <v>155</v>
      </c>
      <c r="B69" s="114">
        <f>SUM(B28:B34)/7</f>
        <v>19</v>
      </c>
      <c r="C69" s="131">
        <f t="shared" si="15"/>
        <v>399</v>
      </c>
      <c r="D69" s="116">
        <f>SUM(D28:D34)/7</f>
        <v>10</v>
      </c>
      <c r="E69" s="130">
        <f t="shared" si="16"/>
        <v>210</v>
      </c>
      <c r="F69" s="116">
        <f>SUM(F28:F34)/7</f>
        <v>10.571428571428571</v>
      </c>
      <c r="G69" s="130">
        <f t="shared" si="7"/>
        <v>222</v>
      </c>
      <c r="H69" s="116">
        <f>SUM(H28:H34)/7</f>
        <v>17.5</v>
      </c>
      <c r="I69" s="101">
        <f t="shared" si="8"/>
        <v>367.5</v>
      </c>
      <c r="J69" s="119">
        <f>SUM(J28:J34)/7</f>
        <v>16.510204081632654</v>
      </c>
      <c r="K69" s="130">
        <f t="shared" si="9"/>
        <v>346.71428571428572</v>
      </c>
      <c r="S69" s="128"/>
    </row>
    <row r="70" spans="1:19" s="3" customFormat="1" ht="21.75" customHeight="1">
      <c r="A70" s="125" t="s">
        <v>158</v>
      </c>
      <c r="B70" s="114">
        <f>SUM(B28:B36)/9</f>
        <v>15.222222222222221</v>
      </c>
      <c r="C70" s="131">
        <f t="shared" si="15"/>
        <v>319.66666666666669</v>
      </c>
      <c r="D70" s="116">
        <f>SUM(D28:D36)/9</f>
        <v>8</v>
      </c>
      <c r="E70" s="130">
        <f t="shared" si="16"/>
        <v>168</v>
      </c>
      <c r="F70" s="116">
        <f>SUM(F28:F36)/9</f>
        <v>8.4444444444444446</v>
      </c>
      <c r="G70" s="130">
        <f t="shared" si="7"/>
        <v>177.33333333333331</v>
      </c>
      <c r="H70" s="116">
        <f>SUM(H28:H36)/9</f>
        <v>14.018518518518517</v>
      </c>
      <c r="I70" s="101">
        <f t="shared" si="8"/>
        <v>294.38888888888891</v>
      </c>
      <c r="J70" s="119">
        <f>SUM(J28:J36)/9</f>
        <v>13.222222222222221</v>
      </c>
      <c r="K70" s="130">
        <f t="shared" si="9"/>
        <v>277.66666666666669</v>
      </c>
      <c r="S70" s="128"/>
    </row>
    <row r="71" spans="1:19" s="3" customFormat="1" ht="21.75" customHeight="1">
      <c r="A71" s="125" t="s">
        <v>168</v>
      </c>
      <c r="B71" s="114">
        <f>SUM(B29:B31)/3</f>
        <v>28</v>
      </c>
      <c r="C71" s="131">
        <f t="shared" ref="C71" si="19">IF(AND($C$7&gt;=$P$5,$C$7&lt;=$R$5),B71*$C$7*$T$5/100,IF(AND($C$7&gt;=$P$4,$C$7&lt;=$R$4),B71*$C$7*$T$4/100,IF(AND($C$7&gt;=$P$3,$C$7&lt;=$R$3),B71*$C$7*$T$3/100,IF($C$7&gt;=$P$6,B71*$C$7*$T$6/100))))</f>
        <v>588</v>
      </c>
      <c r="D71" s="116">
        <f>SUM(D29:D31)/3</f>
        <v>13.333333333333334</v>
      </c>
      <c r="E71" s="130">
        <f t="shared" ref="E71" si="20">IF(AND($C$7&gt;=$P$5,$C$7&lt;=$R$5),D71*$C$7*$T$5/100,IF(AND($C$7&gt;=$P$4,$C$7&lt;=$R$4),D71*$C$7*$T$4/100,IF(AND($C$7&gt;=$P$3,$C$7&lt;=$R$3),D71*$C$7*$T$3/100,IF($C$7&gt;=$P$6,D71*$C$7*$T$6/100))))</f>
        <v>280.00000000000006</v>
      </c>
      <c r="F71" s="116">
        <f>SUM(F29:F31)/3</f>
        <v>15.666666666666666</v>
      </c>
      <c r="G71" s="130">
        <f t="shared" ref="G71" si="21">IF(AND($C$7&gt;=$P$5,$C$7&lt;=$R$5),F71*$C$7*$T$5/100,IF(AND($C$7&gt;=$P$4,$C$7&lt;=$R$4),F71*$C$7*$T$4/100,IF(AND($C$7&gt;=$P$3,$C$7&lt;=$R$3),F71*$C$7*$T$3/100,IF($C$7&gt;=$P$6,F71*$C$7*$T$6/100))))</f>
        <v>329</v>
      </c>
      <c r="H71" s="116">
        <f>SUM(H29:H31)/3</f>
        <v>25.555555555555557</v>
      </c>
      <c r="I71" s="101">
        <f t="shared" ref="I71" si="22">((5*C71)+E71)/6</f>
        <v>536.66666666666663</v>
      </c>
      <c r="J71" s="119">
        <f>SUM(J29:J31)/3</f>
        <v>24.142857142857142</v>
      </c>
      <c r="K71" s="130">
        <f t="shared" ref="K71" si="23">((5*C71)+E71+G71)/7</f>
        <v>507</v>
      </c>
      <c r="S71" s="128"/>
    </row>
    <row r="72" spans="1:19" s="3" customFormat="1" ht="21.75" customHeight="1">
      <c r="A72" s="125" t="s">
        <v>166</v>
      </c>
      <c r="B72" s="114">
        <f>SUM(B30:B31)/2</f>
        <v>26.5</v>
      </c>
      <c r="C72" s="131">
        <f t="shared" si="15"/>
        <v>556.5</v>
      </c>
      <c r="D72" s="116">
        <f>SUM(D30:D31)/2</f>
        <v>11.5</v>
      </c>
      <c r="E72" s="130">
        <f t="shared" si="16"/>
        <v>241.5</v>
      </c>
      <c r="F72" s="855">
        <f>SUM(F30:F31)/2</f>
        <v>12.5</v>
      </c>
      <c r="G72" s="130">
        <f t="shared" si="7"/>
        <v>262.5</v>
      </c>
      <c r="H72" s="116">
        <f>SUM(H30:H31)/2</f>
        <v>24</v>
      </c>
      <c r="I72" s="101">
        <f t="shared" ref="I72" si="24">((5*C72)+E72)/6</f>
        <v>504</v>
      </c>
      <c r="J72" s="119">
        <f>SUM(J30:J31)/2</f>
        <v>22.357142857142858</v>
      </c>
      <c r="K72" s="130">
        <f t="shared" ref="K72" si="25">((5*C72)+E72+G72)/7</f>
        <v>469.5</v>
      </c>
      <c r="S72" s="128"/>
    </row>
    <row r="73" spans="1:19" s="3" customFormat="1" ht="21.75" customHeight="1">
      <c r="A73" s="125" t="s">
        <v>101</v>
      </c>
      <c r="B73" s="114">
        <f>SUM(B30:B33)/4</f>
        <v>17</v>
      </c>
      <c r="C73" s="131">
        <f t="shared" si="15"/>
        <v>357</v>
      </c>
      <c r="D73" s="116">
        <f>SUM(D30:D33)/4</f>
        <v>7.75</v>
      </c>
      <c r="E73" s="131">
        <f t="shared" si="16"/>
        <v>162.75</v>
      </c>
      <c r="F73" s="116">
        <f>SUM(F30:F33)/4</f>
        <v>8</v>
      </c>
      <c r="G73" s="101">
        <f t="shared" si="7"/>
        <v>168</v>
      </c>
      <c r="H73" s="116">
        <f>SUM(H30:H33)/4</f>
        <v>15.458333333333334</v>
      </c>
      <c r="I73" s="130">
        <f t="shared" si="8"/>
        <v>324.625</v>
      </c>
      <c r="J73" s="119">
        <f>SUM(J30:J33)/4</f>
        <v>14.392857142857142</v>
      </c>
      <c r="K73" s="101">
        <f t="shared" si="9"/>
        <v>302.25</v>
      </c>
      <c r="R73" s="546"/>
      <c r="S73" s="128"/>
    </row>
    <row r="74" spans="1:19" s="3" customFormat="1" ht="21.75" customHeight="1">
      <c r="A74" s="125" t="s">
        <v>123</v>
      </c>
      <c r="B74" s="114">
        <f>SUM(B31:B33)/3</f>
        <v>12.666666666666666</v>
      </c>
      <c r="C74" s="131">
        <f t="shared" si="15"/>
        <v>265.99999999999994</v>
      </c>
      <c r="D74" s="114">
        <f>SUM(D31:D33)/3</f>
        <v>5.666666666666667</v>
      </c>
      <c r="E74" s="131">
        <f t="shared" si="16"/>
        <v>119.00000000000001</v>
      </c>
      <c r="F74" s="114">
        <f>SUM(F31:F33)/3</f>
        <v>5</v>
      </c>
      <c r="G74" s="101">
        <f t="shared" si="7"/>
        <v>105</v>
      </c>
      <c r="H74" s="114">
        <f>SUM(H31:H33)/3</f>
        <v>11.5</v>
      </c>
      <c r="I74" s="130">
        <f t="shared" si="8"/>
        <v>241.49999999999997</v>
      </c>
      <c r="J74" s="114">
        <f>SUM(J31:J33)/3</f>
        <v>10.571428571428571</v>
      </c>
      <c r="K74" s="101">
        <f t="shared" si="9"/>
        <v>221.99999999999997</v>
      </c>
      <c r="S74" s="128"/>
    </row>
    <row r="75" spans="1:19" s="3" customFormat="1" ht="21.75" customHeight="1">
      <c r="A75" s="125" t="s">
        <v>94</v>
      </c>
      <c r="B75" s="114">
        <f>SUM(B31:B34)/4</f>
        <v>10.5</v>
      </c>
      <c r="C75" s="131">
        <f t="shared" si="15"/>
        <v>220.5</v>
      </c>
      <c r="D75" s="116">
        <f>SUM(D31:D34)/4</f>
        <v>4.5</v>
      </c>
      <c r="E75" s="131">
        <f t="shared" si="16"/>
        <v>94.5</v>
      </c>
      <c r="F75" s="116">
        <f>SUM(F31:F34)/4</f>
        <v>4.25</v>
      </c>
      <c r="G75" s="101">
        <f t="shared" si="7"/>
        <v>89.25</v>
      </c>
      <c r="H75" s="116">
        <f>SUM(H31:H34)/4</f>
        <v>9.5</v>
      </c>
      <c r="I75" s="130">
        <f t="shared" si="8"/>
        <v>199.5</v>
      </c>
      <c r="J75" s="119">
        <f>SUM(J31:J34)/4</f>
        <v>8.75</v>
      </c>
      <c r="K75" s="101">
        <f t="shared" si="9"/>
        <v>183.75</v>
      </c>
      <c r="S75" s="128"/>
    </row>
    <row r="76" spans="1:19" s="3" customFormat="1" ht="21.75" customHeight="1">
      <c r="A76" s="125" t="s">
        <v>95</v>
      </c>
      <c r="B76" s="114">
        <f>SUM(B31:B36)/6</f>
        <v>7.666666666666667</v>
      </c>
      <c r="C76" s="131">
        <f t="shared" si="15"/>
        <v>161.00000000000003</v>
      </c>
      <c r="D76" s="116">
        <f>SUM(D31:D36)/6</f>
        <v>3.3333333333333335</v>
      </c>
      <c r="E76" s="131">
        <f t="shared" si="16"/>
        <v>70.000000000000014</v>
      </c>
      <c r="F76" s="116">
        <f>SUM(F31:F36)/6</f>
        <v>3.1666666666666665</v>
      </c>
      <c r="G76" s="130">
        <f t="shared" si="7"/>
        <v>66.499999999999986</v>
      </c>
      <c r="H76" s="116">
        <f>SUM(H31:H36)/6</f>
        <v>6.9444444444444455</v>
      </c>
      <c r="I76" s="131">
        <f t="shared" si="8"/>
        <v>145.83333333333334</v>
      </c>
      <c r="J76" s="119">
        <f>SUM(J31:J36)/6</f>
        <v>6.4047619047619051</v>
      </c>
      <c r="K76" s="101">
        <f t="shared" si="9"/>
        <v>134.50000000000003</v>
      </c>
    </row>
    <row r="77" spans="1:19" s="3" customFormat="1" ht="21.75" customHeight="1">
      <c r="A77" s="125" t="s">
        <v>96</v>
      </c>
      <c r="B77" s="114">
        <f>SUM(B32:B36)/5</f>
        <v>4.5999999999999996</v>
      </c>
      <c r="C77" s="131">
        <f t="shared" si="15"/>
        <v>96.6</v>
      </c>
      <c r="D77" s="134">
        <f>SUM(D32:D36)/5</f>
        <v>2.2000000000000002</v>
      </c>
      <c r="E77" s="131">
        <f t="shared" si="16"/>
        <v>46.2</v>
      </c>
      <c r="F77" s="134">
        <f>SUM(F32:F36)/5</f>
        <v>2.2000000000000002</v>
      </c>
      <c r="G77" s="101">
        <f t="shared" si="7"/>
        <v>46.2</v>
      </c>
      <c r="H77" s="134">
        <f>SUM(H32:H36)/5</f>
        <v>4.1999999999999993</v>
      </c>
      <c r="I77" s="131">
        <f t="shared" si="8"/>
        <v>88.2</v>
      </c>
      <c r="J77" s="116">
        <f>SUM(J32:J36)/5</f>
        <v>3.9142857142857146</v>
      </c>
      <c r="K77" s="131">
        <f t="shared" si="9"/>
        <v>82.200000000000017</v>
      </c>
    </row>
    <row r="78" spans="1:19" ht="21.75" customHeight="1" thickBot="1">
      <c r="A78" s="125" t="s">
        <v>97</v>
      </c>
      <c r="B78" s="137">
        <f>SUM(B33:B36)/4</f>
        <v>3.5</v>
      </c>
      <c r="C78" s="102">
        <f t="shared" si="15"/>
        <v>73.5</v>
      </c>
      <c r="D78" s="117">
        <f>SUM(D33:D36)/4</f>
        <v>1.25</v>
      </c>
      <c r="E78" s="102">
        <f t="shared" si="16"/>
        <v>26.25</v>
      </c>
      <c r="F78" s="117">
        <f>SUM(F33:F36)/4</f>
        <v>1.5</v>
      </c>
      <c r="G78" s="138">
        <f t="shared" si="7"/>
        <v>31.5</v>
      </c>
      <c r="H78" s="117">
        <f>SUM(H33:H36)/4</f>
        <v>3.125</v>
      </c>
      <c r="I78" s="102">
        <f t="shared" si="8"/>
        <v>65.625</v>
      </c>
      <c r="J78" s="135">
        <f>SUM(J33:J36)/4</f>
        <v>2.8928571428571423</v>
      </c>
      <c r="K78" s="102">
        <f t="shared" si="9"/>
        <v>60.75</v>
      </c>
    </row>
    <row r="115" spans="1:1">
      <c r="A115" s="1" t="s">
        <v>55</v>
      </c>
    </row>
    <row r="116" spans="1:1">
      <c r="A116" s="1" t="s">
        <v>0</v>
      </c>
    </row>
    <row r="117" spans="1:1">
      <c r="A117" s="1" t="s">
        <v>21</v>
      </c>
    </row>
    <row r="118" spans="1:1">
      <c r="A118" s="1" t="s">
        <v>136</v>
      </c>
    </row>
    <row r="119" spans="1:1">
      <c r="A119" s="1" t="s">
        <v>137</v>
      </c>
    </row>
  </sheetData>
  <mergeCells count="7">
    <mergeCell ref="E1:N1"/>
    <mergeCell ref="A10:K10"/>
    <mergeCell ref="B11:C11"/>
    <mergeCell ref="D11:E11"/>
    <mergeCell ref="F11:G11"/>
    <mergeCell ref="H11:I11"/>
    <mergeCell ref="J11:K11"/>
  </mergeCells>
  <dataValidations disablePrompts="1" count="3">
    <dataValidation type="list" allowBlank="1" showInputMessage="1" showErrorMessage="1" sqref="E8:E9">
      <formula1>$B$11:$K$11</formula1>
    </dataValidation>
    <dataValidation type="list" allowBlank="1" showInputMessage="1" showErrorMessage="1" sqref="E4:E7">
      <formula1>$A$115:$A$119</formula1>
    </dataValidation>
    <dataValidation type="list" allowBlank="1" showInputMessage="1" showErrorMessage="1" sqref="F4:F9">
      <formula1>$A$37:$A$80</formula1>
    </dataValidation>
  </dataValidations>
  <pageMargins left="0.7" right="0.7" top="0.78740157499999996" bottom="0.78740157499999996" header="0.3" footer="0.3"/>
  <pageSetup paperSize="9" scale="3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77"/>
  <sheetViews>
    <sheetView zoomScale="80" zoomScaleNormal="80" workbookViewId="0">
      <selection activeCell="A5" sqref="A5"/>
    </sheetView>
  </sheetViews>
  <sheetFormatPr baseColWidth="10" defaultColWidth="14.42578125" defaultRowHeight="15" outlineLevelCol="1"/>
  <cols>
    <col min="1" max="1" width="14.42578125" style="6" customWidth="1"/>
    <col min="2" max="2" width="6" style="6" customWidth="1"/>
    <col min="3" max="4" width="8.85546875" style="76" customWidth="1"/>
    <col min="5" max="5" width="11.140625" style="76" customWidth="1"/>
    <col min="6" max="13" width="8.85546875" style="76" customWidth="1"/>
    <col min="14" max="34" width="4.5703125" style="6" customWidth="1"/>
    <col min="35" max="48" width="4.5703125" style="6" customWidth="1" outlineLevel="1"/>
    <col min="49" max="55" width="4.7109375" style="6" customWidth="1" outlineLevel="1"/>
    <col min="56" max="56" width="14.42578125" style="6"/>
    <col min="57" max="57" width="0" style="6" hidden="1" customWidth="1"/>
    <col min="58" max="58" width="16.85546875" style="6" hidden="1" customWidth="1"/>
    <col min="59" max="61" width="0" style="6" hidden="1" customWidth="1"/>
    <col min="62" max="16384" width="14.42578125" style="6"/>
  </cols>
  <sheetData>
    <row r="1" spans="1:60" s="78" customFormat="1">
      <c r="A1" s="23"/>
      <c r="B1" s="23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</row>
    <row r="2" spans="1:60" s="80" customFormat="1" ht="47.25">
      <c r="A2" s="899"/>
      <c r="B2" s="899"/>
      <c r="C2" s="899"/>
      <c r="D2" s="899"/>
      <c r="E2" s="899"/>
      <c r="F2" s="899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B2" s="899"/>
      <c r="AC2" s="899"/>
      <c r="AD2" s="899"/>
      <c r="AE2" s="899"/>
      <c r="AF2" s="899"/>
      <c r="AG2" s="899"/>
      <c r="AH2" s="899"/>
      <c r="AI2" s="899"/>
      <c r="AJ2" s="899"/>
      <c r="AK2" s="899"/>
      <c r="AL2" s="899"/>
      <c r="AM2" s="899"/>
      <c r="AN2" s="899"/>
      <c r="AO2" s="899"/>
      <c r="AP2" s="899"/>
      <c r="AQ2" s="899"/>
      <c r="AR2" s="899"/>
      <c r="AS2" s="899"/>
      <c r="AT2" s="899"/>
      <c r="AU2" s="899"/>
      <c r="AV2" s="899"/>
      <c r="AW2" s="899"/>
      <c r="AX2" s="899"/>
      <c r="AY2" s="899"/>
      <c r="AZ2" s="899"/>
      <c r="BA2" s="899"/>
      <c r="BB2" s="899"/>
      <c r="BC2" s="899"/>
      <c r="BD2" s="79"/>
      <c r="BE2" s="79"/>
      <c r="BF2" s="79"/>
      <c r="BG2" s="79"/>
      <c r="BH2" s="79"/>
    </row>
    <row r="3" spans="1:60" s="78" customFormat="1" ht="11.25" customHeight="1">
      <c r="A3" s="81"/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23"/>
      <c r="BE3" s="23"/>
      <c r="BF3" s="23"/>
      <c r="BG3" s="23"/>
      <c r="BH3" s="23"/>
    </row>
    <row r="4" spans="1:60" ht="18.75" customHeight="1">
      <c r="A4" s="900" t="s">
        <v>169</v>
      </c>
      <c r="B4" s="900"/>
      <c r="C4" s="900"/>
      <c r="D4" s="900"/>
      <c r="E4" s="900"/>
      <c r="F4" s="900"/>
      <c r="G4" s="900"/>
      <c r="H4" s="900"/>
      <c r="I4" s="900"/>
      <c r="J4" s="900"/>
      <c r="K4" s="900"/>
      <c r="L4" s="900"/>
      <c r="M4" s="900"/>
      <c r="N4" s="900"/>
      <c r="O4" s="900"/>
      <c r="P4" s="900"/>
      <c r="Q4" s="900"/>
      <c r="R4" s="900"/>
      <c r="S4" s="900"/>
      <c r="T4" s="900"/>
      <c r="U4" s="900"/>
      <c r="V4" s="900"/>
      <c r="W4" s="900"/>
      <c r="X4" s="900"/>
      <c r="Y4" s="900"/>
      <c r="Z4" s="900"/>
      <c r="AA4" s="900"/>
      <c r="AB4" s="900"/>
      <c r="AC4" s="900"/>
      <c r="AD4" s="900"/>
      <c r="AE4" s="900"/>
      <c r="AF4" s="900"/>
      <c r="AG4" s="900"/>
      <c r="AH4" s="900"/>
      <c r="AI4" s="900"/>
      <c r="AJ4" s="900"/>
      <c r="AK4" s="900"/>
      <c r="AL4" s="900"/>
      <c r="AM4" s="900"/>
      <c r="AN4" s="900"/>
      <c r="AO4" s="900"/>
      <c r="AP4" s="900"/>
      <c r="AQ4" s="900"/>
      <c r="AR4" s="900"/>
      <c r="AS4" s="900"/>
      <c r="AT4" s="900"/>
      <c r="AU4" s="900"/>
      <c r="AV4" s="900"/>
      <c r="AW4" s="900"/>
      <c r="AX4" s="900"/>
      <c r="AY4" s="900"/>
      <c r="AZ4" s="900"/>
      <c r="BA4" s="900"/>
      <c r="BB4" s="900"/>
      <c r="BC4" s="900"/>
      <c r="BD4" s="900"/>
      <c r="BE4" s="900"/>
      <c r="BF4" s="900"/>
      <c r="BG4" s="900"/>
      <c r="BH4" s="900"/>
    </row>
    <row r="5" spans="1:60" s="9" customFormat="1" ht="18.75" thickBot="1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7"/>
      <c r="Q5" s="12"/>
      <c r="R5" s="10"/>
      <c r="S5" s="10"/>
      <c r="T5" s="10"/>
      <c r="U5" s="10"/>
      <c r="V5" s="13"/>
      <c r="W5" s="13"/>
      <c r="X5" s="13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 spans="1:60" s="16" customFormat="1" ht="18.75" thickBot="1">
      <c r="A6" s="10"/>
      <c r="B6" s="84" t="s">
        <v>1</v>
      </c>
      <c r="C6" s="85"/>
      <c r="D6" s="11"/>
      <c r="E6" s="889"/>
      <c r="F6" s="890"/>
      <c r="G6" s="891"/>
      <c r="H6" s="85"/>
      <c r="I6" s="877" t="s">
        <v>2</v>
      </c>
      <c r="J6" s="878"/>
      <c r="K6" s="878"/>
      <c r="L6" s="844"/>
      <c r="M6" s="901">
        <f>B41+F41+J41</f>
        <v>0</v>
      </c>
      <c r="N6" s="901"/>
      <c r="O6" s="902"/>
      <c r="P6" s="3"/>
      <c r="Q6" s="89"/>
      <c r="R6" s="143" t="s">
        <v>110</v>
      </c>
      <c r="S6" s="144"/>
      <c r="T6" s="144"/>
      <c r="U6" s="144"/>
      <c r="V6" s="145" t="s">
        <v>113</v>
      </c>
      <c r="W6" s="13"/>
      <c r="X6" s="13"/>
      <c r="Y6" s="18"/>
      <c r="Z6" s="12"/>
      <c r="AA6" s="12"/>
      <c r="AB6" s="12"/>
      <c r="AC6" s="12"/>
      <c r="AD6" s="12"/>
      <c r="AE6" s="10"/>
      <c r="AF6" s="10"/>
      <c r="AG6" s="10"/>
      <c r="AH6" s="10"/>
      <c r="AI6" s="13"/>
      <c r="AJ6" s="13"/>
      <c r="AK6" s="13"/>
      <c r="AL6" s="13"/>
      <c r="AM6" s="10"/>
      <c r="AN6" s="903"/>
      <c r="AO6" s="903"/>
      <c r="AP6" s="903"/>
      <c r="AQ6" s="903"/>
      <c r="AR6" s="903"/>
      <c r="AS6" s="903"/>
      <c r="AT6" s="903"/>
      <c r="AU6" s="903"/>
      <c r="AV6" s="903"/>
      <c r="AW6" s="10"/>
      <c r="AX6" s="10"/>
      <c r="AY6" s="10"/>
      <c r="AZ6" s="10"/>
      <c r="BA6" s="10"/>
      <c r="BB6" s="10"/>
      <c r="BC6" s="10"/>
      <c r="BD6" s="10"/>
      <c r="BE6" s="14">
        <f>WEEKDAY(AP7,2)</f>
        <v>6</v>
      </c>
      <c r="BF6" s="15">
        <f>DAYS360(AP7,AP8)+1</f>
        <v>1</v>
      </c>
      <c r="BG6" s="10"/>
      <c r="BH6" s="10"/>
    </row>
    <row r="7" spans="1:60" s="16" customFormat="1" ht="18.75" thickBot="1">
      <c r="A7" s="10"/>
      <c r="B7" s="84" t="s">
        <v>3</v>
      </c>
      <c r="C7" s="85"/>
      <c r="D7" s="11"/>
      <c r="E7" s="889"/>
      <c r="F7" s="890"/>
      <c r="G7" s="891"/>
      <c r="H7" s="85"/>
      <c r="I7" s="906" t="s">
        <v>4</v>
      </c>
      <c r="J7" s="907"/>
      <c r="K7" s="907"/>
      <c r="L7" s="845"/>
      <c r="M7" s="904">
        <f>G9*M6</f>
        <v>0</v>
      </c>
      <c r="N7" s="904"/>
      <c r="O7" s="905"/>
      <c r="P7" s="3"/>
      <c r="Q7" s="89"/>
      <c r="R7" s="146">
        <v>1</v>
      </c>
      <c r="S7" s="147" t="s">
        <v>112</v>
      </c>
      <c r="T7" s="147">
        <v>15</v>
      </c>
      <c r="U7" s="147" t="s">
        <v>23</v>
      </c>
      <c r="V7" s="148">
        <v>110</v>
      </c>
      <c r="W7" s="13"/>
      <c r="X7" s="13"/>
      <c r="Y7" s="18"/>
      <c r="Z7" s="12"/>
      <c r="AA7" s="12"/>
      <c r="AB7" s="12"/>
      <c r="AC7" s="12"/>
      <c r="AD7" s="89"/>
      <c r="AE7" s="10"/>
      <c r="AF7" s="10"/>
      <c r="AG7" s="10"/>
      <c r="AH7" s="10"/>
      <c r="AI7" s="13"/>
      <c r="AJ7" s="13"/>
      <c r="AK7" s="13"/>
      <c r="AL7" s="13"/>
      <c r="AM7" s="10"/>
      <c r="AN7" s="18"/>
      <c r="AO7" s="18"/>
      <c r="AP7" s="19"/>
      <c r="AQ7" s="19"/>
      <c r="AR7" s="19"/>
      <c r="AS7" s="19"/>
      <c r="AT7" s="19"/>
      <c r="AU7" s="19"/>
      <c r="AV7" s="19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s="16" customFormat="1" ht="18.75" thickBot="1">
      <c r="A8" s="10"/>
      <c r="B8" s="84" t="s">
        <v>5</v>
      </c>
      <c r="C8" s="85"/>
      <c r="D8" s="11"/>
      <c r="E8" s="889"/>
      <c r="F8" s="890"/>
      <c r="G8" s="891"/>
      <c r="H8" s="85"/>
      <c r="I8" s="875" t="s">
        <v>6</v>
      </c>
      <c r="J8" s="876"/>
      <c r="K8" s="876"/>
      <c r="L8" s="843"/>
      <c r="M8" s="887">
        <f>E41+I41+M41</f>
        <v>0</v>
      </c>
      <c r="N8" s="887"/>
      <c r="O8" s="888"/>
      <c r="P8" s="3"/>
      <c r="Q8" s="12"/>
      <c r="R8" s="146">
        <v>16</v>
      </c>
      <c r="S8" s="147" t="s">
        <v>112</v>
      </c>
      <c r="T8" s="147">
        <v>24</v>
      </c>
      <c r="U8" s="147" t="s">
        <v>23</v>
      </c>
      <c r="V8" s="148">
        <v>105</v>
      </c>
      <c r="W8" s="10"/>
      <c r="X8" s="10"/>
      <c r="Y8" s="18"/>
      <c r="Z8" s="12"/>
      <c r="AA8" s="12"/>
      <c r="AB8" s="90"/>
      <c r="AC8" s="12"/>
      <c r="AD8" s="89"/>
      <c r="AE8" s="10"/>
      <c r="AF8" s="10"/>
      <c r="AG8" s="10"/>
      <c r="AH8" s="10"/>
      <c r="AI8" s="13"/>
      <c r="AJ8" s="13"/>
      <c r="AK8" s="13"/>
      <c r="AL8" s="13"/>
      <c r="AM8" s="10"/>
      <c r="AN8" s="18"/>
      <c r="AO8" s="18"/>
      <c r="AP8" s="19"/>
      <c r="AQ8" s="19"/>
      <c r="AR8" s="19"/>
      <c r="AS8" s="19"/>
      <c r="AT8" s="19"/>
      <c r="AU8" s="19"/>
      <c r="AV8" s="19"/>
      <c r="AW8" s="10"/>
      <c r="AX8" s="20"/>
      <c r="AY8" s="10"/>
      <c r="AZ8" s="10"/>
      <c r="BA8" s="10"/>
      <c r="BB8" s="10"/>
      <c r="BC8" s="10"/>
      <c r="BD8" s="10"/>
      <c r="BE8" s="10"/>
      <c r="BF8" s="17"/>
      <c r="BG8" s="10"/>
      <c r="BH8" s="10"/>
    </row>
    <row r="9" spans="1:60" s="16" customFormat="1" ht="18.75" thickBot="1">
      <c r="A9" s="10"/>
      <c r="B9" s="3" t="s">
        <v>7</v>
      </c>
      <c r="C9" s="85"/>
      <c r="D9" s="85"/>
      <c r="E9" s="85"/>
      <c r="F9" s="85"/>
      <c r="G9" s="126">
        <v>10</v>
      </c>
      <c r="H9" s="85"/>
      <c r="I9" s="877" t="s">
        <v>46</v>
      </c>
      <c r="J9" s="878"/>
      <c r="K9" s="878"/>
      <c r="L9" s="87">
        <v>0.05</v>
      </c>
      <c r="M9" s="892">
        <f>M8*L9</f>
        <v>0</v>
      </c>
      <c r="N9" s="892"/>
      <c r="O9" s="893"/>
      <c r="P9" s="3"/>
      <c r="Q9" s="12"/>
      <c r="R9" s="146">
        <v>25</v>
      </c>
      <c r="S9" s="147" t="s">
        <v>112</v>
      </c>
      <c r="T9" s="147">
        <v>34</v>
      </c>
      <c r="U9" s="147" t="s">
        <v>23</v>
      </c>
      <c r="V9" s="148">
        <v>100</v>
      </c>
      <c r="W9" s="10"/>
      <c r="X9" s="10"/>
      <c r="Y9" s="18"/>
      <c r="Z9" s="12"/>
      <c r="AA9" s="12"/>
      <c r="AB9" s="12"/>
      <c r="AC9" s="12"/>
      <c r="AD9" s="12"/>
      <c r="AE9" s="10"/>
      <c r="AF9" s="10"/>
      <c r="AG9" s="10"/>
      <c r="AH9" s="10"/>
      <c r="AI9" s="10"/>
      <c r="AJ9" s="10"/>
      <c r="AK9" s="10"/>
      <c r="AL9" s="10"/>
      <c r="AM9" s="10"/>
      <c r="AN9" s="18"/>
      <c r="AO9" s="18"/>
      <c r="AP9" s="18"/>
      <c r="AQ9" s="18"/>
      <c r="AR9" s="18"/>
      <c r="AS9" s="18"/>
      <c r="AT9" s="18"/>
      <c r="AU9" s="18"/>
      <c r="AV9" s="18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60" s="16" customFormat="1" ht="18.75" thickBot="1">
      <c r="A10" s="10"/>
      <c r="B10" s="3" t="s">
        <v>98</v>
      </c>
      <c r="C10" s="85"/>
      <c r="D10" s="85"/>
      <c r="E10" s="85"/>
      <c r="F10" s="85"/>
      <c r="G10" s="126">
        <v>50</v>
      </c>
      <c r="H10" s="85"/>
      <c r="I10" s="875" t="s">
        <v>47</v>
      </c>
      <c r="J10" s="876"/>
      <c r="K10" s="876"/>
      <c r="L10" s="843"/>
      <c r="M10" s="887">
        <f>M8-M9</f>
        <v>0</v>
      </c>
      <c r="N10" s="887"/>
      <c r="O10" s="888"/>
      <c r="P10" s="3"/>
      <c r="Q10" s="12"/>
      <c r="R10" s="149">
        <v>35</v>
      </c>
      <c r="S10" s="150" t="s">
        <v>112</v>
      </c>
      <c r="T10" s="150">
        <v>99</v>
      </c>
      <c r="U10" s="150" t="s">
        <v>23</v>
      </c>
      <c r="V10" s="151">
        <v>95</v>
      </c>
      <c r="W10" s="10"/>
      <c r="X10" s="10"/>
      <c r="Y10" s="18"/>
      <c r="Z10" s="12"/>
      <c r="AA10" s="12"/>
      <c r="AB10" s="12"/>
      <c r="AC10" s="12"/>
      <c r="AD10" s="12"/>
      <c r="AE10" s="10"/>
      <c r="AF10" s="10"/>
      <c r="AG10" s="10"/>
      <c r="AH10" s="10"/>
      <c r="AI10" s="10"/>
      <c r="AJ10" s="10"/>
      <c r="AK10" s="10"/>
      <c r="AL10" s="10"/>
      <c r="AM10" s="10"/>
      <c r="AN10" s="18"/>
      <c r="AO10" s="18"/>
      <c r="AP10" s="18"/>
      <c r="AQ10" s="18"/>
      <c r="AR10" s="18"/>
      <c r="AS10" s="18"/>
      <c r="AT10" s="18"/>
      <c r="AU10" s="18"/>
      <c r="AV10" s="18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1:60" s="16" customFormat="1" ht="18.75" thickBot="1">
      <c r="A11" s="10"/>
      <c r="B11" s="3"/>
      <c r="C11" s="85"/>
      <c r="D11" s="85"/>
      <c r="E11" s="85"/>
      <c r="F11" s="85"/>
      <c r="G11" s="85"/>
      <c r="H11" s="85"/>
      <c r="I11" s="897" t="s">
        <v>48</v>
      </c>
      <c r="J11" s="898"/>
      <c r="K11" s="898"/>
      <c r="L11" s="88">
        <v>0.15</v>
      </c>
      <c r="M11" s="879">
        <f>M10*L11</f>
        <v>0</v>
      </c>
      <c r="N11" s="879"/>
      <c r="O11" s="880"/>
      <c r="P11" s="3"/>
      <c r="Q11" s="12"/>
      <c r="R11" s="10"/>
      <c r="S11" s="10"/>
      <c r="T11" s="10"/>
      <c r="U11" s="10"/>
      <c r="V11" s="13"/>
      <c r="W11" s="13"/>
      <c r="X11" s="13"/>
      <c r="Y11" s="18"/>
      <c r="Z11" s="12"/>
      <c r="AA11" s="12"/>
      <c r="AB11" s="12"/>
      <c r="AC11" s="12"/>
      <c r="AD11" s="12"/>
      <c r="AE11" s="10"/>
      <c r="AF11" s="10"/>
      <c r="AG11" s="10"/>
      <c r="AH11" s="10"/>
      <c r="AI11" s="10"/>
      <c r="AJ11" s="10"/>
      <c r="AK11" s="10"/>
      <c r="AL11" s="10"/>
      <c r="AM11" s="10"/>
      <c r="AN11" s="18"/>
      <c r="AO11" s="18"/>
      <c r="AP11" s="18"/>
      <c r="AQ11" s="18"/>
      <c r="AR11" s="18"/>
      <c r="AS11" s="18"/>
      <c r="AT11" s="18"/>
      <c r="AU11" s="18"/>
      <c r="AV11" s="18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16" customFormat="1" ht="20.25" thickBot="1">
      <c r="A12" s="10"/>
      <c r="B12" s="21"/>
      <c r="C12" s="11"/>
      <c r="D12" s="11"/>
      <c r="E12" s="11"/>
      <c r="F12" s="11"/>
      <c r="G12" s="11"/>
      <c r="H12" s="11"/>
      <c r="I12" s="875" t="s">
        <v>49</v>
      </c>
      <c r="J12" s="876"/>
      <c r="K12" s="876"/>
      <c r="L12" s="83"/>
      <c r="M12" s="879">
        <f>M10-M11</f>
        <v>0</v>
      </c>
      <c r="N12" s="879"/>
      <c r="O12" s="880"/>
      <c r="P12" s="10"/>
      <c r="Q12" s="89"/>
      <c r="R12" s="10"/>
      <c r="S12" s="10"/>
      <c r="T12" s="10"/>
      <c r="U12" s="10"/>
      <c r="V12" s="13"/>
      <c r="W12" s="13"/>
      <c r="X12" s="13"/>
      <c r="Y12" s="18"/>
      <c r="Z12" s="12"/>
      <c r="AA12" s="12"/>
      <c r="AB12" s="12"/>
      <c r="AC12" s="12"/>
      <c r="AD12" s="12"/>
      <c r="AE12" s="10"/>
      <c r="AF12" s="10"/>
      <c r="AG12" s="10"/>
      <c r="AH12" s="10"/>
      <c r="AI12" s="10"/>
      <c r="AJ12" s="10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spans="1:60" s="1" customFormat="1" ht="15.75" thickBot="1">
      <c r="A13" s="2"/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"/>
      <c r="BE13" s="2"/>
      <c r="BF13" s="2"/>
      <c r="BG13" s="2"/>
      <c r="BH13" s="2"/>
    </row>
    <row r="14" spans="1:60" s="25" customFormat="1" ht="15.75">
      <c r="A14" s="24" t="s">
        <v>8</v>
      </c>
      <c r="B14" s="894" t="s">
        <v>9</v>
      </c>
      <c r="C14" s="895"/>
      <c r="D14" s="895"/>
      <c r="E14" s="896"/>
      <c r="F14" s="881" t="s">
        <v>10</v>
      </c>
      <c r="G14" s="882"/>
      <c r="H14" s="882"/>
      <c r="I14" s="883"/>
      <c r="J14" s="884" t="s">
        <v>11</v>
      </c>
      <c r="K14" s="885"/>
      <c r="L14" s="885"/>
      <c r="M14" s="886"/>
      <c r="N14" s="872" t="s">
        <v>50</v>
      </c>
      <c r="O14" s="873"/>
      <c r="P14" s="873"/>
      <c r="Q14" s="873"/>
      <c r="R14" s="873"/>
      <c r="S14" s="873"/>
      <c r="T14" s="874"/>
      <c r="U14" s="872" t="s">
        <v>51</v>
      </c>
      <c r="V14" s="873"/>
      <c r="W14" s="873"/>
      <c r="X14" s="873"/>
      <c r="Y14" s="873"/>
      <c r="Z14" s="873"/>
      <c r="AA14" s="874"/>
      <c r="AB14" s="872" t="s">
        <v>52</v>
      </c>
      <c r="AC14" s="873"/>
      <c r="AD14" s="873"/>
      <c r="AE14" s="873"/>
      <c r="AF14" s="873"/>
      <c r="AG14" s="873"/>
      <c r="AH14" s="874"/>
      <c r="AI14" s="872" t="s">
        <v>12</v>
      </c>
      <c r="AJ14" s="873"/>
      <c r="AK14" s="873"/>
      <c r="AL14" s="873"/>
      <c r="AM14" s="873"/>
      <c r="AN14" s="873"/>
      <c r="AO14" s="874"/>
      <c r="AP14" s="872" t="s">
        <v>13</v>
      </c>
      <c r="AQ14" s="873"/>
      <c r="AR14" s="873"/>
      <c r="AS14" s="873"/>
      <c r="AT14" s="873"/>
      <c r="AU14" s="873"/>
      <c r="AV14" s="874"/>
      <c r="AW14" s="872" t="s">
        <v>14</v>
      </c>
      <c r="AX14" s="873"/>
      <c r="AY14" s="873"/>
      <c r="AZ14" s="873"/>
      <c r="BA14" s="873"/>
      <c r="BB14" s="873"/>
      <c r="BC14" s="874"/>
      <c r="BD14" s="3"/>
      <c r="BE14" s="3"/>
      <c r="BF14" s="3"/>
      <c r="BG14" s="3"/>
      <c r="BH14" s="3"/>
    </row>
    <row r="15" spans="1:60" s="35" customFormat="1">
      <c r="A15" s="26"/>
      <c r="B15" s="27"/>
      <c r="C15" s="28" t="s">
        <v>15</v>
      </c>
      <c r="D15" s="28" t="s">
        <v>15</v>
      </c>
      <c r="E15" s="29" t="s">
        <v>15</v>
      </c>
      <c r="F15" s="30"/>
      <c r="G15" s="28" t="s">
        <v>15</v>
      </c>
      <c r="H15" s="28" t="s">
        <v>15</v>
      </c>
      <c r="I15" s="29" t="s">
        <v>15</v>
      </c>
      <c r="J15" s="30"/>
      <c r="K15" s="28" t="s">
        <v>15</v>
      </c>
      <c r="L15" s="28" t="s">
        <v>15</v>
      </c>
      <c r="M15" s="31" t="s">
        <v>15</v>
      </c>
      <c r="N15" s="32" t="s">
        <v>16</v>
      </c>
      <c r="O15" s="33" t="s">
        <v>17</v>
      </c>
      <c r="P15" s="33" t="s">
        <v>18</v>
      </c>
      <c r="Q15" s="33" t="s">
        <v>19</v>
      </c>
      <c r="R15" s="33" t="s">
        <v>20</v>
      </c>
      <c r="S15" s="33" t="s">
        <v>0</v>
      </c>
      <c r="T15" s="34" t="s">
        <v>21</v>
      </c>
      <c r="U15" s="32" t="s">
        <v>16</v>
      </c>
      <c r="V15" s="33" t="s">
        <v>17</v>
      </c>
      <c r="W15" s="33" t="s">
        <v>18</v>
      </c>
      <c r="X15" s="33" t="s">
        <v>19</v>
      </c>
      <c r="Y15" s="33" t="s">
        <v>20</v>
      </c>
      <c r="Z15" s="33" t="s">
        <v>0</v>
      </c>
      <c r="AA15" s="34" t="s">
        <v>21</v>
      </c>
      <c r="AB15" s="32" t="s">
        <v>16</v>
      </c>
      <c r="AC15" s="33" t="s">
        <v>17</v>
      </c>
      <c r="AD15" s="33" t="s">
        <v>18</v>
      </c>
      <c r="AE15" s="33" t="s">
        <v>19</v>
      </c>
      <c r="AF15" s="33" t="s">
        <v>20</v>
      </c>
      <c r="AG15" s="33" t="s">
        <v>0</v>
      </c>
      <c r="AH15" s="34" t="s">
        <v>21</v>
      </c>
      <c r="AI15" s="32" t="s">
        <v>16</v>
      </c>
      <c r="AJ15" s="33" t="s">
        <v>17</v>
      </c>
      <c r="AK15" s="33" t="s">
        <v>18</v>
      </c>
      <c r="AL15" s="33" t="s">
        <v>19</v>
      </c>
      <c r="AM15" s="33" t="s">
        <v>20</v>
      </c>
      <c r="AN15" s="33" t="s">
        <v>0</v>
      </c>
      <c r="AO15" s="34" t="s">
        <v>21</v>
      </c>
      <c r="AP15" s="32" t="s">
        <v>16</v>
      </c>
      <c r="AQ15" s="33" t="s">
        <v>17</v>
      </c>
      <c r="AR15" s="33" t="s">
        <v>18</v>
      </c>
      <c r="AS15" s="33" t="s">
        <v>19</v>
      </c>
      <c r="AT15" s="33" t="s">
        <v>20</v>
      </c>
      <c r="AU15" s="33" t="s">
        <v>0</v>
      </c>
      <c r="AV15" s="34" t="s">
        <v>21</v>
      </c>
      <c r="AW15" s="32" t="s">
        <v>16</v>
      </c>
      <c r="AX15" s="33" t="s">
        <v>17</v>
      </c>
      <c r="AY15" s="33" t="s">
        <v>18</v>
      </c>
      <c r="AZ15" s="33" t="s">
        <v>19</v>
      </c>
      <c r="BA15" s="33" t="s">
        <v>20</v>
      </c>
      <c r="BB15" s="33" t="s">
        <v>0</v>
      </c>
      <c r="BC15" s="34" t="s">
        <v>21</v>
      </c>
      <c r="BD15" s="4"/>
      <c r="BE15" s="4"/>
      <c r="BF15" s="4"/>
      <c r="BG15" s="4"/>
      <c r="BH15" s="4"/>
    </row>
    <row r="16" spans="1:60" s="35" customFormat="1" ht="15.75" thickBot="1">
      <c r="A16" s="36"/>
      <c r="B16" s="37" t="s">
        <v>22</v>
      </c>
      <c r="C16" s="38" t="s">
        <v>23</v>
      </c>
      <c r="D16" s="38" t="s">
        <v>24</v>
      </c>
      <c r="E16" s="39" t="s">
        <v>25</v>
      </c>
      <c r="F16" s="40" t="s">
        <v>22</v>
      </c>
      <c r="G16" s="38" t="s">
        <v>23</v>
      </c>
      <c r="H16" s="38" t="s">
        <v>24</v>
      </c>
      <c r="I16" s="39" t="s">
        <v>25</v>
      </c>
      <c r="J16" s="40" t="s">
        <v>22</v>
      </c>
      <c r="K16" s="38" t="s">
        <v>23</v>
      </c>
      <c r="L16" s="38" t="s">
        <v>24</v>
      </c>
      <c r="M16" s="41" t="s">
        <v>25</v>
      </c>
      <c r="N16" s="42" t="str">
        <f>IF(BE6=1,1,"")</f>
        <v/>
      </c>
      <c r="O16" s="38" t="str">
        <f>IF($BE6=2,1,IF($BE6=1,2,""))</f>
        <v/>
      </c>
      <c r="P16" s="43" t="str">
        <f>IF($BE6=3,1,IF($BE6=2,2,IF(BE6=1,3,"")))</f>
        <v/>
      </c>
      <c r="Q16" s="38" t="str">
        <f>IF($BE6=4,1,IF($BE6=3,2,IF(BE6=2,3,IF(BE6=1,4,""))))</f>
        <v/>
      </c>
      <c r="R16" s="43" t="str">
        <f>IF($BE6=5,1,IF($BE6=4,2,IF(BE6=3,3,IF(BE6=2,4,IF(BE6=1,5,"")))))</f>
        <v/>
      </c>
      <c r="S16" s="38"/>
      <c r="T16" s="44"/>
      <c r="U16" s="42"/>
      <c r="V16" s="38"/>
      <c r="W16" s="43"/>
      <c r="X16" s="38"/>
      <c r="Y16" s="43"/>
      <c r="Z16" s="38"/>
      <c r="AA16" s="44"/>
      <c r="AB16" s="42"/>
      <c r="AC16" s="38"/>
      <c r="AD16" s="43"/>
      <c r="AE16" s="38"/>
      <c r="AF16" s="43"/>
      <c r="AG16" s="38"/>
      <c r="AH16" s="44"/>
      <c r="AI16" s="42"/>
      <c r="AJ16" s="38"/>
      <c r="AK16" s="43"/>
      <c r="AL16" s="38"/>
      <c r="AM16" s="43"/>
      <c r="AN16" s="38"/>
      <c r="AO16" s="44"/>
      <c r="AP16" s="42"/>
      <c r="AQ16" s="38"/>
      <c r="AR16" s="43"/>
      <c r="AS16" s="38"/>
      <c r="AT16" s="43"/>
      <c r="AU16" s="38"/>
      <c r="AV16" s="44"/>
      <c r="AW16" s="42"/>
      <c r="AX16" s="38"/>
      <c r="AY16" s="43"/>
      <c r="AZ16" s="38"/>
      <c r="BA16" s="43"/>
      <c r="BB16" s="38"/>
      <c r="BC16" s="44"/>
      <c r="BD16" s="4"/>
      <c r="BE16" s="4"/>
      <c r="BF16" s="4"/>
      <c r="BG16" s="4"/>
      <c r="BH16" s="4"/>
    </row>
    <row r="17" spans="1:60" s="35" customFormat="1" ht="15.75">
      <c r="A17" s="45" t="s">
        <v>120</v>
      </c>
      <c r="B17" s="46">
        <f t="shared" ref="B17:B40" si="0">SUM(N17:R17,U17:Y17,AB17:AF17,AI17:AM17,AP17:AT17,AW17:BA17)</f>
        <v>0</v>
      </c>
      <c r="C17" s="47">
        <f>'Preise RHH'!B13</f>
        <v>1</v>
      </c>
      <c r="D17" s="142">
        <f t="shared" ref="D17:D40" si="1">IF(AND($G$9&gt;=$R$9,$G$9&lt;=$T$9),C17*$G$9*$V$9/100,IF(AND($G$9&gt;=$R$8,$G$9&lt;=$T$8),C17*$G$9*$V$8/100,IF(AND($G$9&gt;=$R$7,$G$9&lt;=$T$7),C17*$G$9*$V$7/100,IF($G$9&gt;=$R$10,C17*$G$9*$V$10/100))))</f>
        <v>11</v>
      </c>
      <c r="E17" s="49">
        <f t="shared" ref="E17:E40" si="2">B17*D17*(100+$G$10)/100</f>
        <v>0</v>
      </c>
      <c r="F17" s="46">
        <f t="shared" ref="F17:F40" si="3">SUM(S17,Z17,AG17,AN17,AU17,BB17)</f>
        <v>0</v>
      </c>
      <c r="G17" s="47">
        <f>'Preise RHH'!D13</f>
        <v>1</v>
      </c>
      <c r="H17" s="48">
        <f t="shared" ref="H17:H40" si="4">IF(AND($G$9&gt;=$R$9,$G$9&lt;=$T$9),G17*$G$9*$V$9/100,IF(AND($G$9&gt;=$R$8,$G$9&lt;=$T$8),G17*$G$9*$V$8/100,IF(AND($G$9&gt;=$R$7,$G$9&lt;=$T$7),G17*$G$9*$V$7/100,IF($G$9&gt;=$R$10,G17*$G$9*$V$10/100))))</f>
        <v>11</v>
      </c>
      <c r="I17" s="49">
        <f t="shared" ref="I17:I40" si="5">F17*H17*(100+$G$10)/100</f>
        <v>0</v>
      </c>
      <c r="J17" s="46">
        <f t="shared" ref="J17:J40" si="6">SUM(T17,AA17,AH17,AO17,AV17,BC17)</f>
        <v>0</v>
      </c>
      <c r="K17" s="47">
        <f>'Preise RHH'!F13</f>
        <v>1</v>
      </c>
      <c r="L17" s="48">
        <f t="shared" ref="L17:L40" si="7">IF(AND($G$9&gt;=$R$9,$G$9&lt;=$T$9),K17*$G$9*$V$9/100,IF(AND($G$9&gt;=$R$8,$G$9&lt;=$T$8),K17*$G$9*$V$8/100,IF(AND($G$9&gt;=$R$7,$G$9&lt;=$T$7),K17*$G$9*$V$7/100,IF($G$9&gt;=$R$10,K17*$G$9*$V$10/100))))</f>
        <v>11</v>
      </c>
      <c r="M17" s="49">
        <f t="shared" ref="M17:M40" si="8">J17*L17*(100+$G$10)/100</f>
        <v>0</v>
      </c>
      <c r="N17" s="50"/>
      <c r="O17" s="51"/>
      <c r="P17" s="51"/>
      <c r="Q17" s="51"/>
      <c r="R17" s="51"/>
      <c r="S17" s="52"/>
      <c r="T17" s="53"/>
      <c r="U17" s="50"/>
      <c r="V17" s="51"/>
      <c r="W17" s="51"/>
      <c r="X17" s="51"/>
      <c r="Y17" s="51"/>
      <c r="Z17" s="52"/>
      <c r="AA17" s="53"/>
      <c r="AB17" s="50"/>
      <c r="AC17" s="51"/>
      <c r="AD17" s="51"/>
      <c r="AE17" s="51"/>
      <c r="AF17" s="51"/>
      <c r="AG17" s="52"/>
      <c r="AH17" s="53"/>
      <c r="AI17" s="50"/>
      <c r="AJ17" s="51"/>
      <c r="AK17" s="51"/>
      <c r="AL17" s="51"/>
      <c r="AM17" s="51"/>
      <c r="AN17" s="52"/>
      <c r="AO17" s="53"/>
      <c r="AP17" s="50"/>
      <c r="AQ17" s="51"/>
      <c r="AR17" s="51"/>
      <c r="AS17" s="51"/>
      <c r="AT17" s="51"/>
      <c r="AU17" s="52"/>
      <c r="AV17" s="53"/>
      <c r="AW17" s="50"/>
      <c r="AX17" s="51"/>
      <c r="AY17" s="51"/>
      <c r="AZ17" s="51"/>
      <c r="BA17" s="51"/>
      <c r="BB17" s="52"/>
      <c r="BC17" s="53"/>
      <c r="BD17" s="4"/>
      <c r="BE17" s="4"/>
      <c r="BF17" s="4"/>
      <c r="BG17" s="4"/>
      <c r="BH17" s="4"/>
    </row>
    <row r="18" spans="1:60" s="35" customFormat="1" ht="15.75">
      <c r="A18" s="45" t="s">
        <v>119</v>
      </c>
      <c r="B18" s="46">
        <f t="shared" si="0"/>
        <v>0</v>
      </c>
      <c r="C18" s="47">
        <f>'Preise RHH'!B14</f>
        <v>1</v>
      </c>
      <c r="D18" s="142">
        <f t="shared" si="1"/>
        <v>11</v>
      </c>
      <c r="E18" s="49">
        <f t="shared" si="2"/>
        <v>0</v>
      </c>
      <c r="F18" s="46">
        <f t="shared" si="3"/>
        <v>0</v>
      </c>
      <c r="G18" s="47">
        <f>'Preise RHH'!D14</f>
        <v>1</v>
      </c>
      <c r="H18" s="48">
        <f t="shared" si="4"/>
        <v>11</v>
      </c>
      <c r="I18" s="49">
        <f t="shared" si="5"/>
        <v>0</v>
      </c>
      <c r="J18" s="46">
        <f t="shared" si="6"/>
        <v>0</v>
      </c>
      <c r="K18" s="47">
        <f>'Preise RHH'!F14</f>
        <v>1</v>
      </c>
      <c r="L18" s="48">
        <f t="shared" si="7"/>
        <v>11</v>
      </c>
      <c r="M18" s="49">
        <f t="shared" si="8"/>
        <v>0</v>
      </c>
      <c r="N18" s="50"/>
      <c r="O18" s="51"/>
      <c r="P18" s="51"/>
      <c r="Q18" s="51"/>
      <c r="R18" s="51"/>
      <c r="S18" s="52"/>
      <c r="T18" s="53"/>
      <c r="U18" s="50"/>
      <c r="V18" s="51"/>
      <c r="W18" s="51"/>
      <c r="X18" s="51"/>
      <c r="Y18" s="51"/>
      <c r="Z18" s="52"/>
      <c r="AA18" s="53"/>
      <c r="AB18" s="50"/>
      <c r="AC18" s="51"/>
      <c r="AD18" s="51"/>
      <c r="AE18" s="51"/>
      <c r="AF18" s="51"/>
      <c r="AG18" s="52"/>
      <c r="AH18" s="53"/>
      <c r="AI18" s="50"/>
      <c r="AJ18" s="51"/>
      <c r="AK18" s="51"/>
      <c r="AL18" s="51"/>
      <c r="AM18" s="51"/>
      <c r="AN18" s="52"/>
      <c r="AO18" s="53"/>
      <c r="AP18" s="50"/>
      <c r="AQ18" s="51"/>
      <c r="AR18" s="51"/>
      <c r="AS18" s="51"/>
      <c r="AT18" s="51"/>
      <c r="AU18" s="52"/>
      <c r="AV18" s="53"/>
      <c r="AW18" s="50"/>
      <c r="AX18" s="51"/>
      <c r="AY18" s="51"/>
      <c r="AZ18" s="51"/>
      <c r="BA18" s="51"/>
      <c r="BB18" s="52"/>
      <c r="BC18" s="53"/>
      <c r="BD18" s="4"/>
      <c r="BE18" s="4"/>
      <c r="BF18" s="4"/>
      <c r="BG18" s="4"/>
      <c r="BH18" s="4"/>
    </row>
    <row r="19" spans="1:60" s="35" customFormat="1" ht="15.75">
      <c r="A19" s="45" t="s">
        <v>118</v>
      </c>
      <c r="B19" s="46">
        <f t="shared" si="0"/>
        <v>0</v>
      </c>
      <c r="C19" s="47">
        <f>'Preise RHH'!B15</f>
        <v>1</v>
      </c>
      <c r="D19" s="142">
        <f t="shared" si="1"/>
        <v>11</v>
      </c>
      <c r="E19" s="49">
        <f t="shared" si="2"/>
        <v>0</v>
      </c>
      <c r="F19" s="46">
        <f t="shared" si="3"/>
        <v>0</v>
      </c>
      <c r="G19" s="47">
        <f>'Preise RHH'!D15</f>
        <v>1</v>
      </c>
      <c r="H19" s="48">
        <f t="shared" si="4"/>
        <v>11</v>
      </c>
      <c r="I19" s="49">
        <f t="shared" si="5"/>
        <v>0</v>
      </c>
      <c r="J19" s="46">
        <f t="shared" si="6"/>
        <v>0</v>
      </c>
      <c r="K19" s="47">
        <f>'Preise RHH'!F15</f>
        <v>1</v>
      </c>
      <c r="L19" s="48">
        <f t="shared" si="7"/>
        <v>11</v>
      </c>
      <c r="M19" s="49">
        <f t="shared" si="8"/>
        <v>0</v>
      </c>
      <c r="N19" s="50"/>
      <c r="O19" s="51"/>
      <c r="P19" s="51"/>
      <c r="Q19" s="51"/>
      <c r="R19" s="51"/>
      <c r="S19" s="52"/>
      <c r="T19" s="53"/>
      <c r="U19" s="50"/>
      <c r="V19" s="51"/>
      <c r="W19" s="51"/>
      <c r="X19" s="51"/>
      <c r="Y19" s="51"/>
      <c r="Z19" s="52"/>
      <c r="AA19" s="53"/>
      <c r="AB19" s="50"/>
      <c r="AC19" s="51"/>
      <c r="AD19" s="51"/>
      <c r="AE19" s="51"/>
      <c r="AF19" s="51"/>
      <c r="AG19" s="52"/>
      <c r="AH19" s="53"/>
      <c r="AI19" s="50"/>
      <c r="AJ19" s="51"/>
      <c r="AK19" s="51"/>
      <c r="AL19" s="51"/>
      <c r="AM19" s="51"/>
      <c r="AN19" s="52"/>
      <c r="AO19" s="53"/>
      <c r="AP19" s="50"/>
      <c r="AQ19" s="51"/>
      <c r="AR19" s="51"/>
      <c r="AS19" s="51"/>
      <c r="AT19" s="51"/>
      <c r="AU19" s="52"/>
      <c r="AV19" s="53"/>
      <c r="AW19" s="50"/>
      <c r="AX19" s="51"/>
      <c r="AY19" s="51"/>
      <c r="AZ19" s="51"/>
      <c r="BA19" s="51"/>
      <c r="BB19" s="52"/>
      <c r="BC19" s="53"/>
      <c r="BD19" s="4"/>
      <c r="BE19" s="4"/>
      <c r="BF19" s="4"/>
      <c r="BG19" s="4"/>
      <c r="BH19" s="4"/>
    </row>
    <row r="20" spans="1:60" s="35" customFormat="1" ht="15.75">
      <c r="A20" s="45" t="s">
        <v>117</v>
      </c>
      <c r="B20" s="46">
        <f t="shared" si="0"/>
        <v>0</v>
      </c>
      <c r="C20" s="47">
        <f>'Preise RHH'!B16</f>
        <v>1</v>
      </c>
      <c r="D20" s="142">
        <f t="shared" si="1"/>
        <v>11</v>
      </c>
      <c r="E20" s="49">
        <f t="shared" si="2"/>
        <v>0</v>
      </c>
      <c r="F20" s="46">
        <f t="shared" si="3"/>
        <v>0</v>
      </c>
      <c r="G20" s="47">
        <f>'Preise RHH'!D16</f>
        <v>1</v>
      </c>
      <c r="H20" s="48">
        <f t="shared" si="4"/>
        <v>11</v>
      </c>
      <c r="I20" s="49">
        <f t="shared" si="5"/>
        <v>0</v>
      </c>
      <c r="J20" s="46">
        <f t="shared" si="6"/>
        <v>0</v>
      </c>
      <c r="K20" s="47">
        <f>'Preise RHH'!F16</f>
        <v>1</v>
      </c>
      <c r="L20" s="48">
        <f t="shared" si="7"/>
        <v>11</v>
      </c>
      <c r="M20" s="49">
        <f t="shared" si="8"/>
        <v>0</v>
      </c>
      <c r="N20" s="50"/>
      <c r="O20" s="51"/>
      <c r="P20" s="51"/>
      <c r="Q20" s="51"/>
      <c r="R20" s="51"/>
      <c r="S20" s="52"/>
      <c r="T20" s="53"/>
      <c r="U20" s="50"/>
      <c r="V20" s="51"/>
      <c r="W20" s="51"/>
      <c r="X20" s="51"/>
      <c r="Y20" s="51"/>
      <c r="Z20" s="52"/>
      <c r="AA20" s="53"/>
      <c r="AB20" s="50"/>
      <c r="AC20" s="51"/>
      <c r="AD20" s="51"/>
      <c r="AE20" s="51"/>
      <c r="AF20" s="51"/>
      <c r="AG20" s="52"/>
      <c r="AH20" s="53"/>
      <c r="AI20" s="50"/>
      <c r="AJ20" s="51"/>
      <c r="AK20" s="51"/>
      <c r="AL20" s="51"/>
      <c r="AM20" s="51"/>
      <c r="AN20" s="52"/>
      <c r="AO20" s="53"/>
      <c r="AP20" s="50"/>
      <c r="AQ20" s="51"/>
      <c r="AR20" s="51"/>
      <c r="AS20" s="51"/>
      <c r="AT20" s="51"/>
      <c r="AU20" s="52"/>
      <c r="AV20" s="53"/>
      <c r="AW20" s="50"/>
      <c r="AX20" s="51"/>
      <c r="AY20" s="51"/>
      <c r="AZ20" s="51"/>
      <c r="BA20" s="51"/>
      <c r="BB20" s="52"/>
      <c r="BC20" s="53"/>
      <c r="BD20" s="4"/>
      <c r="BE20" s="4"/>
      <c r="BF20" s="4"/>
      <c r="BG20" s="4"/>
      <c r="BH20" s="4"/>
    </row>
    <row r="21" spans="1:60" s="35" customFormat="1" ht="15.75">
      <c r="A21" s="45" t="s">
        <v>116</v>
      </c>
      <c r="B21" s="46">
        <f t="shared" si="0"/>
        <v>0</v>
      </c>
      <c r="C21" s="47">
        <f>'Preise RHH'!B17</f>
        <v>1</v>
      </c>
      <c r="D21" s="142">
        <f t="shared" si="1"/>
        <v>11</v>
      </c>
      <c r="E21" s="49">
        <f t="shared" si="2"/>
        <v>0</v>
      </c>
      <c r="F21" s="46">
        <f t="shared" si="3"/>
        <v>0</v>
      </c>
      <c r="G21" s="47">
        <f>'Preise RHH'!D17</f>
        <v>1</v>
      </c>
      <c r="H21" s="48">
        <f t="shared" si="4"/>
        <v>11</v>
      </c>
      <c r="I21" s="49">
        <f t="shared" si="5"/>
        <v>0</v>
      </c>
      <c r="J21" s="46">
        <f t="shared" si="6"/>
        <v>0</v>
      </c>
      <c r="K21" s="47">
        <f>'Preise RHH'!F17</f>
        <v>1</v>
      </c>
      <c r="L21" s="48">
        <f t="shared" si="7"/>
        <v>11</v>
      </c>
      <c r="M21" s="49">
        <f t="shared" si="8"/>
        <v>0</v>
      </c>
      <c r="N21" s="50"/>
      <c r="O21" s="51"/>
      <c r="P21" s="51"/>
      <c r="Q21" s="51"/>
      <c r="R21" s="51"/>
      <c r="S21" s="52"/>
      <c r="T21" s="53"/>
      <c r="U21" s="50"/>
      <c r="V21" s="51"/>
      <c r="W21" s="51"/>
      <c r="X21" s="51"/>
      <c r="Y21" s="51"/>
      <c r="Z21" s="52"/>
      <c r="AA21" s="53"/>
      <c r="AB21" s="50"/>
      <c r="AC21" s="51"/>
      <c r="AD21" s="51"/>
      <c r="AE21" s="51"/>
      <c r="AF21" s="51"/>
      <c r="AG21" s="52"/>
      <c r="AH21" s="53"/>
      <c r="AI21" s="50"/>
      <c r="AJ21" s="51"/>
      <c r="AK21" s="51"/>
      <c r="AL21" s="51"/>
      <c r="AM21" s="51"/>
      <c r="AN21" s="52"/>
      <c r="AO21" s="53"/>
      <c r="AP21" s="50"/>
      <c r="AQ21" s="51"/>
      <c r="AR21" s="51"/>
      <c r="AS21" s="51"/>
      <c r="AT21" s="51"/>
      <c r="AU21" s="52"/>
      <c r="AV21" s="53"/>
      <c r="AW21" s="50"/>
      <c r="AX21" s="51"/>
      <c r="AY21" s="51"/>
      <c r="AZ21" s="51"/>
      <c r="BA21" s="51"/>
      <c r="BB21" s="52"/>
      <c r="BC21" s="53"/>
      <c r="BD21" s="4"/>
      <c r="BE21" s="4"/>
      <c r="BF21" s="4"/>
      <c r="BG21" s="4"/>
      <c r="BH21" s="4"/>
    </row>
    <row r="22" spans="1:60" s="1" customFormat="1" ht="15.75">
      <c r="A22" s="45" t="s">
        <v>26</v>
      </c>
      <c r="B22" s="46">
        <f t="shared" si="0"/>
        <v>0</v>
      </c>
      <c r="C22" s="47">
        <f>'Preise RHH'!B18</f>
        <v>13</v>
      </c>
      <c r="D22" s="142">
        <f t="shared" si="1"/>
        <v>143</v>
      </c>
      <c r="E22" s="49">
        <f t="shared" si="2"/>
        <v>0</v>
      </c>
      <c r="F22" s="46">
        <f t="shared" si="3"/>
        <v>0</v>
      </c>
      <c r="G22" s="47">
        <f>'Preise RHH'!D18</f>
        <v>3</v>
      </c>
      <c r="H22" s="48">
        <f t="shared" si="4"/>
        <v>33</v>
      </c>
      <c r="I22" s="49">
        <f t="shared" si="5"/>
        <v>0</v>
      </c>
      <c r="J22" s="46">
        <f t="shared" si="6"/>
        <v>0</v>
      </c>
      <c r="K22" s="47">
        <f>'Preise RHH'!F18</f>
        <v>3</v>
      </c>
      <c r="L22" s="48">
        <f t="shared" si="7"/>
        <v>33</v>
      </c>
      <c r="M22" s="49">
        <f t="shared" si="8"/>
        <v>0</v>
      </c>
      <c r="N22" s="50"/>
      <c r="O22" s="51"/>
      <c r="P22" s="51"/>
      <c r="Q22" s="51"/>
      <c r="R22" s="51"/>
      <c r="S22" s="52"/>
      <c r="T22" s="53"/>
      <c r="U22" s="50"/>
      <c r="V22" s="51"/>
      <c r="W22" s="51"/>
      <c r="X22" s="51"/>
      <c r="Y22" s="51"/>
      <c r="Z22" s="52"/>
      <c r="AA22" s="53"/>
      <c r="AB22" s="50"/>
      <c r="AC22" s="51"/>
      <c r="AD22" s="51"/>
      <c r="AE22" s="51"/>
      <c r="AF22" s="51"/>
      <c r="AG22" s="52"/>
      <c r="AH22" s="53"/>
      <c r="AI22" s="50"/>
      <c r="AJ22" s="51"/>
      <c r="AK22" s="51"/>
      <c r="AL22" s="51"/>
      <c r="AM22" s="51"/>
      <c r="AN22" s="52"/>
      <c r="AO22" s="53"/>
      <c r="AP22" s="50"/>
      <c r="AQ22" s="51"/>
      <c r="AR22" s="51"/>
      <c r="AS22" s="51"/>
      <c r="AT22" s="51"/>
      <c r="AU22" s="52"/>
      <c r="AV22" s="53"/>
      <c r="AW22" s="50"/>
      <c r="AX22" s="51"/>
      <c r="AY22" s="51"/>
      <c r="AZ22" s="51"/>
      <c r="BA22" s="51"/>
      <c r="BB22" s="52"/>
      <c r="BC22" s="53"/>
      <c r="BD22" s="2"/>
      <c r="BE22" s="2"/>
      <c r="BF22" s="4">
        <f>IF($AJ7&lt;6000,0,0.025)</f>
        <v>0</v>
      </c>
      <c r="BG22" s="2"/>
      <c r="BH22" s="2"/>
    </row>
    <row r="23" spans="1:60" s="1" customFormat="1" ht="15.75">
      <c r="A23" s="54" t="s">
        <v>27</v>
      </c>
      <c r="B23" s="46">
        <f t="shared" si="0"/>
        <v>0</v>
      </c>
      <c r="C23" s="47">
        <f>'Preise RHH'!B19</f>
        <v>48</v>
      </c>
      <c r="D23" s="142">
        <f t="shared" si="1"/>
        <v>528</v>
      </c>
      <c r="E23" s="49">
        <f t="shared" si="2"/>
        <v>0</v>
      </c>
      <c r="F23" s="46">
        <f t="shared" si="3"/>
        <v>0</v>
      </c>
      <c r="G23" s="47">
        <f>'Preise RHH'!D19</f>
        <v>13</v>
      </c>
      <c r="H23" s="48">
        <f t="shared" si="4"/>
        <v>143</v>
      </c>
      <c r="I23" s="49">
        <f t="shared" si="5"/>
        <v>0</v>
      </c>
      <c r="J23" s="46">
        <f t="shared" si="6"/>
        <v>0</v>
      </c>
      <c r="K23" s="47">
        <f>'Preise RHH'!F19</f>
        <v>6</v>
      </c>
      <c r="L23" s="48">
        <f t="shared" si="7"/>
        <v>66</v>
      </c>
      <c r="M23" s="49">
        <f t="shared" si="8"/>
        <v>0</v>
      </c>
      <c r="N23" s="50"/>
      <c r="O23" s="51"/>
      <c r="P23" s="51"/>
      <c r="Q23" s="51"/>
      <c r="R23" s="51"/>
      <c r="S23" s="52"/>
      <c r="T23" s="53"/>
      <c r="U23" s="50"/>
      <c r="V23" s="51"/>
      <c r="W23" s="51"/>
      <c r="X23" s="51"/>
      <c r="Y23" s="51"/>
      <c r="Z23" s="52"/>
      <c r="AA23" s="53"/>
      <c r="AB23" s="50"/>
      <c r="AC23" s="51"/>
      <c r="AD23" s="51"/>
      <c r="AE23" s="51"/>
      <c r="AF23" s="51"/>
      <c r="AG23" s="52"/>
      <c r="AH23" s="53"/>
      <c r="AI23" s="50"/>
      <c r="AJ23" s="51"/>
      <c r="AK23" s="51"/>
      <c r="AL23" s="51"/>
      <c r="AM23" s="51"/>
      <c r="AN23" s="52"/>
      <c r="AO23" s="53"/>
      <c r="AP23" s="50"/>
      <c r="AQ23" s="51"/>
      <c r="AR23" s="51"/>
      <c r="AS23" s="51"/>
      <c r="AT23" s="51"/>
      <c r="AU23" s="52"/>
      <c r="AV23" s="53"/>
      <c r="AW23" s="50"/>
      <c r="AX23" s="51"/>
      <c r="AY23" s="51"/>
      <c r="AZ23" s="51"/>
      <c r="BA23" s="51"/>
      <c r="BB23" s="52"/>
      <c r="BC23" s="53"/>
      <c r="BD23" s="2"/>
      <c r="BE23" s="2"/>
      <c r="BF23" s="4">
        <f>IF($AJ7&lt;9000,0,0.025)</f>
        <v>0</v>
      </c>
      <c r="BG23" s="2"/>
      <c r="BH23" s="2"/>
    </row>
    <row r="24" spans="1:60" s="1" customFormat="1" ht="15.75">
      <c r="A24" s="54" t="s">
        <v>28</v>
      </c>
      <c r="B24" s="46">
        <f t="shared" si="0"/>
        <v>0</v>
      </c>
      <c r="C24" s="47">
        <f>'Preise RHH'!B20</f>
        <v>67</v>
      </c>
      <c r="D24" s="142">
        <f t="shared" si="1"/>
        <v>737</v>
      </c>
      <c r="E24" s="49">
        <f t="shared" si="2"/>
        <v>0</v>
      </c>
      <c r="F24" s="46">
        <f t="shared" si="3"/>
        <v>0</v>
      </c>
      <c r="G24" s="47">
        <f>'Preise RHH'!D20</f>
        <v>40</v>
      </c>
      <c r="H24" s="48">
        <f t="shared" si="4"/>
        <v>440</v>
      </c>
      <c r="I24" s="49">
        <f t="shared" si="5"/>
        <v>0</v>
      </c>
      <c r="J24" s="46">
        <f t="shared" si="6"/>
        <v>0</v>
      </c>
      <c r="K24" s="47">
        <f>'Preise RHH'!F20</f>
        <v>13</v>
      </c>
      <c r="L24" s="48">
        <f t="shared" si="7"/>
        <v>143</v>
      </c>
      <c r="M24" s="49">
        <f t="shared" si="8"/>
        <v>0</v>
      </c>
      <c r="N24" s="50"/>
      <c r="O24" s="51"/>
      <c r="P24" s="51"/>
      <c r="Q24" s="51"/>
      <c r="R24" s="51"/>
      <c r="S24" s="52"/>
      <c r="T24" s="53"/>
      <c r="U24" s="50"/>
      <c r="V24" s="51"/>
      <c r="W24" s="51"/>
      <c r="X24" s="51"/>
      <c r="Y24" s="51"/>
      <c r="Z24" s="52"/>
      <c r="AA24" s="53"/>
      <c r="AB24" s="50"/>
      <c r="AC24" s="51"/>
      <c r="AD24" s="51"/>
      <c r="AE24" s="51"/>
      <c r="AF24" s="51"/>
      <c r="AG24" s="52"/>
      <c r="AH24" s="53"/>
      <c r="AI24" s="50"/>
      <c r="AJ24" s="51"/>
      <c r="AK24" s="51"/>
      <c r="AL24" s="51"/>
      <c r="AM24" s="51"/>
      <c r="AN24" s="52"/>
      <c r="AO24" s="53"/>
      <c r="AP24" s="50"/>
      <c r="AQ24" s="51"/>
      <c r="AR24" s="51"/>
      <c r="AS24" s="51"/>
      <c r="AT24" s="51"/>
      <c r="AU24" s="52"/>
      <c r="AV24" s="53"/>
      <c r="AW24" s="50"/>
      <c r="AX24" s="51"/>
      <c r="AY24" s="51"/>
      <c r="AZ24" s="51"/>
      <c r="BA24" s="51"/>
      <c r="BB24" s="52"/>
      <c r="BC24" s="53"/>
      <c r="BD24" s="2"/>
      <c r="BE24" s="2"/>
      <c r="BF24" s="4">
        <f>IF($AJ7&lt;12000,0,0.05)</f>
        <v>0</v>
      </c>
      <c r="BG24" s="2"/>
      <c r="BH24" s="2"/>
    </row>
    <row r="25" spans="1:60" s="1" customFormat="1" ht="15.75">
      <c r="A25" s="54" t="s">
        <v>29</v>
      </c>
      <c r="B25" s="46">
        <f t="shared" si="0"/>
        <v>0</v>
      </c>
      <c r="C25" s="47">
        <f>'Preise RHH'!B21</f>
        <v>56</v>
      </c>
      <c r="D25" s="142">
        <f t="shared" si="1"/>
        <v>616</v>
      </c>
      <c r="E25" s="49">
        <f t="shared" si="2"/>
        <v>0</v>
      </c>
      <c r="F25" s="46">
        <f t="shared" si="3"/>
        <v>0</v>
      </c>
      <c r="G25" s="47">
        <f>'Preise RHH'!D21</f>
        <v>53</v>
      </c>
      <c r="H25" s="48">
        <f t="shared" si="4"/>
        <v>583</v>
      </c>
      <c r="I25" s="49">
        <f t="shared" si="5"/>
        <v>0</v>
      </c>
      <c r="J25" s="46">
        <f t="shared" si="6"/>
        <v>0</v>
      </c>
      <c r="K25" s="47">
        <f>'Preise RHH'!F21</f>
        <v>35</v>
      </c>
      <c r="L25" s="48">
        <f t="shared" si="7"/>
        <v>385</v>
      </c>
      <c r="M25" s="49">
        <f t="shared" si="8"/>
        <v>0</v>
      </c>
      <c r="N25" s="50"/>
      <c r="O25" s="51"/>
      <c r="P25" s="51"/>
      <c r="Q25" s="51"/>
      <c r="R25" s="51"/>
      <c r="S25" s="52"/>
      <c r="T25" s="53"/>
      <c r="U25" s="50"/>
      <c r="V25" s="51"/>
      <c r="W25" s="51"/>
      <c r="X25" s="51"/>
      <c r="Y25" s="51"/>
      <c r="Z25" s="52"/>
      <c r="AA25" s="53"/>
      <c r="AB25" s="50"/>
      <c r="AC25" s="51"/>
      <c r="AD25" s="51"/>
      <c r="AE25" s="51"/>
      <c r="AF25" s="51"/>
      <c r="AG25" s="52"/>
      <c r="AH25" s="53"/>
      <c r="AI25" s="50"/>
      <c r="AJ25" s="51"/>
      <c r="AK25" s="51"/>
      <c r="AL25" s="51"/>
      <c r="AM25" s="51"/>
      <c r="AN25" s="52"/>
      <c r="AO25" s="53"/>
      <c r="AP25" s="50"/>
      <c r="AQ25" s="51"/>
      <c r="AR25" s="51"/>
      <c r="AS25" s="51"/>
      <c r="AT25" s="51"/>
      <c r="AU25" s="52"/>
      <c r="AV25" s="53"/>
      <c r="AW25" s="50"/>
      <c r="AX25" s="51"/>
      <c r="AY25" s="51"/>
      <c r="AZ25" s="51"/>
      <c r="BA25" s="51"/>
      <c r="BB25" s="52"/>
      <c r="BC25" s="53"/>
      <c r="BD25" s="2"/>
      <c r="BE25" s="2"/>
      <c r="BF25" s="2">
        <f>SUM(BF22:BF24)</f>
        <v>0</v>
      </c>
      <c r="BG25" s="55">
        <f>AI8</f>
        <v>0</v>
      </c>
      <c r="BH25" s="2">
        <f>BG25*(1-BF25)</f>
        <v>0</v>
      </c>
    </row>
    <row r="26" spans="1:60" s="1" customFormat="1" ht="15.75">
      <c r="A26" s="54" t="s">
        <v>30</v>
      </c>
      <c r="B26" s="46">
        <f t="shared" si="0"/>
        <v>0</v>
      </c>
      <c r="C26" s="47">
        <f>'Preise RHH'!B22</f>
        <v>43</v>
      </c>
      <c r="D26" s="142">
        <f t="shared" si="1"/>
        <v>473</v>
      </c>
      <c r="E26" s="49">
        <f t="shared" si="2"/>
        <v>0</v>
      </c>
      <c r="F26" s="46">
        <f t="shared" si="3"/>
        <v>0</v>
      </c>
      <c r="G26" s="47">
        <f>'Preise RHH'!D22</f>
        <v>66</v>
      </c>
      <c r="H26" s="48">
        <f t="shared" si="4"/>
        <v>726</v>
      </c>
      <c r="I26" s="49">
        <f t="shared" si="5"/>
        <v>0</v>
      </c>
      <c r="J26" s="46">
        <f t="shared" si="6"/>
        <v>0</v>
      </c>
      <c r="K26" s="47">
        <f>'Preise RHH'!F22</f>
        <v>53</v>
      </c>
      <c r="L26" s="48">
        <f t="shared" si="7"/>
        <v>583</v>
      </c>
      <c r="M26" s="49">
        <f t="shared" si="8"/>
        <v>0</v>
      </c>
      <c r="N26" s="50"/>
      <c r="O26" s="51"/>
      <c r="P26" s="51"/>
      <c r="Q26" s="51"/>
      <c r="R26" s="51"/>
      <c r="S26" s="52"/>
      <c r="T26" s="53"/>
      <c r="U26" s="50"/>
      <c r="V26" s="51"/>
      <c r="W26" s="51"/>
      <c r="X26" s="51"/>
      <c r="Y26" s="51"/>
      <c r="Z26" s="52"/>
      <c r="AA26" s="53"/>
      <c r="AB26" s="50"/>
      <c r="AC26" s="51"/>
      <c r="AD26" s="51"/>
      <c r="AE26" s="51"/>
      <c r="AF26" s="51"/>
      <c r="AG26" s="52"/>
      <c r="AH26" s="53"/>
      <c r="AI26" s="50"/>
      <c r="AJ26" s="51"/>
      <c r="AK26" s="51"/>
      <c r="AL26" s="51"/>
      <c r="AM26" s="51"/>
      <c r="AN26" s="52"/>
      <c r="AO26" s="53"/>
      <c r="AP26" s="50"/>
      <c r="AQ26" s="51"/>
      <c r="AR26" s="51"/>
      <c r="AS26" s="51"/>
      <c r="AT26" s="51"/>
      <c r="AU26" s="52"/>
      <c r="AV26" s="53"/>
      <c r="AW26" s="50"/>
      <c r="AX26" s="51"/>
      <c r="AY26" s="51"/>
      <c r="AZ26" s="51"/>
      <c r="BA26" s="51"/>
      <c r="BB26" s="52"/>
      <c r="BC26" s="53"/>
      <c r="BD26" s="2"/>
      <c r="BE26" s="2"/>
      <c r="BF26" s="2"/>
      <c r="BG26" s="2"/>
      <c r="BH26" s="2"/>
    </row>
    <row r="27" spans="1:60" s="1" customFormat="1" ht="15.75">
      <c r="A27" s="54" t="s">
        <v>31</v>
      </c>
      <c r="B27" s="46">
        <f t="shared" si="0"/>
        <v>0</v>
      </c>
      <c r="C27" s="47">
        <f>'Preise RHH'!B23</f>
        <v>31</v>
      </c>
      <c r="D27" s="142">
        <f t="shared" si="1"/>
        <v>341</v>
      </c>
      <c r="E27" s="49">
        <f t="shared" si="2"/>
        <v>0</v>
      </c>
      <c r="F27" s="46">
        <f t="shared" si="3"/>
        <v>0</v>
      </c>
      <c r="G27" s="47">
        <f>'Preise RHH'!D23</f>
        <v>71</v>
      </c>
      <c r="H27" s="48">
        <f t="shared" si="4"/>
        <v>781</v>
      </c>
      <c r="I27" s="49">
        <f t="shared" si="5"/>
        <v>0</v>
      </c>
      <c r="J27" s="46">
        <f t="shared" si="6"/>
        <v>0</v>
      </c>
      <c r="K27" s="47">
        <f>'Preise RHH'!F23</f>
        <v>41</v>
      </c>
      <c r="L27" s="48">
        <f t="shared" si="7"/>
        <v>451</v>
      </c>
      <c r="M27" s="49">
        <f t="shared" si="8"/>
        <v>0</v>
      </c>
      <c r="N27" s="50"/>
      <c r="O27" s="51"/>
      <c r="P27" s="51"/>
      <c r="Q27" s="51"/>
      <c r="R27" s="51"/>
      <c r="S27" s="52"/>
      <c r="T27" s="53"/>
      <c r="U27" s="50"/>
      <c r="V27" s="51"/>
      <c r="W27" s="51"/>
      <c r="X27" s="51"/>
      <c r="Y27" s="51"/>
      <c r="Z27" s="52"/>
      <c r="AA27" s="53"/>
      <c r="AB27" s="50"/>
      <c r="AC27" s="51"/>
      <c r="AD27" s="51"/>
      <c r="AE27" s="51"/>
      <c r="AF27" s="51"/>
      <c r="AG27" s="52"/>
      <c r="AH27" s="53"/>
      <c r="AI27" s="50"/>
      <c r="AJ27" s="51"/>
      <c r="AK27" s="51"/>
      <c r="AL27" s="51"/>
      <c r="AM27" s="51"/>
      <c r="AN27" s="52"/>
      <c r="AO27" s="53"/>
      <c r="AP27" s="50"/>
      <c r="AQ27" s="51"/>
      <c r="AR27" s="51"/>
      <c r="AS27" s="51"/>
      <c r="AT27" s="51"/>
      <c r="AU27" s="52"/>
      <c r="AV27" s="53"/>
      <c r="AW27" s="50"/>
      <c r="AX27" s="51"/>
      <c r="AY27" s="51"/>
      <c r="AZ27" s="51"/>
      <c r="BA27" s="51"/>
      <c r="BB27" s="52"/>
      <c r="BC27" s="53"/>
      <c r="BD27" s="2"/>
      <c r="BE27" s="2"/>
      <c r="BF27" s="2"/>
      <c r="BG27" s="2"/>
      <c r="BH27" s="2"/>
    </row>
    <row r="28" spans="1:60" s="1" customFormat="1" ht="15.75">
      <c r="A28" s="54" t="s">
        <v>32</v>
      </c>
      <c r="B28" s="46">
        <f t="shared" si="0"/>
        <v>0</v>
      </c>
      <c r="C28" s="47">
        <f>'Preise RHH'!B24</f>
        <v>30</v>
      </c>
      <c r="D28" s="142">
        <f t="shared" si="1"/>
        <v>330</v>
      </c>
      <c r="E28" s="49">
        <f t="shared" si="2"/>
        <v>0</v>
      </c>
      <c r="F28" s="46">
        <f t="shared" si="3"/>
        <v>0</v>
      </c>
      <c r="G28" s="47">
        <f>'Preise RHH'!D24</f>
        <v>38</v>
      </c>
      <c r="H28" s="48">
        <f t="shared" si="4"/>
        <v>418</v>
      </c>
      <c r="I28" s="49">
        <f t="shared" si="5"/>
        <v>0</v>
      </c>
      <c r="J28" s="46">
        <f t="shared" si="6"/>
        <v>0</v>
      </c>
      <c r="K28" s="47">
        <f>'Preise RHH'!F24</f>
        <v>37</v>
      </c>
      <c r="L28" s="48">
        <f t="shared" si="7"/>
        <v>407</v>
      </c>
      <c r="M28" s="49">
        <f t="shared" si="8"/>
        <v>0</v>
      </c>
      <c r="N28" s="50"/>
      <c r="O28" s="51"/>
      <c r="P28" s="51"/>
      <c r="Q28" s="51"/>
      <c r="R28" s="51"/>
      <c r="S28" s="52"/>
      <c r="T28" s="53"/>
      <c r="U28" s="50"/>
      <c r="V28" s="51"/>
      <c r="W28" s="51"/>
      <c r="X28" s="51"/>
      <c r="Y28" s="51"/>
      <c r="Z28" s="52"/>
      <c r="AA28" s="53"/>
      <c r="AB28" s="50"/>
      <c r="AC28" s="51"/>
      <c r="AD28" s="51"/>
      <c r="AE28" s="51"/>
      <c r="AF28" s="51"/>
      <c r="AG28" s="52"/>
      <c r="AH28" s="53"/>
      <c r="AI28" s="50"/>
      <c r="AJ28" s="51"/>
      <c r="AK28" s="51"/>
      <c r="AL28" s="51"/>
      <c r="AM28" s="51"/>
      <c r="AN28" s="52"/>
      <c r="AO28" s="53"/>
      <c r="AP28" s="50"/>
      <c r="AQ28" s="51"/>
      <c r="AR28" s="51"/>
      <c r="AS28" s="51"/>
      <c r="AT28" s="51"/>
      <c r="AU28" s="52"/>
      <c r="AV28" s="53"/>
      <c r="AW28" s="50"/>
      <c r="AX28" s="51"/>
      <c r="AY28" s="51"/>
      <c r="AZ28" s="51"/>
      <c r="BA28" s="51"/>
      <c r="BB28" s="52"/>
      <c r="BC28" s="53"/>
      <c r="BD28" s="2"/>
      <c r="BE28" s="2"/>
      <c r="BF28" s="2"/>
      <c r="BG28" s="2"/>
      <c r="BH28" s="2"/>
    </row>
    <row r="29" spans="1:60" s="1" customFormat="1" ht="15.75">
      <c r="A29" s="54" t="s">
        <v>33</v>
      </c>
      <c r="B29" s="46">
        <f t="shared" si="0"/>
        <v>0</v>
      </c>
      <c r="C29" s="47">
        <f>'Preise RHH'!B25</f>
        <v>30</v>
      </c>
      <c r="D29" s="142">
        <f t="shared" si="1"/>
        <v>330</v>
      </c>
      <c r="E29" s="49">
        <f t="shared" si="2"/>
        <v>0</v>
      </c>
      <c r="F29" s="46">
        <f t="shared" si="3"/>
        <v>0</v>
      </c>
      <c r="G29" s="47">
        <f>'Preise RHH'!D25</f>
        <v>38</v>
      </c>
      <c r="H29" s="48">
        <f t="shared" si="4"/>
        <v>418</v>
      </c>
      <c r="I29" s="49">
        <f t="shared" si="5"/>
        <v>0</v>
      </c>
      <c r="J29" s="46">
        <f t="shared" si="6"/>
        <v>0</v>
      </c>
      <c r="K29" s="47">
        <f>'Preise RHH'!F25</f>
        <v>23</v>
      </c>
      <c r="L29" s="48">
        <f t="shared" si="7"/>
        <v>253</v>
      </c>
      <c r="M29" s="49">
        <f t="shared" si="8"/>
        <v>0</v>
      </c>
      <c r="N29" s="50"/>
      <c r="O29" s="51"/>
      <c r="P29" s="51"/>
      <c r="Q29" s="51"/>
      <c r="R29" s="51"/>
      <c r="S29" s="52"/>
      <c r="T29" s="53"/>
      <c r="U29" s="50"/>
      <c r="V29" s="51"/>
      <c r="W29" s="51"/>
      <c r="X29" s="51"/>
      <c r="Y29" s="51"/>
      <c r="Z29" s="52"/>
      <c r="AA29" s="53"/>
      <c r="AB29" s="50"/>
      <c r="AC29" s="51"/>
      <c r="AD29" s="51"/>
      <c r="AE29" s="51"/>
      <c r="AF29" s="51"/>
      <c r="AG29" s="52"/>
      <c r="AH29" s="53"/>
      <c r="AI29" s="50"/>
      <c r="AJ29" s="51"/>
      <c r="AK29" s="51"/>
      <c r="AL29" s="51"/>
      <c r="AM29" s="51"/>
      <c r="AN29" s="52"/>
      <c r="AO29" s="53"/>
      <c r="AP29" s="50"/>
      <c r="AQ29" s="51"/>
      <c r="AR29" s="51"/>
      <c r="AS29" s="51"/>
      <c r="AT29" s="51"/>
      <c r="AU29" s="52"/>
      <c r="AV29" s="53"/>
      <c r="AW29" s="50"/>
      <c r="AX29" s="51"/>
      <c r="AY29" s="51"/>
      <c r="AZ29" s="51"/>
      <c r="BA29" s="51"/>
      <c r="BB29" s="52"/>
      <c r="BC29" s="53"/>
      <c r="BD29" s="2"/>
      <c r="BE29" s="2"/>
      <c r="BF29" s="2"/>
      <c r="BG29" s="2"/>
      <c r="BH29" s="2"/>
    </row>
    <row r="30" spans="1:60" s="1" customFormat="1" ht="15.75">
      <c r="A30" s="54" t="s">
        <v>34</v>
      </c>
      <c r="B30" s="46">
        <f t="shared" si="0"/>
        <v>0</v>
      </c>
      <c r="C30" s="47">
        <f>'Preise RHH'!B26</f>
        <v>30</v>
      </c>
      <c r="D30" s="142">
        <f t="shared" si="1"/>
        <v>330</v>
      </c>
      <c r="E30" s="49">
        <f t="shared" si="2"/>
        <v>0</v>
      </c>
      <c r="F30" s="46">
        <f t="shared" si="3"/>
        <v>0</v>
      </c>
      <c r="G30" s="47">
        <f>'Preise RHH'!D26</f>
        <v>25</v>
      </c>
      <c r="H30" s="48">
        <f t="shared" si="4"/>
        <v>275</v>
      </c>
      <c r="I30" s="49">
        <f t="shared" si="5"/>
        <v>0</v>
      </c>
      <c r="J30" s="46">
        <f t="shared" si="6"/>
        <v>0</v>
      </c>
      <c r="K30" s="47">
        <f>'Preise RHH'!F26</f>
        <v>18</v>
      </c>
      <c r="L30" s="48">
        <f t="shared" si="7"/>
        <v>198</v>
      </c>
      <c r="M30" s="49">
        <f t="shared" si="8"/>
        <v>0</v>
      </c>
      <c r="N30" s="50"/>
      <c r="O30" s="51"/>
      <c r="P30" s="51"/>
      <c r="Q30" s="51"/>
      <c r="R30" s="51"/>
      <c r="S30" s="52"/>
      <c r="T30" s="53"/>
      <c r="U30" s="50"/>
      <c r="V30" s="51"/>
      <c r="W30" s="51"/>
      <c r="X30" s="51"/>
      <c r="Y30" s="51"/>
      <c r="Z30" s="52"/>
      <c r="AA30" s="53"/>
      <c r="AB30" s="50"/>
      <c r="AC30" s="51"/>
      <c r="AD30" s="51"/>
      <c r="AE30" s="51"/>
      <c r="AF30" s="51"/>
      <c r="AG30" s="52"/>
      <c r="AH30" s="53"/>
      <c r="AI30" s="50"/>
      <c r="AJ30" s="51"/>
      <c r="AK30" s="51"/>
      <c r="AL30" s="51"/>
      <c r="AM30" s="51"/>
      <c r="AN30" s="52"/>
      <c r="AO30" s="53"/>
      <c r="AP30" s="50"/>
      <c r="AQ30" s="51"/>
      <c r="AR30" s="51"/>
      <c r="AS30" s="51"/>
      <c r="AT30" s="51"/>
      <c r="AU30" s="52"/>
      <c r="AV30" s="53"/>
      <c r="AW30" s="50"/>
      <c r="AX30" s="51"/>
      <c r="AY30" s="51"/>
      <c r="AZ30" s="51"/>
      <c r="BA30" s="51"/>
      <c r="BB30" s="52"/>
      <c r="BC30" s="53"/>
      <c r="BD30" s="2"/>
      <c r="BE30" s="2"/>
      <c r="BF30" s="2"/>
      <c r="BG30" s="2"/>
      <c r="BH30" s="2"/>
    </row>
    <row r="31" spans="1:60" s="1" customFormat="1" ht="15.75">
      <c r="A31" s="54" t="s">
        <v>35</v>
      </c>
      <c r="B31" s="46">
        <f t="shared" si="0"/>
        <v>0</v>
      </c>
      <c r="C31" s="47">
        <f>'Preise RHH'!B27</f>
        <v>30</v>
      </c>
      <c r="D31" s="142">
        <f t="shared" si="1"/>
        <v>330</v>
      </c>
      <c r="E31" s="49">
        <f t="shared" si="2"/>
        <v>0</v>
      </c>
      <c r="F31" s="46">
        <f t="shared" si="3"/>
        <v>0</v>
      </c>
      <c r="G31" s="47">
        <f>'Preise RHH'!D27</f>
        <v>24</v>
      </c>
      <c r="H31" s="48">
        <f t="shared" si="4"/>
        <v>264</v>
      </c>
      <c r="I31" s="49">
        <f t="shared" si="5"/>
        <v>0</v>
      </c>
      <c r="J31" s="46">
        <f t="shared" si="6"/>
        <v>0</v>
      </c>
      <c r="K31" s="47">
        <f>'Preise RHH'!F27</f>
        <v>17</v>
      </c>
      <c r="L31" s="48">
        <f t="shared" si="7"/>
        <v>187</v>
      </c>
      <c r="M31" s="49">
        <f t="shared" si="8"/>
        <v>0</v>
      </c>
      <c r="N31" s="50"/>
      <c r="O31" s="51"/>
      <c r="P31" s="51"/>
      <c r="Q31" s="51"/>
      <c r="R31" s="51"/>
      <c r="S31" s="52"/>
      <c r="T31" s="53"/>
      <c r="U31" s="50"/>
      <c r="V31" s="51"/>
      <c r="W31" s="51"/>
      <c r="X31" s="51"/>
      <c r="Y31" s="51"/>
      <c r="Z31" s="52"/>
      <c r="AA31" s="53"/>
      <c r="AB31" s="50"/>
      <c r="AC31" s="51"/>
      <c r="AD31" s="51"/>
      <c r="AE31" s="51"/>
      <c r="AF31" s="51"/>
      <c r="AG31" s="52"/>
      <c r="AH31" s="53"/>
      <c r="AI31" s="50"/>
      <c r="AJ31" s="51"/>
      <c r="AK31" s="51"/>
      <c r="AL31" s="51"/>
      <c r="AM31" s="51"/>
      <c r="AN31" s="52"/>
      <c r="AO31" s="53"/>
      <c r="AP31" s="50"/>
      <c r="AQ31" s="51"/>
      <c r="AR31" s="51"/>
      <c r="AS31" s="51"/>
      <c r="AT31" s="51"/>
      <c r="AU31" s="52"/>
      <c r="AV31" s="53"/>
      <c r="AW31" s="50"/>
      <c r="AX31" s="51"/>
      <c r="AY31" s="51"/>
      <c r="AZ31" s="51"/>
      <c r="BA31" s="51"/>
      <c r="BB31" s="52"/>
      <c r="BC31" s="53"/>
      <c r="BD31" s="2"/>
      <c r="BE31" s="2"/>
      <c r="BF31" s="2"/>
      <c r="BG31" s="2"/>
      <c r="BH31" s="2"/>
    </row>
    <row r="32" spans="1:60" s="1" customFormat="1" ht="15.75">
      <c r="A32" s="54" t="s">
        <v>36</v>
      </c>
      <c r="B32" s="46">
        <f t="shared" si="0"/>
        <v>0</v>
      </c>
      <c r="C32" s="47">
        <f>'Preise RHH'!B28</f>
        <v>30</v>
      </c>
      <c r="D32" s="142">
        <f t="shared" si="1"/>
        <v>330</v>
      </c>
      <c r="E32" s="49">
        <f t="shared" si="2"/>
        <v>0</v>
      </c>
      <c r="F32" s="46">
        <f t="shared" si="3"/>
        <v>0</v>
      </c>
      <c r="G32" s="47">
        <f>'Preise RHH'!D28</f>
        <v>21</v>
      </c>
      <c r="H32" s="48">
        <f t="shared" si="4"/>
        <v>231</v>
      </c>
      <c r="I32" s="49">
        <f t="shared" si="5"/>
        <v>0</v>
      </c>
      <c r="J32" s="46">
        <f t="shared" si="6"/>
        <v>0</v>
      </c>
      <c r="K32" s="47">
        <f>'Preise RHH'!F28</f>
        <v>18</v>
      </c>
      <c r="L32" s="48">
        <f t="shared" si="7"/>
        <v>198</v>
      </c>
      <c r="M32" s="49">
        <f t="shared" si="8"/>
        <v>0</v>
      </c>
      <c r="N32" s="50"/>
      <c r="O32" s="51"/>
      <c r="P32" s="51"/>
      <c r="Q32" s="51"/>
      <c r="R32" s="51"/>
      <c r="S32" s="52"/>
      <c r="T32" s="53"/>
      <c r="U32" s="50"/>
      <c r="V32" s="51"/>
      <c r="W32" s="51"/>
      <c r="X32" s="51"/>
      <c r="Y32" s="51"/>
      <c r="Z32" s="52"/>
      <c r="AA32" s="53"/>
      <c r="AB32" s="50"/>
      <c r="AC32" s="51"/>
      <c r="AD32" s="51"/>
      <c r="AE32" s="51"/>
      <c r="AF32" s="51"/>
      <c r="AG32" s="52"/>
      <c r="AH32" s="53"/>
      <c r="AI32" s="50"/>
      <c r="AJ32" s="51"/>
      <c r="AK32" s="51"/>
      <c r="AL32" s="51"/>
      <c r="AM32" s="51"/>
      <c r="AN32" s="52"/>
      <c r="AO32" s="53"/>
      <c r="AP32" s="50"/>
      <c r="AQ32" s="51"/>
      <c r="AR32" s="51"/>
      <c r="AS32" s="51"/>
      <c r="AT32" s="51"/>
      <c r="AU32" s="52"/>
      <c r="AV32" s="53"/>
      <c r="AW32" s="50"/>
      <c r="AX32" s="51"/>
      <c r="AY32" s="51"/>
      <c r="AZ32" s="51"/>
      <c r="BA32" s="51"/>
      <c r="BB32" s="52"/>
      <c r="BC32" s="53"/>
      <c r="BD32" s="2"/>
      <c r="BE32" s="2"/>
      <c r="BF32" s="2"/>
      <c r="BG32" s="2"/>
      <c r="BH32" s="2"/>
    </row>
    <row r="33" spans="1:60" s="1" customFormat="1" ht="15.75">
      <c r="A33" s="54" t="s">
        <v>37</v>
      </c>
      <c r="B33" s="46">
        <f t="shared" si="0"/>
        <v>0</v>
      </c>
      <c r="C33" s="47">
        <f>'Preise RHH'!B29</f>
        <v>31</v>
      </c>
      <c r="D33" s="142">
        <f t="shared" si="1"/>
        <v>341</v>
      </c>
      <c r="E33" s="49">
        <f t="shared" si="2"/>
        <v>0</v>
      </c>
      <c r="F33" s="46">
        <f t="shared" si="3"/>
        <v>0</v>
      </c>
      <c r="G33" s="47">
        <f>'Preise RHH'!D29</f>
        <v>17</v>
      </c>
      <c r="H33" s="48">
        <f t="shared" si="4"/>
        <v>187</v>
      </c>
      <c r="I33" s="49">
        <f t="shared" si="5"/>
        <v>0</v>
      </c>
      <c r="J33" s="46">
        <f t="shared" si="6"/>
        <v>0</v>
      </c>
      <c r="K33" s="47">
        <f>'Preise RHH'!F29</f>
        <v>22</v>
      </c>
      <c r="L33" s="48">
        <f t="shared" si="7"/>
        <v>242</v>
      </c>
      <c r="M33" s="49">
        <f t="shared" si="8"/>
        <v>0</v>
      </c>
      <c r="N33" s="50"/>
      <c r="O33" s="51"/>
      <c r="P33" s="51"/>
      <c r="Q33" s="51"/>
      <c r="R33" s="51"/>
      <c r="S33" s="52"/>
      <c r="T33" s="53"/>
      <c r="U33" s="50"/>
      <c r="V33" s="51"/>
      <c r="W33" s="51"/>
      <c r="X33" s="51"/>
      <c r="Y33" s="51"/>
      <c r="Z33" s="52"/>
      <c r="AA33" s="53"/>
      <c r="AB33" s="50"/>
      <c r="AC33" s="51"/>
      <c r="AD33" s="51"/>
      <c r="AE33" s="51"/>
      <c r="AF33" s="51"/>
      <c r="AG33" s="52"/>
      <c r="AH33" s="53"/>
      <c r="AI33" s="50"/>
      <c r="AJ33" s="51"/>
      <c r="AK33" s="51"/>
      <c r="AL33" s="51"/>
      <c r="AM33" s="51"/>
      <c r="AN33" s="52"/>
      <c r="AO33" s="53"/>
      <c r="AP33" s="50"/>
      <c r="AQ33" s="51"/>
      <c r="AR33" s="51"/>
      <c r="AS33" s="51"/>
      <c r="AT33" s="51"/>
      <c r="AU33" s="52"/>
      <c r="AV33" s="53"/>
      <c r="AW33" s="50"/>
      <c r="AX33" s="51"/>
      <c r="AY33" s="51"/>
      <c r="AZ33" s="51"/>
      <c r="BA33" s="51"/>
      <c r="BB33" s="52"/>
      <c r="BC33" s="53"/>
      <c r="BD33" s="2"/>
      <c r="BE33" s="2"/>
      <c r="BF33" s="2"/>
      <c r="BG33" s="2"/>
      <c r="BH33" s="2"/>
    </row>
    <row r="34" spans="1:60" s="1" customFormat="1" ht="15.75">
      <c r="A34" s="54" t="s">
        <v>38</v>
      </c>
      <c r="B34" s="46">
        <f t="shared" si="0"/>
        <v>0</v>
      </c>
      <c r="C34" s="47">
        <f>'Preise RHH'!B30</f>
        <v>30</v>
      </c>
      <c r="D34" s="142">
        <f t="shared" si="1"/>
        <v>330</v>
      </c>
      <c r="E34" s="49">
        <f t="shared" si="2"/>
        <v>0</v>
      </c>
      <c r="F34" s="46">
        <f t="shared" si="3"/>
        <v>0</v>
      </c>
      <c r="G34" s="47">
        <f>'Preise RHH'!D30</f>
        <v>14</v>
      </c>
      <c r="H34" s="48">
        <f t="shared" si="4"/>
        <v>154</v>
      </c>
      <c r="I34" s="49">
        <f t="shared" si="5"/>
        <v>0</v>
      </c>
      <c r="J34" s="46">
        <f t="shared" si="6"/>
        <v>0</v>
      </c>
      <c r="K34" s="47">
        <f>'Preise RHH'!F30</f>
        <v>17</v>
      </c>
      <c r="L34" s="48">
        <f t="shared" si="7"/>
        <v>187</v>
      </c>
      <c r="M34" s="49">
        <f t="shared" si="8"/>
        <v>0</v>
      </c>
      <c r="N34" s="50"/>
      <c r="O34" s="51"/>
      <c r="P34" s="51"/>
      <c r="Q34" s="51"/>
      <c r="R34" s="51"/>
      <c r="S34" s="52"/>
      <c r="T34" s="53"/>
      <c r="U34" s="50"/>
      <c r="V34" s="51"/>
      <c r="W34" s="51"/>
      <c r="X34" s="51"/>
      <c r="Y34" s="51"/>
      <c r="Z34" s="52"/>
      <c r="AA34" s="53"/>
      <c r="AB34" s="50"/>
      <c r="AC34" s="51"/>
      <c r="AD34" s="51"/>
      <c r="AE34" s="51"/>
      <c r="AF34" s="51"/>
      <c r="AG34" s="52"/>
      <c r="AH34" s="53"/>
      <c r="AI34" s="50"/>
      <c r="AJ34" s="51"/>
      <c r="AK34" s="51"/>
      <c r="AL34" s="51"/>
      <c r="AM34" s="51"/>
      <c r="AN34" s="52"/>
      <c r="AO34" s="53"/>
      <c r="AP34" s="50"/>
      <c r="AQ34" s="51"/>
      <c r="AR34" s="51"/>
      <c r="AS34" s="51"/>
      <c r="AT34" s="51"/>
      <c r="AU34" s="52"/>
      <c r="AV34" s="53"/>
      <c r="AW34" s="50"/>
      <c r="AX34" s="51"/>
      <c r="AY34" s="51"/>
      <c r="AZ34" s="51"/>
      <c r="BA34" s="51"/>
      <c r="BB34" s="52"/>
      <c r="BC34" s="53"/>
      <c r="BD34" s="2"/>
      <c r="BE34" s="2"/>
      <c r="BF34" s="2"/>
      <c r="BG34" s="2"/>
      <c r="BH34" s="2"/>
    </row>
    <row r="35" spans="1:60" s="1" customFormat="1" ht="15.75">
      <c r="A35" s="54" t="s">
        <v>39</v>
      </c>
      <c r="B35" s="46">
        <f t="shared" si="0"/>
        <v>0</v>
      </c>
      <c r="C35" s="47">
        <f>'Preise RHH'!B31</f>
        <v>23</v>
      </c>
      <c r="D35" s="142">
        <f t="shared" si="1"/>
        <v>253</v>
      </c>
      <c r="E35" s="49">
        <f t="shared" si="2"/>
        <v>0</v>
      </c>
      <c r="F35" s="46">
        <f t="shared" si="3"/>
        <v>0</v>
      </c>
      <c r="G35" s="47">
        <f>'Preise RHH'!D31</f>
        <v>9</v>
      </c>
      <c r="H35" s="48">
        <f t="shared" si="4"/>
        <v>99</v>
      </c>
      <c r="I35" s="49">
        <f t="shared" si="5"/>
        <v>0</v>
      </c>
      <c r="J35" s="46">
        <f t="shared" si="6"/>
        <v>0</v>
      </c>
      <c r="K35" s="47">
        <f>'Preise RHH'!F31</f>
        <v>8</v>
      </c>
      <c r="L35" s="48">
        <f t="shared" si="7"/>
        <v>88</v>
      </c>
      <c r="M35" s="49">
        <f t="shared" si="8"/>
        <v>0</v>
      </c>
      <c r="N35" s="50"/>
      <c r="O35" s="51"/>
      <c r="P35" s="51"/>
      <c r="Q35" s="51"/>
      <c r="R35" s="51"/>
      <c r="S35" s="52"/>
      <c r="T35" s="53"/>
      <c r="U35" s="50"/>
      <c r="V35" s="51"/>
      <c r="W35" s="51"/>
      <c r="X35" s="51"/>
      <c r="Y35" s="51"/>
      <c r="Z35" s="52"/>
      <c r="AA35" s="53"/>
      <c r="AB35" s="50"/>
      <c r="AC35" s="51"/>
      <c r="AD35" s="51"/>
      <c r="AE35" s="51"/>
      <c r="AF35" s="51"/>
      <c r="AG35" s="52"/>
      <c r="AH35" s="53"/>
      <c r="AI35" s="50"/>
      <c r="AJ35" s="51"/>
      <c r="AK35" s="51"/>
      <c r="AL35" s="51"/>
      <c r="AM35" s="51"/>
      <c r="AN35" s="52"/>
      <c r="AO35" s="53"/>
      <c r="AP35" s="50"/>
      <c r="AQ35" s="51"/>
      <c r="AR35" s="51"/>
      <c r="AS35" s="51"/>
      <c r="AT35" s="51"/>
      <c r="AU35" s="52"/>
      <c r="AV35" s="53"/>
      <c r="AW35" s="50"/>
      <c r="AX35" s="51"/>
      <c r="AY35" s="51"/>
      <c r="AZ35" s="51"/>
      <c r="BA35" s="51"/>
      <c r="BB35" s="52"/>
      <c r="BC35" s="53"/>
      <c r="BD35" s="2"/>
      <c r="BE35" s="2"/>
      <c r="BF35" s="2"/>
      <c r="BG35" s="2"/>
      <c r="BH35" s="2"/>
    </row>
    <row r="36" spans="1:60" s="1" customFormat="1" ht="15.75">
      <c r="A36" s="54" t="s">
        <v>40</v>
      </c>
      <c r="B36" s="46">
        <f t="shared" si="0"/>
        <v>0</v>
      </c>
      <c r="C36" s="47">
        <f>'Preise RHH'!B32</f>
        <v>9</v>
      </c>
      <c r="D36" s="142">
        <f t="shared" si="1"/>
        <v>99</v>
      </c>
      <c r="E36" s="49">
        <f t="shared" si="2"/>
        <v>0</v>
      </c>
      <c r="F36" s="46">
        <f t="shared" si="3"/>
        <v>0</v>
      </c>
      <c r="G36" s="47">
        <f>'Preise RHH'!D32</f>
        <v>6</v>
      </c>
      <c r="H36" s="48">
        <f t="shared" si="4"/>
        <v>66</v>
      </c>
      <c r="I36" s="49">
        <f t="shared" si="5"/>
        <v>0</v>
      </c>
      <c r="J36" s="46">
        <f t="shared" si="6"/>
        <v>0</v>
      </c>
      <c r="K36" s="47">
        <f>'Preise RHH'!F32</f>
        <v>5</v>
      </c>
      <c r="L36" s="48">
        <f t="shared" si="7"/>
        <v>55</v>
      </c>
      <c r="M36" s="49">
        <f t="shared" si="8"/>
        <v>0</v>
      </c>
      <c r="N36" s="50"/>
      <c r="O36" s="51"/>
      <c r="P36" s="51"/>
      <c r="Q36" s="51"/>
      <c r="R36" s="51"/>
      <c r="S36" s="52"/>
      <c r="T36" s="53"/>
      <c r="U36" s="50"/>
      <c r="V36" s="51"/>
      <c r="W36" s="51"/>
      <c r="X36" s="51"/>
      <c r="Y36" s="51"/>
      <c r="Z36" s="52"/>
      <c r="AA36" s="53"/>
      <c r="AB36" s="50"/>
      <c r="AC36" s="51"/>
      <c r="AD36" s="51"/>
      <c r="AE36" s="51"/>
      <c r="AF36" s="51"/>
      <c r="AG36" s="52"/>
      <c r="AH36" s="53"/>
      <c r="AI36" s="50"/>
      <c r="AJ36" s="51"/>
      <c r="AK36" s="51"/>
      <c r="AL36" s="51"/>
      <c r="AM36" s="51"/>
      <c r="AN36" s="52"/>
      <c r="AO36" s="53"/>
      <c r="AP36" s="50"/>
      <c r="AQ36" s="51"/>
      <c r="AR36" s="51"/>
      <c r="AS36" s="51"/>
      <c r="AT36" s="51"/>
      <c r="AU36" s="52"/>
      <c r="AV36" s="53"/>
      <c r="AW36" s="50"/>
      <c r="AX36" s="51"/>
      <c r="AY36" s="51"/>
      <c r="AZ36" s="51"/>
      <c r="BA36" s="51"/>
      <c r="BB36" s="52"/>
      <c r="BC36" s="53"/>
      <c r="BD36" s="2"/>
      <c r="BE36" s="2"/>
      <c r="BF36" s="2"/>
      <c r="BG36" s="2"/>
      <c r="BH36" s="2"/>
    </row>
    <row r="37" spans="1:60" s="1" customFormat="1" ht="15.75">
      <c r="A37" s="54" t="s">
        <v>41</v>
      </c>
      <c r="B37" s="46">
        <f t="shared" si="0"/>
        <v>0</v>
      </c>
      <c r="C37" s="47">
        <f>'Preise RHH'!B33</f>
        <v>6</v>
      </c>
      <c r="D37" s="142">
        <f t="shared" si="1"/>
        <v>66</v>
      </c>
      <c r="E37" s="49">
        <f t="shared" si="2"/>
        <v>0</v>
      </c>
      <c r="F37" s="46">
        <f t="shared" si="3"/>
        <v>0</v>
      </c>
      <c r="G37" s="47">
        <f>'Preise RHH'!D33</f>
        <v>2</v>
      </c>
      <c r="H37" s="48">
        <f t="shared" si="4"/>
        <v>22</v>
      </c>
      <c r="I37" s="49">
        <f t="shared" si="5"/>
        <v>0</v>
      </c>
      <c r="J37" s="46">
        <f t="shared" si="6"/>
        <v>0</v>
      </c>
      <c r="K37" s="47">
        <f>'Preise RHH'!F33</f>
        <v>2</v>
      </c>
      <c r="L37" s="48">
        <f t="shared" si="7"/>
        <v>22</v>
      </c>
      <c r="M37" s="49">
        <f t="shared" si="8"/>
        <v>0</v>
      </c>
      <c r="N37" s="50"/>
      <c r="O37" s="51"/>
      <c r="P37" s="51"/>
      <c r="Q37" s="51"/>
      <c r="R37" s="51"/>
      <c r="S37" s="52"/>
      <c r="T37" s="53"/>
      <c r="U37" s="50"/>
      <c r="V37" s="51"/>
      <c r="W37" s="51"/>
      <c r="X37" s="51"/>
      <c r="Y37" s="51"/>
      <c r="Z37" s="52"/>
      <c r="AA37" s="53"/>
      <c r="AB37" s="50"/>
      <c r="AC37" s="51"/>
      <c r="AD37" s="51"/>
      <c r="AE37" s="51"/>
      <c r="AF37" s="51"/>
      <c r="AG37" s="52"/>
      <c r="AH37" s="53"/>
      <c r="AI37" s="50"/>
      <c r="AJ37" s="51"/>
      <c r="AK37" s="51"/>
      <c r="AL37" s="51"/>
      <c r="AM37" s="51"/>
      <c r="AN37" s="52"/>
      <c r="AO37" s="53"/>
      <c r="AP37" s="50"/>
      <c r="AQ37" s="51"/>
      <c r="AR37" s="51"/>
      <c r="AS37" s="51"/>
      <c r="AT37" s="51"/>
      <c r="AU37" s="52"/>
      <c r="AV37" s="53"/>
      <c r="AW37" s="50"/>
      <c r="AX37" s="51"/>
      <c r="AY37" s="51"/>
      <c r="AZ37" s="51"/>
      <c r="BA37" s="51"/>
      <c r="BB37" s="52"/>
      <c r="BC37" s="53"/>
      <c r="BD37" s="2"/>
      <c r="BE37" s="2"/>
      <c r="BF37" s="2"/>
      <c r="BG37" s="2"/>
      <c r="BH37" s="2"/>
    </row>
    <row r="38" spans="1:60" s="1" customFormat="1" ht="15.75">
      <c r="A38" s="54" t="s">
        <v>42</v>
      </c>
      <c r="B38" s="46">
        <f t="shared" si="0"/>
        <v>0</v>
      </c>
      <c r="C38" s="47">
        <f>'Preise RHH'!B34</f>
        <v>4</v>
      </c>
      <c r="D38" s="142">
        <f t="shared" si="1"/>
        <v>44</v>
      </c>
      <c r="E38" s="49">
        <f t="shared" si="2"/>
        <v>0</v>
      </c>
      <c r="F38" s="46">
        <f t="shared" si="3"/>
        <v>0</v>
      </c>
      <c r="G38" s="47">
        <f>'Preise RHH'!D34</f>
        <v>1</v>
      </c>
      <c r="H38" s="48">
        <f t="shared" si="4"/>
        <v>11</v>
      </c>
      <c r="I38" s="49">
        <f t="shared" si="5"/>
        <v>0</v>
      </c>
      <c r="J38" s="46">
        <f t="shared" si="6"/>
        <v>0</v>
      </c>
      <c r="K38" s="47">
        <f>'Preise RHH'!F34</f>
        <v>2</v>
      </c>
      <c r="L38" s="48">
        <f t="shared" si="7"/>
        <v>22</v>
      </c>
      <c r="M38" s="49">
        <f t="shared" si="8"/>
        <v>0</v>
      </c>
      <c r="N38" s="50"/>
      <c r="O38" s="51"/>
      <c r="P38" s="51"/>
      <c r="Q38" s="51"/>
      <c r="R38" s="51"/>
      <c r="S38" s="52"/>
      <c r="T38" s="53"/>
      <c r="U38" s="50"/>
      <c r="V38" s="51"/>
      <c r="W38" s="51"/>
      <c r="X38" s="51"/>
      <c r="Y38" s="51"/>
      <c r="Z38" s="52"/>
      <c r="AA38" s="53"/>
      <c r="AB38" s="50"/>
      <c r="AC38" s="51"/>
      <c r="AD38" s="51"/>
      <c r="AE38" s="51"/>
      <c r="AF38" s="51"/>
      <c r="AG38" s="52"/>
      <c r="AH38" s="53"/>
      <c r="AI38" s="50"/>
      <c r="AJ38" s="51"/>
      <c r="AK38" s="51"/>
      <c r="AL38" s="51"/>
      <c r="AM38" s="51"/>
      <c r="AN38" s="52"/>
      <c r="AO38" s="53"/>
      <c r="AP38" s="50"/>
      <c r="AQ38" s="51"/>
      <c r="AR38" s="51"/>
      <c r="AS38" s="51"/>
      <c r="AT38" s="51"/>
      <c r="AU38" s="52"/>
      <c r="AV38" s="53"/>
      <c r="AW38" s="50"/>
      <c r="AX38" s="51"/>
      <c r="AY38" s="51"/>
      <c r="AZ38" s="51"/>
      <c r="BA38" s="51"/>
      <c r="BB38" s="52"/>
      <c r="BC38" s="53"/>
      <c r="BD38" s="2"/>
      <c r="BE38" s="2"/>
      <c r="BF38" s="2"/>
      <c r="BG38" s="2"/>
      <c r="BH38" s="2"/>
    </row>
    <row r="39" spans="1:60" s="1" customFormat="1" ht="15.75">
      <c r="A39" s="54" t="s">
        <v>43</v>
      </c>
      <c r="B39" s="46">
        <f t="shared" si="0"/>
        <v>0</v>
      </c>
      <c r="C39" s="47">
        <f>'Preise RHH'!B35</f>
        <v>2</v>
      </c>
      <c r="D39" s="142">
        <f t="shared" si="1"/>
        <v>22</v>
      </c>
      <c r="E39" s="49">
        <f t="shared" si="2"/>
        <v>0</v>
      </c>
      <c r="F39" s="46">
        <f t="shared" si="3"/>
        <v>0</v>
      </c>
      <c r="G39" s="47">
        <f>'Preise RHH'!D35</f>
        <v>1</v>
      </c>
      <c r="H39" s="48">
        <f t="shared" si="4"/>
        <v>11</v>
      </c>
      <c r="I39" s="49">
        <f t="shared" si="5"/>
        <v>0</v>
      </c>
      <c r="J39" s="46">
        <f t="shared" si="6"/>
        <v>0</v>
      </c>
      <c r="K39" s="47">
        <f>'Preise RHH'!F35</f>
        <v>1</v>
      </c>
      <c r="L39" s="48">
        <f t="shared" si="7"/>
        <v>11</v>
      </c>
      <c r="M39" s="49">
        <f t="shared" si="8"/>
        <v>0</v>
      </c>
      <c r="N39" s="50"/>
      <c r="O39" s="51"/>
      <c r="P39" s="51"/>
      <c r="Q39" s="51"/>
      <c r="R39" s="51"/>
      <c r="S39" s="52"/>
      <c r="T39" s="53"/>
      <c r="U39" s="50"/>
      <c r="V39" s="51"/>
      <c r="W39" s="51"/>
      <c r="X39" s="51"/>
      <c r="Y39" s="51"/>
      <c r="Z39" s="52"/>
      <c r="AA39" s="53"/>
      <c r="AB39" s="50"/>
      <c r="AC39" s="51"/>
      <c r="AD39" s="51"/>
      <c r="AE39" s="51"/>
      <c r="AF39" s="51"/>
      <c r="AG39" s="52"/>
      <c r="AH39" s="53"/>
      <c r="AI39" s="50"/>
      <c r="AJ39" s="51"/>
      <c r="AK39" s="51"/>
      <c r="AL39" s="51"/>
      <c r="AM39" s="51"/>
      <c r="AN39" s="52"/>
      <c r="AO39" s="53"/>
      <c r="AP39" s="50"/>
      <c r="AQ39" s="51"/>
      <c r="AR39" s="51"/>
      <c r="AS39" s="51"/>
      <c r="AT39" s="51"/>
      <c r="AU39" s="52"/>
      <c r="AV39" s="53"/>
      <c r="AW39" s="50"/>
      <c r="AX39" s="51"/>
      <c r="AY39" s="51"/>
      <c r="AZ39" s="51"/>
      <c r="BA39" s="51"/>
      <c r="BB39" s="52"/>
      <c r="BC39" s="53"/>
      <c r="BD39" s="2"/>
      <c r="BE39" s="2"/>
      <c r="BF39" s="2"/>
      <c r="BG39" s="2"/>
      <c r="BH39" s="2"/>
    </row>
    <row r="40" spans="1:60" s="1" customFormat="1" ht="16.5" thickBot="1">
      <c r="A40" s="56" t="s">
        <v>44</v>
      </c>
      <c r="B40" s="57">
        <f t="shared" si="0"/>
        <v>0</v>
      </c>
      <c r="C40" s="47">
        <f>'Preise RHH'!B36</f>
        <v>2</v>
      </c>
      <c r="D40" s="142">
        <f t="shared" si="1"/>
        <v>22</v>
      </c>
      <c r="E40" s="49">
        <f t="shared" si="2"/>
        <v>0</v>
      </c>
      <c r="F40" s="57">
        <f t="shared" si="3"/>
        <v>0</v>
      </c>
      <c r="G40" s="47">
        <f>'Preise RHH'!D36</f>
        <v>1</v>
      </c>
      <c r="H40" s="48">
        <f t="shared" si="4"/>
        <v>11</v>
      </c>
      <c r="I40" s="49">
        <f t="shared" si="5"/>
        <v>0</v>
      </c>
      <c r="J40" s="57">
        <f t="shared" si="6"/>
        <v>0</v>
      </c>
      <c r="K40" s="47">
        <f>'Preise RHH'!F36</f>
        <v>1</v>
      </c>
      <c r="L40" s="48">
        <f t="shared" si="7"/>
        <v>11</v>
      </c>
      <c r="M40" s="49">
        <f t="shared" si="8"/>
        <v>0</v>
      </c>
      <c r="N40" s="58"/>
      <c r="O40" s="59"/>
      <c r="P40" s="59"/>
      <c r="Q40" s="59"/>
      <c r="R40" s="59"/>
      <c r="S40" s="60"/>
      <c r="T40" s="61"/>
      <c r="U40" s="58"/>
      <c r="V40" s="59"/>
      <c r="W40" s="59"/>
      <c r="X40" s="59"/>
      <c r="Y40" s="59"/>
      <c r="Z40" s="60"/>
      <c r="AA40" s="61"/>
      <c r="AB40" s="58"/>
      <c r="AC40" s="59"/>
      <c r="AD40" s="59"/>
      <c r="AE40" s="59"/>
      <c r="AF40" s="59"/>
      <c r="AG40" s="60"/>
      <c r="AH40" s="61"/>
      <c r="AI40" s="58"/>
      <c r="AJ40" s="59"/>
      <c r="AK40" s="59"/>
      <c r="AL40" s="59"/>
      <c r="AM40" s="59"/>
      <c r="AN40" s="60"/>
      <c r="AO40" s="61"/>
      <c r="AP40" s="58"/>
      <c r="AQ40" s="59"/>
      <c r="AR40" s="59"/>
      <c r="AS40" s="59"/>
      <c r="AT40" s="59"/>
      <c r="AU40" s="60"/>
      <c r="AV40" s="61"/>
      <c r="AW40" s="58"/>
      <c r="AX40" s="59"/>
      <c r="AY40" s="59"/>
      <c r="AZ40" s="59"/>
      <c r="BA40" s="59"/>
      <c r="BB40" s="60"/>
      <c r="BC40" s="61"/>
      <c r="BD40" s="2"/>
      <c r="BE40" s="2"/>
      <c r="BF40" s="2"/>
      <c r="BG40" s="2"/>
      <c r="BH40" s="2"/>
    </row>
    <row r="41" spans="1:60" s="73" customFormat="1" ht="16.5" thickBot="1">
      <c r="A41" s="62" t="s">
        <v>45</v>
      </c>
      <c r="B41" s="63">
        <f>SUM(B17:B40)</f>
        <v>0</v>
      </c>
      <c r="C41" s="64"/>
      <c r="D41" s="64"/>
      <c r="E41" s="65">
        <f>SUM(E17:E40)</f>
        <v>0</v>
      </c>
      <c r="F41" s="63">
        <f>SUM(F17:F40)</f>
        <v>0</v>
      </c>
      <c r="G41" s="64"/>
      <c r="H41" s="64"/>
      <c r="I41" s="65">
        <f>SUM(I17:I40)</f>
        <v>0</v>
      </c>
      <c r="J41" s="63">
        <f>SUM(J17:J40)</f>
        <v>0</v>
      </c>
      <c r="K41" s="64"/>
      <c r="L41" s="64"/>
      <c r="M41" s="66">
        <f>SUM(M17:M40)</f>
        <v>0</v>
      </c>
      <c r="N41" s="67">
        <f t="shared" ref="N41:BC41" si="9">SUM(N22:N40)</f>
        <v>0</v>
      </c>
      <c r="O41" s="68">
        <f t="shared" si="9"/>
        <v>0</v>
      </c>
      <c r="P41" s="68">
        <f t="shared" si="9"/>
        <v>0</v>
      </c>
      <c r="Q41" s="68">
        <f t="shared" si="9"/>
        <v>0</v>
      </c>
      <c r="R41" s="68">
        <f t="shared" si="9"/>
        <v>0</v>
      </c>
      <c r="S41" s="68">
        <f t="shared" si="9"/>
        <v>0</v>
      </c>
      <c r="T41" s="69">
        <f t="shared" si="9"/>
        <v>0</v>
      </c>
      <c r="U41" s="70">
        <f t="shared" si="9"/>
        <v>0</v>
      </c>
      <c r="V41" s="68">
        <f t="shared" si="9"/>
        <v>0</v>
      </c>
      <c r="W41" s="68">
        <f t="shared" si="9"/>
        <v>0</v>
      </c>
      <c r="X41" s="68">
        <f t="shared" si="9"/>
        <v>0</v>
      </c>
      <c r="Y41" s="68">
        <f t="shared" si="9"/>
        <v>0</v>
      </c>
      <c r="Z41" s="68">
        <f t="shared" si="9"/>
        <v>0</v>
      </c>
      <c r="AA41" s="69">
        <f t="shared" si="9"/>
        <v>0</v>
      </c>
      <c r="AB41" s="67">
        <f t="shared" si="9"/>
        <v>0</v>
      </c>
      <c r="AC41" s="68">
        <f t="shared" si="9"/>
        <v>0</v>
      </c>
      <c r="AD41" s="68">
        <f t="shared" si="9"/>
        <v>0</v>
      </c>
      <c r="AE41" s="68">
        <f t="shared" si="9"/>
        <v>0</v>
      </c>
      <c r="AF41" s="68">
        <f t="shared" si="9"/>
        <v>0</v>
      </c>
      <c r="AG41" s="68">
        <f t="shared" si="9"/>
        <v>0</v>
      </c>
      <c r="AH41" s="69">
        <f t="shared" si="9"/>
        <v>0</v>
      </c>
      <c r="AI41" s="67">
        <f t="shared" si="9"/>
        <v>0</v>
      </c>
      <c r="AJ41" s="68">
        <f t="shared" si="9"/>
        <v>0</v>
      </c>
      <c r="AK41" s="68">
        <f t="shared" si="9"/>
        <v>0</v>
      </c>
      <c r="AL41" s="68">
        <f t="shared" si="9"/>
        <v>0</v>
      </c>
      <c r="AM41" s="68">
        <f t="shared" si="9"/>
        <v>0</v>
      </c>
      <c r="AN41" s="68">
        <f t="shared" si="9"/>
        <v>0</v>
      </c>
      <c r="AO41" s="69">
        <f t="shared" si="9"/>
        <v>0</v>
      </c>
      <c r="AP41" s="67">
        <f t="shared" si="9"/>
        <v>0</v>
      </c>
      <c r="AQ41" s="68">
        <f t="shared" si="9"/>
        <v>0</v>
      </c>
      <c r="AR41" s="68">
        <f t="shared" si="9"/>
        <v>0</v>
      </c>
      <c r="AS41" s="68">
        <f t="shared" si="9"/>
        <v>0</v>
      </c>
      <c r="AT41" s="68">
        <f t="shared" si="9"/>
        <v>0</v>
      </c>
      <c r="AU41" s="68">
        <f t="shared" si="9"/>
        <v>0</v>
      </c>
      <c r="AV41" s="69">
        <f t="shared" si="9"/>
        <v>0</v>
      </c>
      <c r="AW41" s="71">
        <f t="shared" si="9"/>
        <v>0</v>
      </c>
      <c r="AX41" s="68">
        <f t="shared" si="9"/>
        <v>0</v>
      </c>
      <c r="AY41" s="68">
        <f t="shared" si="9"/>
        <v>0</v>
      </c>
      <c r="AZ41" s="68">
        <f t="shared" si="9"/>
        <v>0</v>
      </c>
      <c r="BA41" s="68">
        <f t="shared" si="9"/>
        <v>0</v>
      </c>
      <c r="BB41" s="68">
        <f t="shared" si="9"/>
        <v>0</v>
      </c>
      <c r="BC41" s="69">
        <f t="shared" si="9"/>
        <v>0</v>
      </c>
      <c r="BD41" s="72"/>
      <c r="BE41" s="72"/>
      <c r="BF41" s="72"/>
      <c r="BG41" s="72"/>
      <c r="BH41" s="72"/>
    </row>
    <row r="42" spans="1:60" s="1" customFormat="1"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</row>
    <row r="43" spans="1:60" s="1" customFormat="1"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</row>
    <row r="44" spans="1:60" s="1" customFormat="1"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</row>
    <row r="45" spans="1:60" s="1" customForma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</row>
    <row r="46" spans="1:60" s="1" customFormat="1"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</row>
    <row r="47" spans="1:60" s="1" customFormat="1"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</row>
    <row r="48" spans="1:60" s="1" customFormat="1"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</row>
    <row r="49" spans="3:55" s="1" customFormat="1"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</row>
    <row r="50" spans="3:55" s="1" customFormat="1"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</row>
    <row r="51" spans="3:55" s="1" customFormat="1"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</row>
    <row r="52" spans="3:55" s="1" customFormat="1"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</row>
    <row r="53" spans="3:55" s="1" customFormat="1"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</row>
    <row r="54" spans="3:55" s="1" customFormat="1"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</row>
    <row r="55" spans="3:55" s="1" customFormat="1"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</row>
    <row r="56" spans="3:55" s="1" customFormat="1"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spans="3:55" s="1" customFormat="1"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3:55" s="1" customFormat="1"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3:55" s="1" customFormat="1"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</row>
    <row r="60" spans="3:55" s="1" customFormat="1"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spans="3:55" s="1" customFormat="1"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spans="3:55" s="1" customFormat="1"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spans="3:55" s="1" customFormat="1"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spans="3:55" s="1" customFormat="1"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spans="3:13" s="1" customFormat="1"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spans="3:13" s="1" customFormat="1"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spans="3:13" s="1" customFormat="1"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spans="3:13" s="1" customFormat="1"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spans="3:13" s="1" customFormat="1"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spans="3:13" s="1" customFormat="1"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3:13" s="1" customFormat="1"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spans="3:13" s="1" customFormat="1"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spans="3:13" s="1" customFormat="1"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spans="3:13" s="1" customFormat="1"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spans="3:13" s="1" customFormat="1"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spans="3:13" s="1" customFormat="1"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spans="3:13" s="1" customFormat="1"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</sheetData>
  <mergeCells count="29">
    <mergeCell ref="I10:K10"/>
    <mergeCell ref="I11:K11"/>
    <mergeCell ref="I12:K12"/>
    <mergeCell ref="A2:BC2"/>
    <mergeCell ref="A4:BH4"/>
    <mergeCell ref="M6:O6"/>
    <mergeCell ref="AN6:AV6"/>
    <mergeCell ref="M7:O7"/>
    <mergeCell ref="M8:O8"/>
    <mergeCell ref="E6:G6"/>
    <mergeCell ref="E7:G7"/>
    <mergeCell ref="I6:K6"/>
    <mergeCell ref="I7:K7"/>
    <mergeCell ref="AP14:AV14"/>
    <mergeCell ref="N14:T14"/>
    <mergeCell ref="I8:K8"/>
    <mergeCell ref="I9:K9"/>
    <mergeCell ref="AW14:BC14"/>
    <mergeCell ref="M11:O11"/>
    <mergeCell ref="M12:O12"/>
    <mergeCell ref="F14:I14"/>
    <mergeCell ref="J14:M14"/>
    <mergeCell ref="M10:O10"/>
    <mergeCell ref="U14:AA14"/>
    <mergeCell ref="AB14:AH14"/>
    <mergeCell ref="E8:G8"/>
    <mergeCell ref="AI14:AO14"/>
    <mergeCell ref="M9:O9"/>
    <mergeCell ref="B14:E14"/>
  </mergeCells>
  <pageMargins left="0.11811023622047245" right="0.11811023622047245" top="0.78740157480314965" bottom="0.78740157480314965" header="0.31496062992125984" footer="0.31496062992125984"/>
  <pageSetup paperSize="9" scale="4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19"/>
  <sheetViews>
    <sheetView view="pageBreakPreview" zoomScale="85" zoomScaleNormal="85" zoomScaleSheetLayoutView="85" workbookViewId="0">
      <pane ySplit="12" topLeftCell="A13" activePane="bottomLeft" state="frozen"/>
      <selection activeCell="A4" sqref="A4:BH4"/>
      <selection pane="bottomLeft" activeCell="A5" sqref="A5"/>
    </sheetView>
  </sheetViews>
  <sheetFormatPr baseColWidth="10" defaultColWidth="11.42578125" defaultRowHeight="15"/>
  <cols>
    <col min="1" max="1" width="14.140625" style="1" customWidth="1"/>
    <col min="2" max="2" width="18.7109375" style="99" customWidth="1"/>
    <col min="3" max="4" width="18.7109375" style="96" customWidth="1"/>
    <col min="5" max="5" width="15.85546875" style="96" customWidth="1"/>
    <col min="6" max="6" width="18.140625" style="96" customWidth="1"/>
    <col min="7" max="7" width="19" style="96" customWidth="1"/>
    <col min="8" max="8" width="18.5703125" style="96" customWidth="1"/>
    <col min="9" max="9" width="18.140625" style="96" customWidth="1"/>
    <col min="10" max="10" width="19.5703125" style="96" customWidth="1"/>
    <col min="11" max="11" width="15.85546875" style="96" customWidth="1"/>
    <col min="12" max="12" width="13.7109375" style="1" customWidth="1"/>
    <col min="13" max="13" width="20.42578125" style="1" customWidth="1"/>
    <col min="14" max="14" width="10.5703125" style="1" customWidth="1"/>
    <col min="15" max="15" width="3.85546875" style="1" customWidth="1"/>
    <col min="16" max="16" width="3.5703125" style="1" customWidth="1"/>
    <col min="17" max="17" width="2.42578125" style="1" customWidth="1"/>
    <col min="18" max="18" width="3.140625" style="1" customWidth="1"/>
    <col min="19" max="19" width="10.42578125" style="1" customWidth="1"/>
    <col min="20" max="16384" width="11.42578125" style="1"/>
  </cols>
  <sheetData>
    <row r="1" spans="1:61" ht="39" customHeight="1" thickBot="1">
      <c r="A1" s="533" t="s">
        <v>169</v>
      </c>
      <c r="B1" s="533"/>
      <c r="C1" s="533"/>
      <c r="D1" s="533"/>
      <c r="E1" s="859" t="s">
        <v>132</v>
      </c>
      <c r="F1" s="859"/>
      <c r="G1" s="859"/>
      <c r="H1" s="859"/>
      <c r="I1" s="859"/>
      <c r="J1" s="859"/>
      <c r="K1" s="859"/>
      <c r="L1" s="859"/>
      <c r="M1" s="859"/>
      <c r="N1" s="859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2"/>
      <c r="BI1" s="532"/>
    </row>
    <row r="2" spans="1:61" ht="23.25">
      <c r="E2" s="563" t="s">
        <v>125</v>
      </c>
      <c r="F2" s="549"/>
      <c r="G2" s="549"/>
      <c r="H2" s="549"/>
      <c r="I2" s="549"/>
      <c r="J2" s="549"/>
      <c r="K2" s="549"/>
      <c r="L2" s="549"/>
      <c r="M2" s="549"/>
      <c r="N2" s="550"/>
      <c r="P2" s="565" t="s">
        <v>110</v>
      </c>
      <c r="Q2" s="565"/>
      <c r="R2" s="565"/>
      <c r="S2" s="565"/>
      <c r="T2" s="565" t="s">
        <v>113</v>
      </c>
    </row>
    <row r="3" spans="1:61" s="91" customFormat="1" ht="39" customHeight="1">
      <c r="A3" s="545"/>
      <c r="B3" s="545"/>
      <c r="C3" s="545"/>
      <c r="D3" s="545"/>
      <c r="E3" s="542" t="s">
        <v>129</v>
      </c>
      <c r="F3" s="543" t="s">
        <v>153</v>
      </c>
      <c r="G3" s="543" t="s">
        <v>126</v>
      </c>
      <c r="H3" s="548" t="s">
        <v>128</v>
      </c>
      <c r="I3" s="543" t="s">
        <v>127</v>
      </c>
      <c r="J3" s="543" t="s">
        <v>130</v>
      </c>
      <c r="K3" s="543" t="s">
        <v>131</v>
      </c>
      <c r="L3" s="543" t="s">
        <v>135</v>
      </c>
      <c r="M3" s="543" t="s">
        <v>133</v>
      </c>
      <c r="N3" s="544" t="s">
        <v>134</v>
      </c>
      <c r="P3" s="566">
        <v>1</v>
      </c>
      <c r="Q3" s="566" t="s">
        <v>112</v>
      </c>
      <c r="R3" s="566">
        <v>15</v>
      </c>
      <c r="S3" s="566" t="s">
        <v>111</v>
      </c>
      <c r="T3" s="566">
        <v>110</v>
      </c>
    </row>
    <row r="4" spans="1:61" ht="15.75">
      <c r="E4" s="541" t="s">
        <v>137</v>
      </c>
      <c r="F4" s="539" t="s">
        <v>138</v>
      </c>
      <c r="G4" s="539"/>
      <c r="H4" s="540">
        <f>IF($E$4=$J$11,VLOOKUP($F$4,$A$37:$K$78,11,0),IF($E$4=$H$11,VLOOKUP($F$4,$A$37:$K$78,9,0),IF($E$4=$F$11,VLOOKUP($F$4,$A$37:$K$78,7,0),IF($E$4=$D$11,VLOOKUP($F$4,$A$37:$K$78,5,0),IF($E$4=$B$11,VLOOKUP($F$4,$A$37:$K$78,3,0))))))</f>
        <v>109.55357142857143</v>
      </c>
      <c r="I4" s="540">
        <f>H4*G4</f>
        <v>0</v>
      </c>
      <c r="J4" s="551"/>
      <c r="K4" s="551"/>
      <c r="L4" s="540">
        <f>(I4-(I4*J4))-(I4-(I4*J4))*K4</f>
        <v>0</v>
      </c>
      <c r="M4" s="556" t="e">
        <f>1-L4/I4</f>
        <v>#DIV/0!</v>
      </c>
      <c r="N4" s="557" t="e">
        <f>(1-M4)*100</f>
        <v>#DIV/0!</v>
      </c>
      <c r="P4" s="566">
        <v>16</v>
      </c>
      <c r="Q4" s="566" t="s">
        <v>112</v>
      </c>
      <c r="R4" s="566">
        <v>24</v>
      </c>
      <c r="S4" s="566" t="s">
        <v>111</v>
      </c>
      <c r="T4" s="566">
        <v>105</v>
      </c>
    </row>
    <row r="5" spans="1:61" s="2" customFormat="1" ht="15.75">
      <c r="B5" s="97"/>
      <c r="C5" s="95"/>
      <c r="D5" s="95"/>
      <c r="E5" s="541" t="s">
        <v>55</v>
      </c>
      <c r="F5" s="539" t="s">
        <v>79</v>
      </c>
      <c r="G5" s="539"/>
      <c r="H5" s="540">
        <f>IF($E$5=$J$11,VLOOKUP($F$5,$A$37:$K$78,11,0),IF($E$5=$H$11,VLOOKUP($F$5,$A$37:$K$78,9,0),IF($E$5=$F$11,VLOOKUP($F$5,$A$37:$K$78,7,0),IF($E$5=$D$11,VLOOKUP($F$5,$A$37:$K$78,5,0),IF($E$5=$B$11,VLOOKUP($F$5,$A$37:$K$78,3,0))))))</f>
        <v>150</v>
      </c>
      <c r="I5" s="540">
        <f t="shared" ref="I5:I7" si="0">H5*G5</f>
        <v>0</v>
      </c>
      <c r="J5" s="551"/>
      <c r="K5" s="552"/>
      <c r="L5" s="540">
        <f t="shared" ref="L5:L7" si="1">(I5-(I5*J5))-(I5-(I5*J5))*K5</f>
        <v>0</v>
      </c>
      <c r="M5" s="556" t="e">
        <f t="shared" ref="M5:M7" si="2">1-L5/I5</f>
        <v>#DIV/0!</v>
      </c>
      <c r="N5" s="557" t="e">
        <f t="shared" ref="N5:N7" si="3">(1-M5)*100</f>
        <v>#DIV/0!</v>
      </c>
      <c r="P5" s="566">
        <v>25</v>
      </c>
      <c r="Q5" s="566" t="s">
        <v>112</v>
      </c>
      <c r="R5" s="566">
        <v>34</v>
      </c>
      <c r="S5" s="566" t="s">
        <v>111</v>
      </c>
      <c r="T5" s="566">
        <v>100</v>
      </c>
    </row>
    <row r="6" spans="1:61" s="2" customFormat="1" ht="16.5" thickBot="1">
      <c r="B6" s="97"/>
      <c r="C6" s="95"/>
      <c r="D6" s="95"/>
      <c r="E6" s="541" t="s">
        <v>55</v>
      </c>
      <c r="F6" s="539" t="s">
        <v>79</v>
      </c>
      <c r="G6" s="539"/>
      <c r="H6" s="540">
        <f>IF($E$6=$J$11,VLOOKUP($F$6,$A$37:$K$78,11,0),IF($E$6=$H$11,VLOOKUP($F$6,$A$37:$K$78,9,0),IF($E$6=$F$11,VLOOKUP($F$6,$A$37:$K$78,7,0),IF($E$6=$D$11,VLOOKUP($F$6,$A$37:$K$78,5,0),IF($E$6=$B$11,VLOOKUP($F$6,$A$37:$K$78,3,0))))))</f>
        <v>150</v>
      </c>
      <c r="I6" s="540">
        <f t="shared" ref="I6" si="4">H6*G6</f>
        <v>0</v>
      </c>
      <c r="J6" s="551"/>
      <c r="K6" s="552"/>
      <c r="L6" s="540">
        <f t="shared" ref="L6" si="5">(I6-(I6*J6))-(I6-(I6*J6))*K6</f>
        <v>0</v>
      </c>
      <c r="M6" s="556" t="e">
        <f t="shared" ref="M6" si="6">1-L6/I6</f>
        <v>#DIV/0!</v>
      </c>
      <c r="N6" s="557" t="e">
        <f t="shared" ref="N6" si="7">(1-M6)*100</f>
        <v>#DIV/0!</v>
      </c>
      <c r="P6" s="566">
        <v>35</v>
      </c>
      <c r="Q6" s="566" t="s">
        <v>112</v>
      </c>
      <c r="R6" s="566">
        <v>99</v>
      </c>
      <c r="S6" s="566" t="s">
        <v>111</v>
      </c>
      <c r="T6" s="566">
        <v>95</v>
      </c>
    </row>
    <row r="7" spans="1:61" s="2" customFormat="1" ht="18.75" thickBot="1">
      <c r="A7" s="92" t="s">
        <v>53</v>
      </c>
      <c r="B7" s="97"/>
      <c r="C7" s="181">
        <v>30</v>
      </c>
      <c r="D7" s="95"/>
      <c r="E7" s="848" t="s">
        <v>55</v>
      </c>
      <c r="F7" s="849" t="s">
        <v>79</v>
      </c>
      <c r="G7" s="849"/>
      <c r="H7" s="850">
        <f>IF($E$7=$J$11,VLOOKUP($F$7,$A$37:$K$78,11,0),IF($E$7=$H$11,VLOOKUP($F$7,$A$37:$K$78,9,0),IF($E$7=$F$11,VLOOKUP($F$7,$A$37:$K$78,7,0),IF($E$7=$D$11,VLOOKUP($F$7,$A$37:$K$78,5,0),IF($E$7=$B$11,VLOOKUP($F$7,$A$37:$K$78,3,0))))))</f>
        <v>150</v>
      </c>
      <c r="I7" s="850">
        <f t="shared" si="0"/>
        <v>0</v>
      </c>
      <c r="J7" s="851"/>
      <c r="K7" s="852"/>
      <c r="L7" s="850">
        <f t="shared" si="1"/>
        <v>0</v>
      </c>
      <c r="M7" s="853" t="e">
        <f t="shared" si="2"/>
        <v>#DIV/0!</v>
      </c>
      <c r="N7" s="854" t="e">
        <f t="shared" si="3"/>
        <v>#DIV/0!</v>
      </c>
    </row>
    <row r="8" spans="1:61" s="2" customFormat="1" ht="18">
      <c r="A8" s="92" t="s">
        <v>162</v>
      </c>
      <c r="B8" s="97"/>
      <c r="C8" s="561"/>
      <c r="D8" s="95"/>
      <c r="E8" s="182"/>
      <c r="F8" s="182"/>
      <c r="G8" s="182"/>
      <c r="H8" s="554"/>
      <c r="I8" s="554"/>
      <c r="J8" s="558"/>
      <c r="K8" s="559"/>
      <c r="L8" s="554">
        <f>SUM(L4:L7)</f>
        <v>0</v>
      </c>
      <c r="M8" s="555"/>
      <c r="N8" s="560"/>
      <c r="O8" s="147"/>
      <c r="Q8" s="147"/>
    </row>
    <row r="9" spans="1:61" s="2" customFormat="1" ht="18.75" thickBot="1">
      <c r="A9" s="92" t="s">
        <v>163</v>
      </c>
      <c r="B9" s="97"/>
      <c r="C9" s="561"/>
      <c r="D9" s="95"/>
      <c r="E9" s="182"/>
      <c r="F9" s="182"/>
      <c r="G9" s="182"/>
      <c r="H9" s="554"/>
      <c r="I9" s="554"/>
      <c r="J9" s="558"/>
      <c r="K9" s="559"/>
      <c r="L9" s="554"/>
      <c r="M9" s="147"/>
      <c r="N9" s="147"/>
      <c r="O9" s="147"/>
      <c r="P9" s="147"/>
      <c r="Q9" s="147"/>
    </row>
    <row r="10" spans="1:61" s="2" customFormat="1" ht="18.75" thickBot="1">
      <c r="A10" s="908" t="s">
        <v>54</v>
      </c>
      <c r="B10" s="909"/>
      <c r="C10" s="910"/>
      <c r="D10" s="909"/>
      <c r="E10" s="910"/>
      <c r="F10" s="910"/>
      <c r="G10" s="910"/>
      <c r="H10" s="910"/>
      <c r="I10" s="910"/>
      <c r="J10" s="910"/>
      <c r="K10" s="911"/>
    </row>
    <row r="11" spans="1:61" s="3" customFormat="1" ht="19.899999999999999" customHeight="1">
      <c r="A11" s="180"/>
      <c r="B11" s="912" t="s">
        <v>55</v>
      </c>
      <c r="C11" s="913"/>
      <c r="D11" s="912" t="s">
        <v>0</v>
      </c>
      <c r="E11" s="913"/>
      <c r="F11" s="912" t="s">
        <v>21</v>
      </c>
      <c r="G11" s="913"/>
      <c r="H11" s="912" t="s">
        <v>56</v>
      </c>
      <c r="I11" s="913"/>
      <c r="J11" s="912" t="s">
        <v>57</v>
      </c>
      <c r="K11" s="913"/>
    </row>
    <row r="12" spans="1:61" s="2" customFormat="1" ht="38.25" customHeight="1" thickBot="1">
      <c r="A12" s="179" t="s">
        <v>58</v>
      </c>
      <c r="B12" s="279" t="s">
        <v>114</v>
      </c>
      <c r="C12" s="280" t="s">
        <v>59</v>
      </c>
      <c r="D12" s="279" t="s">
        <v>109</v>
      </c>
      <c r="E12" s="280" t="s">
        <v>59</v>
      </c>
      <c r="F12" s="279" t="s">
        <v>109</v>
      </c>
      <c r="G12" s="178" t="s">
        <v>59</v>
      </c>
      <c r="H12" s="279" t="s">
        <v>109</v>
      </c>
      <c r="I12" s="178" t="s">
        <v>59</v>
      </c>
      <c r="J12" s="279" t="s">
        <v>109</v>
      </c>
      <c r="K12" s="279" t="s">
        <v>59</v>
      </c>
    </row>
    <row r="13" spans="1:61" s="2" customFormat="1" ht="18">
      <c r="A13" s="93" t="s">
        <v>103</v>
      </c>
      <c r="B13" s="160">
        <v>1</v>
      </c>
      <c r="C13" s="159">
        <f t="shared" ref="C13:C45" si="8">IF(AND($C$7&gt;=$P$5,$C$7&lt;=$R$5),B13*$C$7*$T$5/100,IF(AND($C$7&gt;=$P$4,$C$7&lt;=$R$4),B13*$C$7*$T$4/100,IF(AND($C$7&gt;=$P$3,$C$7&lt;=$R$3),B13*$C$7*$T$3/100,IF($C$7&gt;=$P$6,B13*$C$7*$T$6/100))))</f>
        <v>30</v>
      </c>
      <c r="D13" s="160">
        <v>1</v>
      </c>
      <c r="E13" s="159">
        <f t="shared" ref="E13:E45" si="9">IF(AND($C$7&gt;=$P$5,$C$7&lt;=$R$5),D13*$C$7*$T$5/100,IF(AND($C$7&gt;=$P$4,$C$7&lt;=$R$4),D13*$C$7*$T$4/100,IF(AND($C$7&gt;=$P$3,$C$7&lt;=$R$3),D13*$C$7*$T$3/100,IF($C$7&gt;=$P$6,D13*$C$7*$T$6/100))))</f>
        <v>30</v>
      </c>
      <c r="F13" s="160">
        <v>1</v>
      </c>
      <c r="G13" s="159">
        <f t="shared" ref="G13:G45" si="10">IF(AND($C$7&gt;=$P$5,$C$7&lt;=$R$5),F13*$C$7*$T$5/100,IF(AND($C$7&gt;=$P$4,$C$7&lt;=$R$4),F13*$C$7*$T$4/100,IF(AND($C$7&gt;=$P$3,$C$7&lt;=$R$3),F13*$C$7*$T$3/100,IF($C$7&gt;=$P$6,F13*$C$7*$T$6/100))))</f>
        <v>30</v>
      </c>
      <c r="H13" s="160">
        <f t="shared" ref="H13:H36" si="11">((B13*5)+D13)/6</f>
        <v>1</v>
      </c>
      <c r="I13" s="159">
        <f t="shared" ref="I13:I36" si="12">IF(AND($C$7&gt;=$P$5,$C$7&lt;=$R$5),H13*$C$7*$T$5/100,IF(AND($C$7&gt;=$P$4,$C$7&lt;=$R$4),H13*$C$7*$T$4/100,IF(AND($C$7&gt;=$P$3,$C$7&lt;=$R$3),H13*$C$7*$T$3/100,IF($C$7&gt;=$P$6,H13*$C$7*$T$6/100))))</f>
        <v>30</v>
      </c>
      <c r="J13" s="160">
        <f t="shared" ref="J13:J36" si="13">((B13*5)+D13+F13)/7</f>
        <v>1</v>
      </c>
      <c r="K13" s="159">
        <f t="shared" ref="K13:K36" si="14">IF(AND($C$7&gt;=$P$5,$C$7&lt;=$R$5),J13*$C$7*$T$5/100,IF(AND($C$7&gt;=$P$4,$C$7&lt;=$R$4),J13*$C$7*$T$4/100,IF(AND($C$7&gt;=$P$3,$C$7&lt;=$R$3),J13*$C$7*$T$3/100,IF($C$7&gt;=$P$6,J13*$C$7*$T$6/100))))</f>
        <v>30</v>
      </c>
    </row>
    <row r="14" spans="1:61" s="2" customFormat="1" ht="18">
      <c r="A14" s="93" t="s">
        <v>107</v>
      </c>
      <c r="B14" s="160">
        <v>1</v>
      </c>
      <c r="C14" s="159">
        <f t="shared" si="8"/>
        <v>30</v>
      </c>
      <c r="D14" s="160">
        <v>1</v>
      </c>
      <c r="E14" s="159">
        <f t="shared" si="9"/>
        <v>30</v>
      </c>
      <c r="F14" s="160">
        <v>1</v>
      </c>
      <c r="G14" s="159">
        <f t="shared" si="10"/>
        <v>30</v>
      </c>
      <c r="H14" s="160">
        <f t="shared" si="11"/>
        <v>1</v>
      </c>
      <c r="I14" s="159">
        <f t="shared" si="12"/>
        <v>30</v>
      </c>
      <c r="J14" s="160">
        <f t="shared" si="13"/>
        <v>1</v>
      </c>
      <c r="K14" s="159">
        <f t="shared" si="14"/>
        <v>30</v>
      </c>
    </row>
    <row r="15" spans="1:61" s="2" customFormat="1" ht="18">
      <c r="A15" s="93" t="s">
        <v>106</v>
      </c>
      <c r="B15" s="160">
        <v>1</v>
      </c>
      <c r="C15" s="159">
        <f t="shared" si="8"/>
        <v>30</v>
      </c>
      <c r="D15" s="160">
        <v>1</v>
      </c>
      <c r="E15" s="159">
        <f t="shared" si="9"/>
        <v>30</v>
      </c>
      <c r="F15" s="160">
        <v>1</v>
      </c>
      <c r="G15" s="159">
        <f t="shared" si="10"/>
        <v>30</v>
      </c>
      <c r="H15" s="160">
        <f t="shared" si="11"/>
        <v>1</v>
      </c>
      <c r="I15" s="159">
        <f t="shared" si="12"/>
        <v>30</v>
      </c>
      <c r="J15" s="160">
        <f t="shared" si="13"/>
        <v>1</v>
      </c>
      <c r="K15" s="159">
        <f t="shared" si="14"/>
        <v>30</v>
      </c>
    </row>
    <row r="16" spans="1:61" s="2" customFormat="1" ht="18">
      <c r="A16" s="93" t="s">
        <v>105</v>
      </c>
      <c r="B16" s="160">
        <v>1</v>
      </c>
      <c r="C16" s="159">
        <f t="shared" si="8"/>
        <v>30</v>
      </c>
      <c r="D16" s="160">
        <v>1</v>
      </c>
      <c r="E16" s="159">
        <f t="shared" si="9"/>
        <v>30</v>
      </c>
      <c r="F16" s="160">
        <v>1</v>
      </c>
      <c r="G16" s="159">
        <f t="shared" si="10"/>
        <v>30</v>
      </c>
      <c r="H16" s="160">
        <f t="shared" si="11"/>
        <v>1</v>
      </c>
      <c r="I16" s="159">
        <f t="shared" si="12"/>
        <v>30</v>
      </c>
      <c r="J16" s="160">
        <f t="shared" si="13"/>
        <v>1</v>
      </c>
      <c r="K16" s="159">
        <f t="shared" si="14"/>
        <v>30</v>
      </c>
    </row>
    <row r="17" spans="1:38" s="2" customFormat="1" ht="18">
      <c r="A17" s="93" t="s">
        <v>104</v>
      </c>
      <c r="B17" s="160">
        <v>1</v>
      </c>
      <c r="C17" s="159">
        <f t="shared" si="8"/>
        <v>30</v>
      </c>
      <c r="D17" s="160">
        <v>1</v>
      </c>
      <c r="E17" s="159">
        <f t="shared" si="9"/>
        <v>30</v>
      </c>
      <c r="F17" s="160">
        <v>1</v>
      </c>
      <c r="G17" s="159">
        <f t="shared" si="10"/>
        <v>30</v>
      </c>
      <c r="H17" s="160">
        <f t="shared" si="11"/>
        <v>1</v>
      </c>
      <c r="I17" s="159">
        <f t="shared" si="12"/>
        <v>30</v>
      </c>
      <c r="J17" s="160">
        <f t="shared" si="13"/>
        <v>1</v>
      </c>
      <c r="K17" s="159">
        <f t="shared" si="14"/>
        <v>30</v>
      </c>
    </row>
    <row r="18" spans="1:38" s="2" customFormat="1" ht="18">
      <c r="A18" s="177" t="s">
        <v>60</v>
      </c>
      <c r="B18" s="160">
        <v>1</v>
      </c>
      <c r="C18" s="159">
        <f t="shared" si="8"/>
        <v>30</v>
      </c>
      <c r="D18" s="160">
        <v>1</v>
      </c>
      <c r="E18" s="159">
        <f t="shared" si="9"/>
        <v>30</v>
      </c>
      <c r="F18" s="160">
        <v>1</v>
      </c>
      <c r="G18" s="159">
        <f t="shared" si="10"/>
        <v>30</v>
      </c>
      <c r="H18" s="160">
        <f t="shared" si="11"/>
        <v>1</v>
      </c>
      <c r="I18" s="159">
        <f t="shared" si="12"/>
        <v>30</v>
      </c>
      <c r="J18" s="160">
        <f t="shared" si="13"/>
        <v>1</v>
      </c>
      <c r="K18" s="159">
        <f t="shared" si="14"/>
        <v>30</v>
      </c>
    </row>
    <row r="19" spans="1:38" s="2" customFormat="1" ht="18">
      <c r="A19" s="177" t="s">
        <v>61</v>
      </c>
      <c r="B19" s="160">
        <v>5</v>
      </c>
      <c r="C19" s="159">
        <f t="shared" si="8"/>
        <v>150</v>
      </c>
      <c r="D19" s="160">
        <v>2</v>
      </c>
      <c r="E19" s="159">
        <f t="shared" si="9"/>
        <v>60</v>
      </c>
      <c r="F19" s="160">
        <v>1</v>
      </c>
      <c r="G19" s="159">
        <f t="shared" si="10"/>
        <v>30</v>
      </c>
      <c r="H19" s="160">
        <f t="shared" si="11"/>
        <v>4.5</v>
      </c>
      <c r="I19" s="159">
        <f t="shared" si="12"/>
        <v>135</v>
      </c>
      <c r="J19" s="160">
        <f t="shared" si="13"/>
        <v>4</v>
      </c>
      <c r="K19" s="159">
        <f t="shared" si="14"/>
        <v>120</v>
      </c>
    </row>
    <row r="20" spans="1:38" s="2" customFormat="1" ht="18">
      <c r="A20" s="177" t="s">
        <v>62</v>
      </c>
      <c r="B20" s="160">
        <v>8</v>
      </c>
      <c r="C20" s="159">
        <f t="shared" si="8"/>
        <v>240</v>
      </c>
      <c r="D20" s="160">
        <v>3</v>
      </c>
      <c r="E20" s="159">
        <f t="shared" si="9"/>
        <v>90</v>
      </c>
      <c r="F20" s="160">
        <v>1.5</v>
      </c>
      <c r="G20" s="159">
        <f t="shared" si="10"/>
        <v>45</v>
      </c>
      <c r="H20" s="160">
        <f t="shared" si="11"/>
        <v>7.166666666666667</v>
      </c>
      <c r="I20" s="159">
        <f t="shared" si="12"/>
        <v>215</v>
      </c>
      <c r="J20" s="160">
        <f t="shared" si="13"/>
        <v>6.3571428571428568</v>
      </c>
      <c r="K20" s="159">
        <f t="shared" si="14"/>
        <v>190.71428571428569</v>
      </c>
    </row>
    <row r="21" spans="1:38" s="2" customFormat="1" ht="18">
      <c r="A21" s="177" t="s">
        <v>63</v>
      </c>
      <c r="B21" s="160">
        <v>8</v>
      </c>
      <c r="C21" s="159">
        <f t="shared" si="8"/>
        <v>240</v>
      </c>
      <c r="D21" s="160">
        <v>6</v>
      </c>
      <c r="E21" s="159">
        <f t="shared" si="9"/>
        <v>180</v>
      </c>
      <c r="F21" s="160">
        <v>10</v>
      </c>
      <c r="G21" s="159">
        <f t="shared" si="10"/>
        <v>300</v>
      </c>
      <c r="H21" s="160">
        <f t="shared" si="11"/>
        <v>7.666666666666667</v>
      </c>
      <c r="I21" s="159">
        <f t="shared" si="12"/>
        <v>230</v>
      </c>
      <c r="J21" s="160">
        <f t="shared" si="13"/>
        <v>8</v>
      </c>
      <c r="K21" s="159">
        <f t="shared" si="14"/>
        <v>240</v>
      </c>
    </row>
    <row r="22" spans="1:38" s="2" customFormat="1" ht="18">
      <c r="A22" s="177" t="s">
        <v>64</v>
      </c>
      <c r="B22" s="160">
        <v>5</v>
      </c>
      <c r="C22" s="159">
        <f t="shared" si="8"/>
        <v>150</v>
      </c>
      <c r="D22" s="160">
        <v>6</v>
      </c>
      <c r="E22" s="159">
        <f t="shared" si="9"/>
        <v>180</v>
      </c>
      <c r="F22" s="160">
        <v>14</v>
      </c>
      <c r="G22" s="159">
        <f t="shared" si="10"/>
        <v>420</v>
      </c>
      <c r="H22" s="160">
        <f t="shared" si="11"/>
        <v>5.166666666666667</v>
      </c>
      <c r="I22" s="159">
        <f t="shared" si="12"/>
        <v>155</v>
      </c>
      <c r="J22" s="160">
        <f t="shared" si="13"/>
        <v>6.4285714285714288</v>
      </c>
      <c r="K22" s="159">
        <f t="shared" si="14"/>
        <v>192.85714285714286</v>
      </c>
    </row>
    <row r="23" spans="1:38" s="2" customFormat="1" ht="18">
      <c r="A23" s="177" t="s">
        <v>65</v>
      </c>
      <c r="B23" s="160">
        <v>5</v>
      </c>
      <c r="C23" s="159">
        <f t="shared" si="8"/>
        <v>150</v>
      </c>
      <c r="D23" s="160">
        <v>7</v>
      </c>
      <c r="E23" s="159">
        <f t="shared" si="9"/>
        <v>210</v>
      </c>
      <c r="F23" s="160">
        <v>7</v>
      </c>
      <c r="G23" s="159">
        <f t="shared" si="10"/>
        <v>210</v>
      </c>
      <c r="H23" s="160">
        <f t="shared" si="11"/>
        <v>5.333333333333333</v>
      </c>
      <c r="I23" s="159">
        <f t="shared" si="12"/>
        <v>160</v>
      </c>
      <c r="J23" s="160">
        <f t="shared" si="13"/>
        <v>5.5714285714285712</v>
      </c>
      <c r="K23" s="159">
        <f t="shared" si="14"/>
        <v>167.14285714285714</v>
      </c>
    </row>
    <row r="24" spans="1:38" s="2" customFormat="1" ht="18">
      <c r="A24" s="177" t="s">
        <v>66</v>
      </c>
      <c r="B24" s="160">
        <v>5</v>
      </c>
      <c r="C24" s="159">
        <f t="shared" si="8"/>
        <v>150</v>
      </c>
      <c r="D24" s="160">
        <v>8</v>
      </c>
      <c r="E24" s="159">
        <f t="shared" si="9"/>
        <v>240</v>
      </c>
      <c r="F24" s="160">
        <v>6</v>
      </c>
      <c r="G24" s="159">
        <f t="shared" si="10"/>
        <v>180</v>
      </c>
      <c r="H24" s="160">
        <f t="shared" si="11"/>
        <v>5.5</v>
      </c>
      <c r="I24" s="159">
        <f t="shared" si="12"/>
        <v>165</v>
      </c>
      <c r="J24" s="160">
        <f t="shared" si="13"/>
        <v>5.5714285714285712</v>
      </c>
      <c r="K24" s="159">
        <f t="shared" si="14"/>
        <v>167.14285714285714</v>
      </c>
    </row>
    <row r="25" spans="1:38" s="2" customFormat="1" ht="18">
      <c r="A25" s="177" t="s">
        <v>67</v>
      </c>
      <c r="B25" s="160">
        <v>5</v>
      </c>
      <c r="C25" s="159">
        <f t="shared" si="8"/>
        <v>150</v>
      </c>
      <c r="D25" s="160">
        <v>4</v>
      </c>
      <c r="E25" s="159">
        <f t="shared" si="9"/>
        <v>120</v>
      </c>
      <c r="F25" s="160">
        <v>5</v>
      </c>
      <c r="G25" s="159">
        <f t="shared" si="10"/>
        <v>150</v>
      </c>
      <c r="H25" s="160">
        <f t="shared" si="11"/>
        <v>4.833333333333333</v>
      </c>
      <c r="I25" s="159">
        <f t="shared" si="12"/>
        <v>145</v>
      </c>
      <c r="J25" s="160">
        <f t="shared" si="13"/>
        <v>4.8571428571428568</v>
      </c>
      <c r="K25" s="159">
        <f t="shared" si="14"/>
        <v>145.71428571428569</v>
      </c>
    </row>
    <row r="26" spans="1:38" s="2" customFormat="1" ht="18">
      <c r="A26" s="177" t="s">
        <v>68</v>
      </c>
      <c r="B26" s="160">
        <v>4</v>
      </c>
      <c r="C26" s="159">
        <f t="shared" si="8"/>
        <v>120</v>
      </c>
      <c r="D26" s="160">
        <v>4</v>
      </c>
      <c r="E26" s="159">
        <f t="shared" si="9"/>
        <v>120</v>
      </c>
      <c r="F26" s="160">
        <v>5</v>
      </c>
      <c r="G26" s="159">
        <f t="shared" si="10"/>
        <v>150</v>
      </c>
      <c r="H26" s="160">
        <f t="shared" si="11"/>
        <v>4</v>
      </c>
      <c r="I26" s="159">
        <f t="shared" si="12"/>
        <v>120</v>
      </c>
      <c r="J26" s="160">
        <f t="shared" si="13"/>
        <v>4.1428571428571432</v>
      </c>
      <c r="K26" s="159">
        <f t="shared" si="14"/>
        <v>124.28571428571429</v>
      </c>
    </row>
    <row r="27" spans="1:38" s="2" customFormat="1" ht="18">
      <c r="A27" s="177" t="s">
        <v>69</v>
      </c>
      <c r="B27" s="160">
        <v>4</v>
      </c>
      <c r="C27" s="159">
        <f t="shared" si="8"/>
        <v>120</v>
      </c>
      <c r="D27" s="160">
        <v>5</v>
      </c>
      <c r="E27" s="159">
        <f t="shared" si="9"/>
        <v>150</v>
      </c>
      <c r="F27" s="160">
        <v>5</v>
      </c>
      <c r="G27" s="159">
        <f t="shared" si="10"/>
        <v>150</v>
      </c>
      <c r="H27" s="160">
        <f t="shared" si="11"/>
        <v>4.166666666666667</v>
      </c>
      <c r="I27" s="159">
        <f t="shared" si="12"/>
        <v>125.00000000000001</v>
      </c>
      <c r="J27" s="160">
        <f t="shared" si="13"/>
        <v>4.2857142857142856</v>
      </c>
      <c r="K27" s="159">
        <f t="shared" si="14"/>
        <v>128.57142857142856</v>
      </c>
    </row>
    <row r="28" spans="1:38" s="2" customFormat="1" ht="18">
      <c r="A28" s="177" t="s">
        <v>70</v>
      </c>
      <c r="B28" s="160">
        <v>4</v>
      </c>
      <c r="C28" s="159">
        <f t="shared" si="8"/>
        <v>120</v>
      </c>
      <c r="D28" s="160">
        <v>5</v>
      </c>
      <c r="E28" s="159">
        <f t="shared" si="9"/>
        <v>150</v>
      </c>
      <c r="F28" s="160">
        <v>2</v>
      </c>
      <c r="G28" s="159">
        <f t="shared" si="10"/>
        <v>60</v>
      </c>
      <c r="H28" s="160">
        <f t="shared" si="11"/>
        <v>4.166666666666667</v>
      </c>
      <c r="I28" s="159">
        <f t="shared" si="12"/>
        <v>125.00000000000001</v>
      </c>
      <c r="J28" s="160">
        <f t="shared" si="13"/>
        <v>3.8571428571428572</v>
      </c>
      <c r="K28" s="159">
        <f t="shared" si="14"/>
        <v>115.71428571428572</v>
      </c>
      <c r="L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spans="1:38" s="2" customFormat="1" ht="18">
      <c r="A29" s="177" t="s">
        <v>71</v>
      </c>
      <c r="B29" s="160">
        <v>4</v>
      </c>
      <c r="C29" s="159">
        <f t="shared" si="8"/>
        <v>120</v>
      </c>
      <c r="D29" s="160">
        <v>5</v>
      </c>
      <c r="E29" s="159">
        <f t="shared" si="9"/>
        <v>150</v>
      </c>
      <c r="F29" s="160">
        <v>2</v>
      </c>
      <c r="G29" s="159">
        <f t="shared" si="10"/>
        <v>60</v>
      </c>
      <c r="H29" s="160">
        <f t="shared" si="11"/>
        <v>4.166666666666667</v>
      </c>
      <c r="I29" s="159">
        <f t="shared" si="12"/>
        <v>125.00000000000001</v>
      </c>
      <c r="J29" s="160">
        <f t="shared" si="13"/>
        <v>3.8571428571428572</v>
      </c>
      <c r="K29" s="159">
        <f t="shared" si="14"/>
        <v>115.71428571428572</v>
      </c>
      <c r="L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spans="1:38" s="2" customFormat="1" ht="18">
      <c r="A30" s="177" t="s">
        <v>72</v>
      </c>
      <c r="B30" s="160">
        <v>3</v>
      </c>
      <c r="C30" s="159">
        <f t="shared" si="8"/>
        <v>90</v>
      </c>
      <c r="D30" s="160">
        <v>5</v>
      </c>
      <c r="E30" s="159">
        <f t="shared" si="9"/>
        <v>150</v>
      </c>
      <c r="F30" s="160">
        <v>1.5</v>
      </c>
      <c r="G30" s="159">
        <f t="shared" si="10"/>
        <v>45</v>
      </c>
      <c r="H30" s="160">
        <f t="shared" si="11"/>
        <v>3.3333333333333335</v>
      </c>
      <c r="I30" s="159">
        <f t="shared" si="12"/>
        <v>100</v>
      </c>
      <c r="J30" s="160">
        <f t="shared" si="13"/>
        <v>3.0714285714285716</v>
      </c>
      <c r="K30" s="159">
        <f t="shared" si="14"/>
        <v>92.142857142857153</v>
      </c>
      <c r="L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1:38" s="2" customFormat="1" ht="18">
      <c r="A31" s="177" t="s">
        <v>73</v>
      </c>
      <c r="B31" s="160">
        <v>3</v>
      </c>
      <c r="C31" s="159">
        <f t="shared" si="8"/>
        <v>90</v>
      </c>
      <c r="D31" s="160">
        <v>2</v>
      </c>
      <c r="E31" s="159">
        <f t="shared" si="9"/>
        <v>60</v>
      </c>
      <c r="F31" s="160">
        <v>1</v>
      </c>
      <c r="G31" s="159">
        <f t="shared" si="10"/>
        <v>30</v>
      </c>
      <c r="H31" s="160">
        <f t="shared" si="11"/>
        <v>2.8333333333333335</v>
      </c>
      <c r="I31" s="159">
        <f t="shared" si="12"/>
        <v>85</v>
      </c>
      <c r="J31" s="160">
        <f t="shared" si="13"/>
        <v>2.5714285714285716</v>
      </c>
      <c r="K31" s="159">
        <f t="shared" si="14"/>
        <v>77.142857142857153</v>
      </c>
      <c r="L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s="2" customFormat="1" ht="18">
      <c r="A32" s="177" t="s">
        <v>74</v>
      </c>
      <c r="B32" s="160">
        <v>2</v>
      </c>
      <c r="C32" s="159">
        <f t="shared" si="8"/>
        <v>60</v>
      </c>
      <c r="D32" s="160">
        <v>2</v>
      </c>
      <c r="E32" s="159">
        <f t="shared" si="9"/>
        <v>60</v>
      </c>
      <c r="F32" s="160">
        <v>1</v>
      </c>
      <c r="G32" s="159">
        <f t="shared" si="10"/>
        <v>30</v>
      </c>
      <c r="H32" s="160">
        <f t="shared" si="11"/>
        <v>2</v>
      </c>
      <c r="I32" s="159">
        <f t="shared" si="12"/>
        <v>60</v>
      </c>
      <c r="J32" s="160">
        <f t="shared" si="13"/>
        <v>1.8571428571428572</v>
      </c>
      <c r="K32" s="159">
        <f t="shared" si="14"/>
        <v>55.714285714285715</v>
      </c>
      <c r="L32" s="165"/>
      <c r="O32" s="22"/>
      <c r="P32" s="22"/>
      <c r="Q32" s="167"/>
      <c r="R32" s="166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s="2" customFormat="1" ht="18">
      <c r="A33" s="177" t="s">
        <v>75</v>
      </c>
      <c r="B33" s="160">
        <v>1.5</v>
      </c>
      <c r="C33" s="159">
        <f t="shared" si="8"/>
        <v>45</v>
      </c>
      <c r="D33" s="160">
        <v>1</v>
      </c>
      <c r="E33" s="159">
        <f t="shared" si="9"/>
        <v>30</v>
      </c>
      <c r="F33" s="160">
        <v>1</v>
      </c>
      <c r="G33" s="159">
        <f t="shared" si="10"/>
        <v>30</v>
      </c>
      <c r="H33" s="160">
        <f t="shared" si="11"/>
        <v>1.4166666666666667</v>
      </c>
      <c r="I33" s="159">
        <f t="shared" si="12"/>
        <v>42.5</v>
      </c>
      <c r="J33" s="160">
        <f t="shared" si="13"/>
        <v>1.3571428571428572</v>
      </c>
      <c r="K33" s="159">
        <f t="shared" si="14"/>
        <v>40.714285714285715</v>
      </c>
      <c r="L33" s="165"/>
      <c r="O33" s="22"/>
      <c r="P33" s="22"/>
      <c r="Q33" s="167"/>
      <c r="R33" s="166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s="2" customFormat="1" ht="18">
      <c r="A34" s="177" t="s">
        <v>76</v>
      </c>
      <c r="B34" s="160">
        <v>1</v>
      </c>
      <c r="C34" s="159">
        <f t="shared" si="8"/>
        <v>30</v>
      </c>
      <c r="D34" s="160">
        <v>1</v>
      </c>
      <c r="E34" s="159">
        <f t="shared" si="9"/>
        <v>30</v>
      </c>
      <c r="F34" s="160">
        <v>1</v>
      </c>
      <c r="G34" s="159">
        <f t="shared" si="10"/>
        <v>30</v>
      </c>
      <c r="H34" s="160">
        <f t="shared" si="11"/>
        <v>1</v>
      </c>
      <c r="I34" s="159">
        <f t="shared" si="12"/>
        <v>30</v>
      </c>
      <c r="J34" s="160">
        <f t="shared" si="13"/>
        <v>1</v>
      </c>
      <c r="K34" s="159">
        <f t="shared" si="14"/>
        <v>30</v>
      </c>
      <c r="L34" s="165"/>
      <c r="O34" s="22"/>
      <c r="P34" s="22"/>
      <c r="Q34" s="167"/>
      <c r="R34" s="166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s="2" customFormat="1" ht="18">
      <c r="A35" s="176" t="s">
        <v>77</v>
      </c>
      <c r="B35" s="156">
        <v>1</v>
      </c>
      <c r="C35" s="159">
        <f t="shared" si="8"/>
        <v>30</v>
      </c>
      <c r="D35" s="156">
        <v>1</v>
      </c>
      <c r="E35" s="159">
        <f t="shared" si="9"/>
        <v>30</v>
      </c>
      <c r="F35" s="156">
        <v>1</v>
      </c>
      <c r="G35" s="159">
        <f t="shared" si="10"/>
        <v>30</v>
      </c>
      <c r="H35" s="156">
        <f t="shared" si="11"/>
        <v>1</v>
      </c>
      <c r="I35" s="159">
        <f t="shared" si="12"/>
        <v>30</v>
      </c>
      <c r="J35" s="156">
        <f t="shared" si="13"/>
        <v>1</v>
      </c>
      <c r="K35" s="159">
        <f t="shared" si="14"/>
        <v>30</v>
      </c>
      <c r="L35" s="165"/>
      <c r="O35" s="22"/>
      <c r="P35" s="22"/>
      <c r="Q35" s="167"/>
      <c r="R35" s="166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s="2" customFormat="1" ht="18.75" thickBot="1">
      <c r="A36" s="175" t="s">
        <v>78</v>
      </c>
      <c r="B36" s="153">
        <v>1</v>
      </c>
      <c r="C36" s="159">
        <f t="shared" si="8"/>
        <v>30</v>
      </c>
      <c r="D36" s="153">
        <v>1</v>
      </c>
      <c r="E36" s="159">
        <f t="shared" si="9"/>
        <v>30</v>
      </c>
      <c r="F36" s="153">
        <v>1</v>
      </c>
      <c r="G36" s="159">
        <f t="shared" si="10"/>
        <v>30</v>
      </c>
      <c r="H36" s="153">
        <f t="shared" si="11"/>
        <v>1</v>
      </c>
      <c r="I36" s="159">
        <f t="shared" si="12"/>
        <v>30</v>
      </c>
      <c r="J36" s="153">
        <f t="shared" si="13"/>
        <v>1</v>
      </c>
      <c r="K36" s="159">
        <f t="shared" si="14"/>
        <v>30</v>
      </c>
      <c r="L36" s="165"/>
      <c r="O36" s="22"/>
      <c r="P36" s="22"/>
      <c r="Q36" s="167"/>
      <c r="R36" s="166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s="3" customFormat="1" ht="27.75" customHeight="1" thickBot="1">
      <c r="A37" s="174" t="s">
        <v>79</v>
      </c>
      <c r="B37" s="173">
        <f>SUM(B19:B30)/12</f>
        <v>5</v>
      </c>
      <c r="C37" s="173">
        <f t="shared" si="8"/>
        <v>150</v>
      </c>
      <c r="D37" s="173">
        <f>SUM(D19:D30)/12</f>
        <v>5</v>
      </c>
      <c r="E37" s="173">
        <f t="shared" si="9"/>
        <v>150</v>
      </c>
      <c r="F37" s="173">
        <f>SUM(F19:F30)/12</f>
        <v>5</v>
      </c>
      <c r="G37" s="173">
        <f t="shared" si="10"/>
        <v>150</v>
      </c>
      <c r="H37" s="173">
        <f>SUM(H19:H30)/12</f>
        <v>5</v>
      </c>
      <c r="I37" s="173">
        <f t="shared" ref="I37:I78" si="15">((5*C37)+E37)/6</f>
        <v>150</v>
      </c>
      <c r="J37" s="173">
        <f>SUM(J19:J30)/12</f>
        <v>4.9999999999999991</v>
      </c>
      <c r="K37" s="173">
        <f t="shared" ref="K37:K78" si="16">((5*C37)+E37+G37)/7</f>
        <v>150</v>
      </c>
      <c r="L37" s="165"/>
      <c r="O37" s="158"/>
      <c r="P37" s="158"/>
      <c r="Q37" s="167"/>
      <c r="R37" s="166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</row>
    <row r="38" spans="1:38" s="3" customFormat="1" ht="21.75" customHeight="1">
      <c r="A38" s="172" t="s">
        <v>80</v>
      </c>
      <c r="B38" s="171">
        <f>SUM(B18:B22)/5</f>
        <v>5.4</v>
      </c>
      <c r="C38" s="170">
        <f t="shared" si="8"/>
        <v>162</v>
      </c>
      <c r="D38" s="171">
        <f>SUM(D18:D22)/5</f>
        <v>3.6</v>
      </c>
      <c r="E38" s="170">
        <f t="shared" si="9"/>
        <v>108</v>
      </c>
      <c r="F38" s="171">
        <f>SUM(F18:F22)/5</f>
        <v>5.5</v>
      </c>
      <c r="G38" s="170">
        <f t="shared" si="10"/>
        <v>165</v>
      </c>
      <c r="H38" s="171">
        <f>SUM(H18:H22)/5</f>
        <v>5.1000000000000005</v>
      </c>
      <c r="I38" s="170">
        <f t="shared" si="15"/>
        <v>153</v>
      </c>
      <c r="J38" s="171">
        <f>SUM(J18:J22)/5</f>
        <v>5.1571428571428566</v>
      </c>
      <c r="K38" s="170">
        <f t="shared" si="16"/>
        <v>154.71428571428572</v>
      </c>
      <c r="L38" s="165"/>
      <c r="O38" s="158"/>
      <c r="P38" s="158"/>
      <c r="Q38" s="167"/>
      <c r="R38" s="166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</row>
    <row r="39" spans="1:38" s="3" customFormat="1" ht="21.75" customHeight="1">
      <c r="A39" s="858" t="s">
        <v>167</v>
      </c>
      <c r="B39" s="160">
        <f>SUM(B18:B34)/17</f>
        <v>4.0294117647058822</v>
      </c>
      <c r="C39" s="159">
        <f t="shared" ref="C39" si="17">IF(AND($C$7&gt;=$P$5,$C$7&lt;=$R$5),B39*$C$7*$T$5/100,IF(AND($C$7&gt;=$P$4,$C$7&lt;=$R$4),B39*$C$7*$T$4/100,IF(AND($C$7&gt;=$P$3,$C$7&lt;=$R$3),B39*$C$7*$T$3/100,IF($C$7&gt;=$P$6,B39*$C$7*$T$6/100))))</f>
        <v>120.88235294117646</v>
      </c>
      <c r="D39" s="160">
        <f>SUM(D18:D34)/17</f>
        <v>3.9411764705882355</v>
      </c>
      <c r="E39" s="159">
        <f t="shared" ref="E39" si="18">IF(AND($C$7&gt;=$P$5,$C$7&lt;=$R$5),D39*$C$7*$T$5/100,IF(AND($C$7&gt;=$P$4,$C$7&lt;=$R$4),D39*$C$7*$T$4/100,IF(AND($C$7&gt;=$P$3,$C$7&lt;=$R$3),D39*$C$7*$T$3/100,IF($C$7&gt;=$P$6,D39*$C$7*$T$6/100))))</f>
        <v>118.23529411764706</v>
      </c>
      <c r="F39" s="160">
        <f>SUM(F18:F34)/17</f>
        <v>3.8235294117647061</v>
      </c>
      <c r="G39" s="159">
        <f t="shared" ref="G39" si="19">IF(AND($C$7&gt;=$P$5,$C$7&lt;=$R$5),F39*$C$7*$T$5/100,IF(AND($C$7&gt;=$P$4,$C$7&lt;=$R$4),F39*$C$7*$T$4/100,IF(AND($C$7&gt;=$P$3,$C$7&lt;=$R$3),F39*$C$7*$T$3/100,IF($C$7&gt;=$P$6,F39*$C$7*$T$6/100))))</f>
        <v>114.70588235294119</v>
      </c>
      <c r="H39" s="160">
        <f>SUM(H18:H34)/17</f>
        <v>4.014705882352942</v>
      </c>
      <c r="I39" s="159">
        <f t="shared" ref="I39" si="20">((5*C39)+E39)/6</f>
        <v>120.44117647058823</v>
      </c>
      <c r="J39" s="160">
        <f>SUM(J18:J34)/17</f>
        <v>3.9873949579831929</v>
      </c>
      <c r="K39" s="159">
        <f t="shared" ref="K39" si="21">((5*C39)+E39+G39)/7</f>
        <v>119.6218487394958</v>
      </c>
      <c r="L39" s="165"/>
      <c r="O39" s="158"/>
      <c r="P39" s="158"/>
      <c r="Q39" s="167"/>
      <c r="R39" s="166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</row>
    <row r="40" spans="1:38" s="3" customFormat="1" ht="21.75" customHeight="1">
      <c r="A40" s="161" t="s">
        <v>102</v>
      </c>
      <c r="B40" s="160">
        <f>SUM(B18:B36)/19</f>
        <v>3.7105263157894739</v>
      </c>
      <c r="C40" s="159">
        <f t="shared" si="8"/>
        <v>111.31578947368422</v>
      </c>
      <c r="D40" s="160">
        <f>SUM(D18:D36)/19</f>
        <v>3.6315789473684212</v>
      </c>
      <c r="E40" s="159">
        <f t="shared" si="9"/>
        <v>108.94736842105263</v>
      </c>
      <c r="F40" s="160">
        <f>SUM(F18:F36)/19</f>
        <v>3.5263157894736841</v>
      </c>
      <c r="G40" s="159">
        <f t="shared" si="10"/>
        <v>105.78947368421052</v>
      </c>
      <c r="H40" s="160">
        <f>SUM(H18:H36)/19</f>
        <v>3.6973684210526323</v>
      </c>
      <c r="I40" s="159">
        <f t="shared" si="15"/>
        <v>110.92105263157895</v>
      </c>
      <c r="J40" s="160">
        <f>SUM(J18:J36)/19</f>
        <v>3.6729323308270674</v>
      </c>
      <c r="K40" s="159">
        <f t="shared" si="16"/>
        <v>110.18796992481202</v>
      </c>
      <c r="L40" s="165"/>
      <c r="O40" s="158"/>
      <c r="P40" s="158"/>
      <c r="Q40" s="167"/>
      <c r="R40" s="166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</row>
    <row r="41" spans="1:38" s="3" customFormat="1" ht="21.75" customHeight="1">
      <c r="A41" s="161" t="s">
        <v>81</v>
      </c>
      <c r="B41" s="160">
        <f>SUM(B19:B21)/3</f>
        <v>7</v>
      </c>
      <c r="C41" s="159">
        <f t="shared" si="8"/>
        <v>210</v>
      </c>
      <c r="D41" s="160">
        <f>SUM(D19:D21)/3</f>
        <v>3.6666666666666665</v>
      </c>
      <c r="E41" s="159">
        <f t="shared" si="9"/>
        <v>110</v>
      </c>
      <c r="F41" s="160">
        <f>SUM(F19:F21)/3</f>
        <v>4.166666666666667</v>
      </c>
      <c r="G41" s="159">
        <f t="shared" si="10"/>
        <v>125.00000000000001</v>
      </c>
      <c r="H41" s="160">
        <f>SUM(H19:H21)/3</f>
        <v>6.4444444444444455</v>
      </c>
      <c r="I41" s="159">
        <f t="shared" si="15"/>
        <v>193.33333333333334</v>
      </c>
      <c r="J41" s="160">
        <f>SUM(J19:J21)/3</f>
        <v>6.1190476190476195</v>
      </c>
      <c r="K41" s="159">
        <f t="shared" si="16"/>
        <v>183.57142857142858</v>
      </c>
      <c r="L41" s="165"/>
      <c r="N41" s="169"/>
      <c r="O41" s="158"/>
      <c r="P41" s="158"/>
      <c r="Q41" s="167"/>
      <c r="R41" s="166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</row>
    <row r="42" spans="1:38" s="3" customFormat="1" ht="21.75" customHeight="1">
      <c r="A42" s="161" t="s">
        <v>82</v>
      </c>
      <c r="B42" s="160">
        <f>SUM(B19:B22)/4</f>
        <v>6.5</v>
      </c>
      <c r="C42" s="159">
        <f t="shared" si="8"/>
        <v>195</v>
      </c>
      <c r="D42" s="160">
        <f>SUM(D19:D22)/4</f>
        <v>4.25</v>
      </c>
      <c r="E42" s="159">
        <f t="shared" si="9"/>
        <v>127.5</v>
      </c>
      <c r="F42" s="160">
        <f>SUM(F19:F22)/4</f>
        <v>6.625</v>
      </c>
      <c r="G42" s="159">
        <f t="shared" si="10"/>
        <v>198.75</v>
      </c>
      <c r="H42" s="160">
        <f>SUM(H19:H22)/4</f>
        <v>6.1250000000000009</v>
      </c>
      <c r="I42" s="159">
        <f t="shared" si="15"/>
        <v>183.75</v>
      </c>
      <c r="J42" s="160">
        <f>SUM(J19:J22)/4</f>
        <v>6.1964285714285712</v>
      </c>
      <c r="K42" s="159">
        <f t="shared" si="16"/>
        <v>185.89285714285714</v>
      </c>
      <c r="L42" s="165"/>
      <c r="N42" s="168"/>
      <c r="O42" s="158"/>
      <c r="P42" s="158"/>
      <c r="Q42" s="167"/>
      <c r="R42" s="166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</row>
    <row r="43" spans="1:38" s="3" customFormat="1" ht="21.75" customHeight="1">
      <c r="A43" s="161" t="s">
        <v>154</v>
      </c>
      <c r="B43" s="160">
        <f>SUM(B19:B26)/8</f>
        <v>5.625</v>
      </c>
      <c r="C43" s="159">
        <f t="shared" si="8"/>
        <v>168.75</v>
      </c>
      <c r="D43" s="160">
        <f>SUM(D19:D26)/8</f>
        <v>5</v>
      </c>
      <c r="E43" s="159">
        <f t="shared" si="9"/>
        <v>150</v>
      </c>
      <c r="F43" s="160">
        <f>SUM(F19:F26)/8</f>
        <v>6.1875</v>
      </c>
      <c r="G43" s="159">
        <f t="shared" si="10"/>
        <v>185.625</v>
      </c>
      <c r="H43" s="160">
        <f>SUM(H19:H26)/8</f>
        <v>5.5208333333333339</v>
      </c>
      <c r="I43" s="159">
        <f t="shared" ref="I43" si="22">((5*C43)+E43)/6</f>
        <v>165.625</v>
      </c>
      <c r="J43" s="160">
        <f>SUM(J19:J26)/8</f>
        <v>5.6160714285714279</v>
      </c>
      <c r="K43" s="159">
        <f t="shared" ref="K43" si="23">((5*C43)+E43+G43)/7</f>
        <v>168.48214285714286</v>
      </c>
      <c r="L43" s="165"/>
      <c r="N43" s="168"/>
      <c r="O43" s="158"/>
      <c r="P43" s="158"/>
      <c r="Q43" s="167"/>
      <c r="R43" s="166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</row>
    <row r="44" spans="1:38" s="3" customFormat="1" ht="21.75" customHeight="1">
      <c r="A44" s="161" t="s">
        <v>83</v>
      </c>
      <c r="B44" s="160">
        <f>SUM(B19:B31)/13</f>
        <v>4.8461538461538458</v>
      </c>
      <c r="C44" s="159">
        <f t="shared" si="8"/>
        <v>145.38461538461539</v>
      </c>
      <c r="D44" s="160">
        <f>SUM(D19:D31)/13</f>
        <v>4.7692307692307692</v>
      </c>
      <c r="E44" s="159">
        <f t="shared" si="9"/>
        <v>143.07692307692307</v>
      </c>
      <c r="F44" s="160">
        <f>SUM(F19:F31)/13</f>
        <v>4.6923076923076925</v>
      </c>
      <c r="G44" s="159">
        <f t="shared" si="10"/>
        <v>140.76923076923077</v>
      </c>
      <c r="H44" s="160">
        <f>SUM(H19:H31)/13</f>
        <v>4.8333333333333339</v>
      </c>
      <c r="I44" s="159">
        <f t="shared" si="15"/>
        <v>145</v>
      </c>
      <c r="J44" s="160">
        <f>SUM(J19:J31)/13</f>
        <v>4.8131868131868121</v>
      </c>
      <c r="K44" s="159">
        <f t="shared" si="16"/>
        <v>144.39560439560438</v>
      </c>
      <c r="L44" s="165"/>
      <c r="O44" s="158"/>
      <c r="P44" s="158"/>
      <c r="Q44" s="167"/>
      <c r="R44" s="166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</row>
    <row r="45" spans="1:38" s="3" customFormat="1" ht="21.75" customHeight="1">
      <c r="A45" s="161" t="s">
        <v>84</v>
      </c>
      <c r="B45" s="160">
        <f>SUM(B19:B32)/14</f>
        <v>4.6428571428571432</v>
      </c>
      <c r="C45" s="159">
        <f t="shared" si="8"/>
        <v>139.28571428571431</v>
      </c>
      <c r="D45" s="160">
        <f>SUM(D19:D32)/14</f>
        <v>4.5714285714285712</v>
      </c>
      <c r="E45" s="159">
        <f t="shared" si="9"/>
        <v>137.14285714285714</v>
      </c>
      <c r="F45" s="160">
        <f>SUM(F19:F32)/14</f>
        <v>4.4285714285714288</v>
      </c>
      <c r="G45" s="159">
        <f t="shared" si="10"/>
        <v>132.85714285714286</v>
      </c>
      <c r="H45" s="160">
        <f>SUM(H19:H32)/14</f>
        <v>4.6309523809523814</v>
      </c>
      <c r="I45" s="159">
        <f t="shared" si="15"/>
        <v>138.92857142857144</v>
      </c>
      <c r="J45" s="160">
        <f>SUM(J19:J32)/14</f>
        <v>4.6020408163265296</v>
      </c>
      <c r="K45" s="159">
        <f t="shared" si="16"/>
        <v>138.06122448979593</v>
      </c>
      <c r="L45" s="165"/>
      <c r="O45" s="158"/>
      <c r="P45" s="158"/>
      <c r="Q45" s="167"/>
      <c r="R45" s="166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</row>
    <row r="46" spans="1:38" s="3" customFormat="1" ht="21.75" customHeight="1">
      <c r="A46" s="161" t="s">
        <v>85</v>
      </c>
      <c r="B46" s="160">
        <f>SUM(B19:B34)/16</f>
        <v>4.21875</v>
      </c>
      <c r="C46" s="159">
        <f t="shared" ref="C46:C78" si="24">IF(AND($C$7&gt;=$P$5,$C$7&lt;=$R$5),B46*$C$7*$T$5/100,IF(AND($C$7&gt;=$P$4,$C$7&lt;=$R$4),B46*$C$7*$T$4/100,IF(AND($C$7&gt;=$P$3,$C$7&lt;=$R$3),B46*$C$7*$T$3/100,IF($C$7&gt;=$P$6,B46*$C$7*$T$6/100))))</f>
        <v>126.5625</v>
      </c>
      <c r="D46" s="160">
        <f>SUM(D19:D34)/16</f>
        <v>4.125</v>
      </c>
      <c r="E46" s="159">
        <f t="shared" ref="E46:E78" si="25">IF(AND($C$7&gt;=$P$5,$C$7&lt;=$R$5),D46*$C$7*$T$5/100,IF(AND($C$7&gt;=$P$4,$C$7&lt;=$R$4),D46*$C$7*$T$4/100,IF(AND($C$7&gt;=$P$3,$C$7&lt;=$R$3),D46*$C$7*$T$3/100,IF($C$7&gt;=$P$6,D46*$C$7*$T$6/100))))</f>
        <v>123.75</v>
      </c>
      <c r="F46" s="160">
        <f>SUM(F19:F34)/16</f>
        <v>4</v>
      </c>
      <c r="G46" s="159">
        <f t="shared" ref="G46:G78" si="26">IF(AND($C$7&gt;=$P$5,$C$7&lt;=$R$5),F46*$C$7*$T$5/100,IF(AND($C$7&gt;=$P$4,$C$7&lt;=$R$4),F46*$C$7*$T$4/100,IF(AND($C$7&gt;=$P$3,$C$7&lt;=$R$3),F46*$C$7*$T$3/100,IF($C$7&gt;=$P$6,F46*$C$7*$T$6/100))))</f>
        <v>120</v>
      </c>
      <c r="H46" s="160">
        <f>SUM(H19:H34)/16</f>
        <v>4.2031250000000009</v>
      </c>
      <c r="I46" s="159">
        <f t="shared" si="15"/>
        <v>126.09375</v>
      </c>
      <c r="J46" s="160">
        <f>SUM(J19:J34)/16</f>
        <v>4.1741071428571423</v>
      </c>
      <c r="K46" s="159">
        <f t="shared" si="16"/>
        <v>125.22321428571429</v>
      </c>
      <c r="L46" s="165"/>
      <c r="O46" s="158"/>
      <c r="P46" s="158"/>
      <c r="Q46" s="167"/>
      <c r="R46" s="166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</row>
    <row r="47" spans="1:38" s="3" customFormat="1" ht="21.75" customHeight="1">
      <c r="A47" s="161" t="s">
        <v>115</v>
      </c>
      <c r="B47" s="160">
        <f>SUM(B19:B36)/18</f>
        <v>3.8611111111111112</v>
      </c>
      <c r="C47" s="159">
        <f t="shared" si="24"/>
        <v>115.83333333333331</v>
      </c>
      <c r="D47" s="160">
        <f>SUM(D19:D36)/18</f>
        <v>3.7777777777777777</v>
      </c>
      <c r="E47" s="159">
        <f t="shared" si="25"/>
        <v>113.33333333333331</v>
      </c>
      <c r="F47" s="160">
        <f>SUM(F19:F36)/18</f>
        <v>3.6666666666666665</v>
      </c>
      <c r="G47" s="159">
        <f t="shared" si="26"/>
        <v>110</v>
      </c>
      <c r="H47" s="160">
        <f>SUM(H19:H36)/18</f>
        <v>3.8472222222222232</v>
      </c>
      <c r="I47" s="159">
        <f t="shared" si="15"/>
        <v>115.41666666666663</v>
      </c>
      <c r="J47" s="160">
        <f>SUM(J19:J36)/18</f>
        <v>3.8214285714285712</v>
      </c>
      <c r="K47" s="159">
        <f t="shared" si="16"/>
        <v>114.64285714285711</v>
      </c>
      <c r="L47" s="165"/>
      <c r="O47" s="158"/>
      <c r="P47" s="158"/>
      <c r="Q47" s="167"/>
      <c r="R47" s="166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</row>
    <row r="48" spans="1:38" s="3" customFormat="1" ht="21.75" customHeight="1">
      <c r="A48" s="161" t="s">
        <v>122</v>
      </c>
      <c r="B48" s="535">
        <f>SUM(B20:B36)/17</f>
        <v>3.7941176470588234</v>
      </c>
      <c r="C48" s="159">
        <f t="shared" si="24"/>
        <v>113.8235294117647</v>
      </c>
      <c r="D48" s="160">
        <f>SUM(D20:D36)/17</f>
        <v>3.8823529411764706</v>
      </c>
      <c r="E48" s="159">
        <f t="shared" si="25"/>
        <v>116.4705882352941</v>
      </c>
      <c r="F48" s="160">
        <f>SUM(F20:F36)/17</f>
        <v>3.8235294117647061</v>
      </c>
      <c r="G48" s="159">
        <f t="shared" si="26"/>
        <v>114.70588235294119</v>
      </c>
      <c r="H48" s="160">
        <f>SUM(H20:H36)/17</f>
        <v>3.8088235294117645</v>
      </c>
      <c r="I48" s="159">
        <f t="shared" si="15"/>
        <v>114.26470588235293</v>
      </c>
      <c r="J48" s="160">
        <f>SUM(J20:J36)/17</f>
        <v>3.8109243697478981</v>
      </c>
      <c r="K48" s="159">
        <f t="shared" si="16"/>
        <v>114.32773109243696</v>
      </c>
      <c r="L48" s="165"/>
      <c r="O48" s="158"/>
      <c r="P48" s="158"/>
      <c r="Q48" s="167"/>
      <c r="R48" s="166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</row>
    <row r="49" spans="1:38" s="3" customFormat="1" ht="21.75" customHeight="1">
      <c r="A49" s="161" t="s">
        <v>86</v>
      </c>
      <c r="B49" s="160">
        <f>SUM(B21:B25)/5</f>
        <v>5.6</v>
      </c>
      <c r="C49" s="159">
        <f t="shared" si="24"/>
        <v>168</v>
      </c>
      <c r="D49" s="160">
        <f>SUM(D21:D25)/5</f>
        <v>6.2</v>
      </c>
      <c r="E49" s="159">
        <f t="shared" si="25"/>
        <v>186</v>
      </c>
      <c r="F49" s="160">
        <f>SUM(F21:F25)/5</f>
        <v>8.4</v>
      </c>
      <c r="G49" s="159">
        <f t="shared" si="26"/>
        <v>252</v>
      </c>
      <c r="H49" s="160">
        <f>SUM(H21:H25)/5</f>
        <v>5.7</v>
      </c>
      <c r="I49" s="159">
        <f t="shared" si="15"/>
        <v>171</v>
      </c>
      <c r="J49" s="160">
        <f>SUM(J21:J25)/5</f>
        <v>6.0857142857142854</v>
      </c>
      <c r="K49" s="159">
        <f t="shared" si="16"/>
        <v>182.57142857142858</v>
      </c>
      <c r="L49" s="165"/>
      <c r="O49" s="158"/>
      <c r="P49" s="158"/>
      <c r="Q49" s="167"/>
      <c r="R49" s="166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</row>
    <row r="50" spans="1:38" s="3" customFormat="1" ht="21.75" customHeight="1">
      <c r="A50" s="161" t="s">
        <v>87</v>
      </c>
      <c r="B50" s="160">
        <f>SUM(B21:B30)/10</f>
        <v>4.7</v>
      </c>
      <c r="C50" s="159">
        <f t="shared" si="24"/>
        <v>141</v>
      </c>
      <c r="D50" s="160">
        <f>SUM(D21:D30)/10</f>
        <v>5.5</v>
      </c>
      <c r="E50" s="159">
        <f t="shared" si="25"/>
        <v>165</v>
      </c>
      <c r="F50" s="160">
        <f>SUM(F21:F30)/10</f>
        <v>5.75</v>
      </c>
      <c r="G50" s="159">
        <f t="shared" si="26"/>
        <v>172.5</v>
      </c>
      <c r="H50" s="160">
        <f>SUM(H21:H30)/10</f>
        <v>4.833333333333333</v>
      </c>
      <c r="I50" s="159">
        <f t="shared" si="15"/>
        <v>145</v>
      </c>
      <c r="J50" s="160">
        <f>SUM(J21:J30)/10</f>
        <v>4.9642857142857135</v>
      </c>
      <c r="K50" s="159">
        <f t="shared" si="16"/>
        <v>148.92857142857142</v>
      </c>
      <c r="L50" s="165"/>
      <c r="O50" s="158"/>
      <c r="P50" s="158"/>
      <c r="Q50" s="167"/>
      <c r="R50" s="166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</row>
    <row r="51" spans="1:38" s="3" customFormat="1" ht="21.75" customHeight="1">
      <c r="A51" s="161" t="s">
        <v>100</v>
      </c>
      <c r="B51" s="160">
        <f>SUM(B21:B31)/11</f>
        <v>4.5454545454545459</v>
      </c>
      <c r="C51" s="159">
        <f t="shared" si="24"/>
        <v>136.36363636363637</v>
      </c>
      <c r="D51" s="160">
        <f>SUM(D21:D31)/11</f>
        <v>5.1818181818181817</v>
      </c>
      <c r="E51" s="159">
        <f t="shared" si="25"/>
        <v>155.45454545454544</v>
      </c>
      <c r="F51" s="160">
        <f>SUM(F21:F31)/11</f>
        <v>5.3181818181818183</v>
      </c>
      <c r="G51" s="159">
        <f t="shared" si="26"/>
        <v>159.54545454545456</v>
      </c>
      <c r="H51" s="160">
        <f>SUM(H21:H31)/11</f>
        <v>4.6515151515151514</v>
      </c>
      <c r="I51" s="159">
        <f t="shared" si="15"/>
        <v>139.54545454545453</v>
      </c>
      <c r="J51" s="160">
        <f>SUM(J21:J31)/11</f>
        <v>4.7467532467532454</v>
      </c>
      <c r="K51" s="159">
        <f t="shared" si="16"/>
        <v>142.40259740259739</v>
      </c>
      <c r="L51" s="165"/>
      <c r="O51" s="158"/>
      <c r="P51" s="158"/>
      <c r="Q51" s="167"/>
      <c r="R51" s="166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</row>
    <row r="52" spans="1:38" s="3" customFormat="1" ht="21.75" customHeight="1">
      <c r="A52" s="161" t="s">
        <v>88</v>
      </c>
      <c r="B52" s="160">
        <f>SUM(B21:B32)/12</f>
        <v>4.333333333333333</v>
      </c>
      <c r="C52" s="159">
        <f t="shared" si="24"/>
        <v>130</v>
      </c>
      <c r="D52" s="160">
        <f>SUM(D21:D32)/12</f>
        <v>4.916666666666667</v>
      </c>
      <c r="E52" s="159">
        <f t="shared" si="25"/>
        <v>147.5</v>
      </c>
      <c r="F52" s="160">
        <f>SUM(F21:F32)/12</f>
        <v>4.958333333333333</v>
      </c>
      <c r="G52" s="159">
        <f t="shared" si="26"/>
        <v>148.75</v>
      </c>
      <c r="H52" s="160">
        <f>SUM(H21:H32)/12</f>
        <v>4.4305555555555554</v>
      </c>
      <c r="I52" s="159">
        <f t="shared" si="15"/>
        <v>132.91666666666666</v>
      </c>
      <c r="J52" s="160">
        <f>SUM(J21:J32)/12</f>
        <v>4.5059523809523796</v>
      </c>
      <c r="K52" s="159">
        <f t="shared" si="16"/>
        <v>135.17857142857142</v>
      </c>
      <c r="L52" s="165"/>
      <c r="O52" s="158"/>
      <c r="P52" s="158"/>
      <c r="Q52" s="167"/>
      <c r="R52" s="166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</row>
    <row r="53" spans="1:38" s="3" customFormat="1" ht="21.75" customHeight="1">
      <c r="A53" s="161" t="s">
        <v>89</v>
      </c>
      <c r="B53" s="160">
        <f>SUM(B21:B34)/14</f>
        <v>3.8928571428571428</v>
      </c>
      <c r="C53" s="159">
        <f t="shared" si="24"/>
        <v>116.78571428571428</v>
      </c>
      <c r="D53" s="160">
        <f>SUM(D21:D34)/14</f>
        <v>4.3571428571428568</v>
      </c>
      <c r="E53" s="159">
        <f t="shared" si="25"/>
        <v>130.71428571428569</v>
      </c>
      <c r="F53" s="160">
        <f>SUM(F21:F34)/14</f>
        <v>4.3928571428571432</v>
      </c>
      <c r="G53" s="159">
        <f t="shared" si="26"/>
        <v>131.78571428571431</v>
      </c>
      <c r="H53" s="160">
        <f>SUM(H21:H34)/14</f>
        <v>3.9702380952380949</v>
      </c>
      <c r="I53" s="159">
        <f t="shared" si="15"/>
        <v>119.10714285714283</v>
      </c>
      <c r="J53" s="160">
        <f>SUM(J21:J34)/14</f>
        <v>4.0306122448979576</v>
      </c>
      <c r="K53" s="159">
        <f t="shared" si="16"/>
        <v>120.91836734693877</v>
      </c>
      <c r="L53" s="165"/>
      <c r="O53" s="158"/>
      <c r="P53" s="158"/>
      <c r="Q53" s="167"/>
      <c r="R53" s="166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</row>
    <row r="54" spans="1:38" s="3" customFormat="1" ht="21.75" customHeight="1">
      <c r="A54" s="161" t="s">
        <v>138</v>
      </c>
      <c r="B54" s="160">
        <f>SUM(B21:B36)/16</f>
        <v>3.53125</v>
      </c>
      <c r="C54" s="159">
        <f t="shared" si="24"/>
        <v>105.9375</v>
      </c>
      <c r="D54" s="160">
        <f>SUM(D21:D36)/16</f>
        <v>3.9375</v>
      </c>
      <c r="E54" s="159">
        <f t="shared" si="25"/>
        <v>118.125</v>
      </c>
      <c r="F54" s="160">
        <f>SUM(F21:F36)/16</f>
        <v>3.96875</v>
      </c>
      <c r="G54" s="159">
        <f t="shared" si="26"/>
        <v>119.0625</v>
      </c>
      <c r="H54" s="160">
        <f>SUM(H21:H36)/16</f>
        <v>3.598958333333333</v>
      </c>
      <c r="I54" s="159">
        <f t="shared" si="15"/>
        <v>107.96875</v>
      </c>
      <c r="J54" s="160">
        <f>SUM(J21:J36)/16</f>
        <v>3.6517857142857131</v>
      </c>
      <c r="K54" s="159">
        <f t="shared" si="16"/>
        <v>109.55357142857143</v>
      </c>
      <c r="L54" s="165"/>
      <c r="O54" s="158"/>
      <c r="P54" s="158"/>
      <c r="Q54" s="167"/>
      <c r="R54" s="166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</row>
    <row r="55" spans="1:38" s="3" customFormat="1" ht="21.75" customHeight="1">
      <c r="A55" s="161" t="s">
        <v>124</v>
      </c>
      <c r="B55" s="160">
        <f>SUM(B22:B36)/15</f>
        <v>3.2333333333333334</v>
      </c>
      <c r="C55" s="159">
        <f t="shared" si="24"/>
        <v>97</v>
      </c>
      <c r="D55" s="160">
        <f>SUM(D22:D36)/15</f>
        <v>3.8</v>
      </c>
      <c r="E55" s="159">
        <f t="shared" si="25"/>
        <v>114</v>
      </c>
      <c r="F55" s="160">
        <f>SUM(F22:F36)/15</f>
        <v>3.5666666666666669</v>
      </c>
      <c r="G55" s="159">
        <f t="shared" si="26"/>
        <v>107</v>
      </c>
      <c r="H55" s="160">
        <f>SUM(H22:H36)/15</f>
        <v>3.3277777777777775</v>
      </c>
      <c r="I55" s="159">
        <f t="shared" ref="I55:I56" si="27">((5*C55)+E55)/6</f>
        <v>99.833333333333329</v>
      </c>
      <c r="J55" s="160">
        <f>SUM(J22:J36)/15</f>
        <v>3.3619047619047606</v>
      </c>
      <c r="K55" s="159">
        <f t="shared" ref="K55:K56" si="28">((5*C55)+E55+G55)/7</f>
        <v>100.85714285714286</v>
      </c>
      <c r="L55" s="165"/>
      <c r="O55" s="158"/>
      <c r="P55" s="158"/>
      <c r="Q55" s="167"/>
      <c r="R55" s="166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</row>
    <row r="56" spans="1:38" s="3" customFormat="1" ht="21.75" customHeight="1">
      <c r="A56" s="161" t="s">
        <v>157</v>
      </c>
      <c r="B56" s="160">
        <f>SUM(B23:B27)/5</f>
        <v>4.5999999999999996</v>
      </c>
      <c r="C56" s="159">
        <f t="shared" si="24"/>
        <v>138</v>
      </c>
      <c r="D56" s="160">
        <f>SUM(D23:D27)/5</f>
        <v>5.6</v>
      </c>
      <c r="E56" s="159">
        <f t="shared" si="25"/>
        <v>168</v>
      </c>
      <c r="F56" s="160">
        <f>SUM(F23:F27)/5</f>
        <v>5.6</v>
      </c>
      <c r="G56" s="159">
        <f t="shared" si="26"/>
        <v>168</v>
      </c>
      <c r="H56" s="160">
        <f>SUM(H23:H27)/5</f>
        <v>4.7666666666666666</v>
      </c>
      <c r="I56" s="159">
        <f t="shared" si="27"/>
        <v>143</v>
      </c>
      <c r="J56" s="160">
        <f>SUM(J23:J27)/5</f>
        <v>4.8857142857142852</v>
      </c>
      <c r="K56" s="159">
        <f t="shared" si="28"/>
        <v>146.57142857142858</v>
      </c>
      <c r="L56" s="165"/>
      <c r="O56" s="158"/>
      <c r="P56" s="158"/>
      <c r="Q56" s="167"/>
      <c r="R56" s="166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</row>
    <row r="57" spans="1:38" s="3" customFormat="1" ht="21.75" customHeight="1">
      <c r="A57" s="161" t="s">
        <v>90</v>
      </c>
      <c r="B57" s="160">
        <f>SUM(B23:B28)/6</f>
        <v>4.5</v>
      </c>
      <c r="C57" s="159">
        <f t="shared" si="24"/>
        <v>135</v>
      </c>
      <c r="D57" s="160">
        <f>SUM(D23:D28)/6</f>
        <v>5.5</v>
      </c>
      <c r="E57" s="159">
        <f t="shared" si="25"/>
        <v>165</v>
      </c>
      <c r="F57" s="160">
        <f>SUM(F23:F28)/6</f>
        <v>5</v>
      </c>
      <c r="G57" s="159">
        <f t="shared" si="26"/>
        <v>150</v>
      </c>
      <c r="H57" s="160">
        <f>SUM(H23:H28)/6</f>
        <v>4.666666666666667</v>
      </c>
      <c r="I57" s="159">
        <f t="shared" si="15"/>
        <v>140</v>
      </c>
      <c r="J57" s="160">
        <f>SUM(J23:J28)/6</f>
        <v>4.7142857142857144</v>
      </c>
      <c r="K57" s="159">
        <f t="shared" si="16"/>
        <v>141.42857142857142</v>
      </c>
      <c r="L57" s="165"/>
      <c r="O57" s="158"/>
      <c r="P57" s="158"/>
      <c r="Q57" s="167"/>
      <c r="R57" s="166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</row>
    <row r="58" spans="1:38" s="3" customFormat="1" ht="21.75" customHeight="1">
      <c r="A58" s="161" t="s">
        <v>91</v>
      </c>
      <c r="B58" s="160">
        <f>SUM(B23:B30)/8</f>
        <v>4.25</v>
      </c>
      <c r="C58" s="159">
        <f t="shared" si="24"/>
        <v>127.5</v>
      </c>
      <c r="D58" s="160">
        <f>SUM(D23:D30)/8</f>
        <v>5.375</v>
      </c>
      <c r="E58" s="159">
        <f t="shared" si="25"/>
        <v>161.25</v>
      </c>
      <c r="F58" s="160">
        <f>SUM(F23:F30)/8</f>
        <v>4.1875</v>
      </c>
      <c r="G58" s="159">
        <f t="shared" si="26"/>
        <v>125.625</v>
      </c>
      <c r="H58" s="160">
        <f>SUM(H23:H30)/8</f>
        <v>4.4375</v>
      </c>
      <c r="I58" s="159">
        <f t="shared" si="15"/>
        <v>133.125</v>
      </c>
      <c r="J58" s="160">
        <f>SUM(J23:J30)/8</f>
        <v>4.4017857142857135</v>
      </c>
      <c r="K58" s="159">
        <f t="shared" si="16"/>
        <v>132.05357142857142</v>
      </c>
      <c r="L58" s="162"/>
      <c r="O58" s="158"/>
      <c r="P58" s="158"/>
      <c r="Q58" s="164"/>
      <c r="R58" s="163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</row>
    <row r="59" spans="1:38" s="3" customFormat="1" ht="21.75" customHeight="1">
      <c r="A59" s="161" t="s">
        <v>99</v>
      </c>
      <c r="B59" s="160">
        <f>SUM(B23:B31)/9</f>
        <v>4.1111111111111107</v>
      </c>
      <c r="C59" s="159">
        <f t="shared" si="24"/>
        <v>123.33333333333331</v>
      </c>
      <c r="D59" s="160">
        <f>SUM(D23:D31)/9</f>
        <v>5</v>
      </c>
      <c r="E59" s="159">
        <f t="shared" si="25"/>
        <v>150</v>
      </c>
      <c r="F59" s="160">
        <f>SUM(F23:F31)/9</f>
        <v>3.8333333333333335</v>
      </c>
      <c r="G59" s="159">
        <f t="shared" si="26"/>
        <v>115</v>
      </c>
      <c r="H59" s="160">
        <f>SUM(H23:H31)/9</f>
        <v>4.2592592592592595</v>
      </c>
      <c r="I59" s="159">
        <f t="shared" si="15"/>
        <v>127.77777777777776</v>
      </c>
      <c r="J59" s="160">
        <f>SUM(J23:J31)/9</f>
        <v>4.1984126984126977</v>
      </c>
      <c r="K59" s="159">
        <f t="shared" si="16"/>
        <v>125.95238095238093</v>
      </c>
      <c r="L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</row>
    <row r="60" spans="1:38" s="3" customFormat="1" ht="21.75" customHeight="1">
      <c r="A60" s="161" t="s">
        <v>92</v>
      </c>
      <c r="B60" s="160">
        <f>SUM(B23:B32)/10</f>
        <v>3.9</v>
      </c>
      <c r="C60" s="159">
        <f t="shared" si="24"/>
        <v>117</v>
      </c>
      <c r="D60" s="160">
        <f>SUM(D23:D32)/10</f>
        <v>4.7</v>
      </c>
      <c r="E60" s="159">
        <f t="shared" si="25"/>
        <v>141</v>
      </c>
      <c r="F60" s="160">
        <f>SUM(F23:F32)/10</f>
        <v>3.55</v>
      </c>
      <c r="G60" s="159">
        <f t="shared" si="26"/>
        <v>106.5</v>
      </c>
      <c r="H60" s="160">
        <f>SUM(H23:H32)/10</f>
        <v>4.0333333333333332</v>
      </c>
      <c r="I60" s="159">
        <f t="shared" si="15"/>
        <v>121</v>
      </c>
      <c r="J60" s="160">
        <f>SUM(J23:J32)/10</f>
        <v>3.9642857142857131</v>
      </c>
      <c r="K60" s="159">
        <f t="shared" si="16"/>
        <v>118.92857142857143</v>
      </c>
      <c r="L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</row>
    <row r="61" spans="1:38" s="3" customFormat="1" ht="21.75" customHeight="1">
      <c r="A61" s="157" t="s">
        <v>93</v>
      </c>
      <c r="B61" s="156">
        <f>SUM(B23:B34)/12</f>
        <v>3.4583333333333335</v>
      </c>
      <c r="C61" s="155">
        <f t="shared" si="24"/>
        <v>103.75</v>
      </c>
      <c r="D61" s="156">
        <f>SUM(D23:D34)/12</f>
        <v>4.083333333333333</v>
      </c>
      <c r="E61" s="155">
        <f t="shared" si="25"/>
        <v>122.49999999999999</v>
      </c>
      <c r="F61" s="156">
        <f>SUM(F23:F34)/12</f>
        <v>3.125</v>
      </c>
      <c r="G61" s="155">
        <f t="shared" si="26"/>
        <v>93.75</v>
      </c>
      <c r="H61" s="156">
        <f>SUM(H23:H34)/12</f>
        <v>3.5625</v>
      </c>
      <c r="I61" s="155">
        <f t="shared" si="15"/>
        <v>106.875</v>
      </c>
      <c r="J61" s="156">
        <f>SUM(J23:J34)/12</f>
        <v>3.4999999999999987</v>
      </c>
      <c r="K61" s="155">
        <f t="shared" si="16"/>
        <v>105</v>
      </c>
    </row>
    <row r="62" spans="1:38" s="3" customFormat="1" ht="21.75" customHeight="1">
      <c r="A62" s="157" t="s">
        <v>108</v>
      </c>
      <c r="B62" s="156">
        <f>SUM(B23:B36)/14</f>
        <v>3.1071428571428572</v>
      </c>
      <c r="C62" s="155">
        <f t="shared" si="24"/>
        <v>93.214285714285722</v>
      </c>
      <c r="D62" s="156">
        <f>SUM(D23:D36)/14</f>
        <v>3.6428571428571428</v>
      </c>
      <c r="E62" s="155">
        <f t="shared" si="25"/>
        <v>109.28571428571428</v>
      </c>
      <c r="F62" s="156">
        <f>SUM(F23:F36)/14</f>
        <v>2.8214285714285716</v>
      </c>
      <c r="G62" s="155">
        <f t="shared" si="26"/>
        <v>84.642857142857153</v>
      </c>
      <c r="H62" s="156">
        <f>SUM(H23:H36)/14</f>
        <v>3.1964285714285716</v>
      </c>
      <c r="I62" s="155">
        <f t="shared" si="15"/>
        <v>95.892857142857153</v>
      </c>
      <c r="J62" s="156">
        <f>SUM(J23:J36)/14</f>
        <v>3.1428571428571419</v>
      </c>
      <c r="K62" s="155">
        <f t="shared" si="16"/>
        <v>94.285714285714292</v>
      </c>
    </row>
    <row r="63" spans="1:38" s="3" customFormat="1" ht="21.75" customHeight="1">
      <c r="A63" s="157" t="s">
        <v>150</v>
      </c>
      <c r="B63" s="156">
        <f>SUM(B25:B36)/12</f>
        <v>2.7916666666666665</v>
      </c>
      <c r="C63" s="155">
        <f t="shared" si="24"/>
        <v>83.75</v>
      </c>
      <c r="D63" s="156">
        <f>SUM(D25:D36)/12</f>
        <v>3</v>
      </c>
      <c r="E63" s="155">
        <f t="shared" si="25"/>
        <v>90</v>
      </c>
      <c r="F63" s="156">
        <f>SUM(F25:F36)/12</f>
        <v>2.2083333333333335</v>
      </c>
      <c r="G63" s="155">
        <f t="shared" si="26"/>
        <v>66.25</v>
      </c>
      <c r="H63" s="156">
        <f>SUM(H25:H36)/12</f>
        <v>2.8263888888888893</v>
      </c>
      <c r="I63" s="155">
        <f t="shared" ref="I63:I65" si="29">((5*C63)+E63)/6</f>
        <v>84.791666666666671</v>
      </c>
      <c r="J63" s="156">
        <f>SUM(J25:J36)/12</f>
        <v>2.7380952380952386</v>
      </c>
      <c r="K63" s="155">
        <f t="shared" ref="K63:K65" si="30">((5*C63)+E63+G63)/7</f>
        <v>82.142857142857139</v>
      </c>
    </row>
    <row r="64" spans="1:38" s="3" customFormat="1" ht="21.75" customHeight="1">
      <c r="A64" s="157" t="s">
        <v>165</v>
      </c>
      <c r="B64" s="156">
        <f>SUM(B27:B31)/5</f>
        <v>3.6</v>
      </c>
      <c r="C64" s="155">
        <f t="shared" si="24"/>
        <v>108</v>
      </c>
      <c r="D64" s="156">
        <f>SUM(D27:D31)/5</f>
        <v>4.4000000000000004</v>
      </c>
      <c r="E64" s="155">
        <f t="shared" si="25"/>
        <v>132</v>
      </c>
      <c r="F64" s="156">
        <f>SUM(F27:F31)/5</f>
        <v>2.2999999999999998</v>
      </c>
      <c r="G64" s="155">
        <f t="shared" si="26"/>
        <v>69</v>
      </c>
      <c r="H64" s="156">
        <f>SUM(H27:H31)/5</f>
        <v>3.7333333333333334</v>
      </c>
      <c r="I64" s="155">
        <f t="shared" ref="I64" si="31">((5*C64)+E64)/6</f>
        <v>112</v>
      </c>
      <c r="J64" s="156">
        <f>SUM(J27:J31)/5</f>
        <v>3.5285714285714285</v>
      </c>
      <c r="K64" s="155">
        <f t="shared" ref="K64" si="32">((5*C64)+E64+G64)/7</f>
        <v>105.85714285714286</v>
      </c>
    </row>
    <row r="65" spans="1:11" s="3" customFormat="1" ht="21.75" customHeight="1">
      <c r="A65" s="157" t="s">
        <v>151</v>
      </c>
      <c r="B65" s="156">
        <f>SUM(B27:B32)/6</f>
        <v>3.3333333333333335</v>
      </c>
      <c r="C65" s="155">
        <f t="shared" si="24"/>
        <v>100</v>
      </c>
      <c r="D65" s="156">
        <f>SUM(D27:D32)/6</f>
        <v>4</v>
      </c>
      <c r="E65" s="155">
        <f t="shared" si="25"/>
        <v>120</v>
      </c>
      <c r="F65" s="156">
        <f>SUM(F27:F32)/6</f>
        <v>2.0833333333333335</v>
      </c>
      <c r="G65" s="155">
        <f t="shared" si="26"/>
        <v>62.500000000000007</v>
      </c>
      <c r="H65" s="156">
        <f>SUM(H27:H32)/6</f>
        <v>3.4444444444444446</v>
      </c>
      <c r="I65" s="155">
        <f t="shared" si="29"/>
        <v>103.33333333333333</v>
      </c>
      <c r="J65" s="156">
        <f>SUM(J27:J32)/6</f>
        <v>3.25</v>
      </c>
      <c r="K65" s="155">
        <f t="shared" si="30"/>
        <v>97.5</v>
      </c>
    </row>
    <row r="66" spans="1:11" s="3" customFormat="1" ht="21.75" customHeight="1">
      <c r="A66" s="157" t="s">
        <v>149</v>
      </c>
      <c r="B66" s="156">
        <f>SUM(B27:B34)/8</f>
        <v>2.8125</v>
      </c>
      <c r="C66" s="155">
        <f t="shared" si="24"/>
        <v>84.375</v>
      </c>
      <c r="D66" s="156">
        <f>SUM(D27:D34)/8</f>
        <v>3.25</v>
      </c>
      <c r="E66" s="155">
        <f t="shared" si="25"/>
        <v>97.5</v>
      </c>
      <c r="F66" s="156">
        <f>SUM(F27:F34)/8</f>
        <v>1.8125</v>
      </c>
      <c r="G66" s="155">
        <f t="shared" si="26"/>
        <v>54.375</v>
      </c>
      <c r="H66" s="156">
        <f>SUM(H27:H34)/8</f>
        <v>2.885416666666667</v>
      </c>
      <c r="I66" s="155">
        <f t="shared" ref="I66" si="33">((5*C66)+E66)/6</f>
        <v>86.5625</v>
      </c>
      <c r="J66" s="156">
        <f>SUM(J27:J34)/8</f>
        <v>2.7321428571428572</v>
      </c>
      <c r="K66" s="155">
        <f t="shared" ref="K66" si="34">((5*C66)+E66+G66)/7</f>
        <v>81.964285714285708</v>
      </c>
    </row>
    <row r="67" spans="1:11" s="3" customFormat="1" ht="21.75" customHeight="1">
      <c r="A67" s="157" t="s">
        <v>152</v>
      </c>
      <c r="B67" s="156">
        <f>SUM(B27:B36)/10</f>
        <v>2.4500000000000002</v>
      </c>
      <c r="C67" s="155">
        <f t="shared" si="24"/>
        <v>73.5</v>
      </c>
      <c r="D67" s="156">
        <f>SUM(D27:D36)/10</f>
        <v>2.8</v>
      </c>
      <c r="E67" s="155">
        <f t="shared" si="25"/>
        <v>84</v>
      </c>
      <c r="F67" s="156">
        <f>SUM(F27:F36)/10</f>
        <v>1.65</v>
      </c>
      <c r="G67" s="155">
        <f t="shared" si="26"/>
        <v>49.5</v>
      </c>
      <c r="H67" s="156">
        <f>SUM(H27:H36)/10</f>
        <v>2.5083333333333337</v>
      </c>
      <c r="I67" s="155">
        <f t="shared" ref="I67:I69" si="35">((5*C67)+E67)/6</f>
        <v>75.25</v>
      </c>
      <c r="J67" s="156">
        <f>SUM(J27:J36)/10</f>
        <v>2.3857142857142857</v>
      </c>
      <c r="K67" s="155">
        <f t="shared" ref="K67:K69" si="36">((5*C67)+E67+G67)/7</f>
        <v>71.571428571428569</v>
      </c>
    </row>
    <row r="68" spans="1:11" s="3" customFormat="1" ht="21.75" customHeight="1">
      <c r="A68" s="157" t="s">
        <v>156</v>
      </c>
      <c r="B68" s="156">
        <f>SUM(B28:B33)/6</f>
        <v>2.9166666666666665</v>
      </c>
      <c r="C68" s="155">
        <f t="shared" si="24"/>
        <v>87.5</v>
      </c>
      <c r="D68" s="156">
        <f>SUM(D28:D33)/6</f>
        <v>3.3333333333333335</v>
      </c>
      <c r="E68" s="155">
        <f t="shared" si="25"/>
        <v>100</v>
      </c>
      <c r="F68" s="156">
        <f>SUM(F28:F33)/6</f>
        <v>1.4166666666666667</v>
      </c>
      <c r="G68" s="155">
        <f t="shared" si="26"/>
        <v>42.5</v>
      </c>
      <c r="H68" s="156">
        <f>SUM(H28:H33)/6</f>
        <v>2.9861111111111112</v>
      </c>
      <c r="I68" s="155">
        <f t="shared" si="35"/>
        <v>89.583333333333329</v>
      </c>
      <c r="J68" s="156">
        <f>SUM(J28:J33)/6</f>
        <v>2.7619047619047623</v>
      </c>
      <c r="K68" s="155">
        <f t="shared" si="36"/>
        <v>82.857142857142861</v>
      </c>
    </row>
    <row r="69" spans="1:11" s="3" customFormat="1" ht="21.75" customHeight="1">
      <c r="A69" s="157" t="s">
        <v>155</v>
      </c>
      <c r="B69" s="156">
        <f>SUM(B28:B34)/7</f>
        <v>2.6428571428571428</v>
      </c>
      <c r="C69" s="155">
        <f t="shared" si="24"/>
        <v>79.285714285714278</v>
      </c>
      <c r="D69" s="156">
        <f>SUM(D28:D34)/7</f>
        <v>3</v>
      </c>
      <c r="E69" s="155">
        <f t="shared" si="25"/>
        <v>90</v>
      </c>
      <c r="F69" s="156">
        <f>SUM(F28:F34)/7</f>
        <v>1.3571428571428572</v>
      </c>
      <c r="G69" s="155">
        <f t="shared" si="26"/>
        <v>40.714285714285715</v>
      </c>
      <c r="H69" s="156">
        <f>SUM(H28:H34)/7</f>
        <v>2.7023809523809526</v>
      </c>
      <c r="I69" s="155">
        <f t="shared" si="35"/>
        <v>81.071428571428569</v>
      </c>
      <c r="J69" s="156">
        <f>SUM(J28:J34)/7</f>
        <v>2.5102040816326534</v>
      </c>
      <c r="K69" s="155">
        <f t="shared" si="36"/>
        <v>75.306122448979593</v>
      </c>
    </row>
    <row r="70" spans="1:11" s="3" customFormat="1" ht="21.75" customHeight="1">
      <c r="A70" s="157" t="s">
        <v>158</v>
      </c>
      <c r="B70" s="156">
        <f>SUM(B28:B36)/9</f>
        <v>2.2777777777777777</v>
      </c>
      <c r="C70" s="155">
        <f t="shared" si="24"/>
        <v>68.333333333333329</v>
      </c>
      <c r="D70" s="156">
        <f>SUM(D28:D36)/9</f>
        <v>2.5555555555555554</v>
      </c>
      <c r="E70" s="155">
        <f t="shared" si="25"/>
        <v>76.666666666666657</v>
      </c>
      <c r="F70" s="156">
        <f>SUM(F28:F36)/9</f>
        <v>1.2777777777777777</v>
      </c>
      <c r="G70" s="155">
        <f t="shared" si="26"/>
        <v>38.333333333333329</v>
      </c>
      <c r="H70" s="156">
        <f>SUM(H28:H36)/9</f>
        <v>2.3240740740740744</v>
      </c>
      <c r="I70" s="155">
        <f t="shared" ref="I70" si="37">((5*C70)+E70)/6</f>
        <v>69.722222222222214</v>
      </c>
      <c r="J70" s="156">
        <f>SUM(J28:J36)/9</f>
        <v>2.1746031746031749</v>
      </c>
      <c r="K70" s="155">
        <f t="shared" ref="K70" si="38">((5*C70)+E70+G70)/7</f>
        <v>65.238095238095227</v>
      </c>
    </row>
    <row r="71" spans="1:11" s="3" customFormat="1" ht="21.75" customHeight="1">
      <c r="A71" s="157" t="s">
        <v>168</v>
      </c>
      <c r="B71" s="156">
        <f>SUM(B29:B31)/3</f>
        <v>3.3333333333333335</v>
      </c>
      <c r="C71" s="155">
        <f t="shared" ref="C71" si="39">IF(AND($C$7&gt;=$P$5,$C$7&lt;=$R$5),B71*$C$7*$T$5/100,IF(AND($C$7&gt;=$P$4,$C$7&lt;=$R$4),B71*$C$7*$T$4/100,IF(AND($C$7&gt;=$P$3,$C$7&lt;=$R$3),B71*$C$7*$T$3/100,IF($C$7&gt;=$P$6,B71*$C$7*$T$6/100))))</f>
        <v>100</v>
      </c>
      <c r="D71" s="156">
        <f>SUM(D29:D31)/3</f>
        <v>4</v>
      </c>
      <c r="E71" s="155">
        <f t="shared" ref="E71" si="40">IF(AND($C$7&gt;=$P$5,$C$7&lt;=$R$5),D71*$C$7*$T$5/100,IF(AND($C$7&gt;=$P$4,$C$7&lt;=$R$4),D71*$C$7*$T$4/100,IF(AND($C$7&gt;=$P$3,$C$7&lt;=$R$3),D71*$C$7*$T$3/100,IF($C$7&gt;=$P$6,D71*$C$7*$T$6/100))))</f>
        <v>120</v>
      </c>
      <c r="F71" s="156">
        <f>SUM(F29:F31)/3</f>
        <v>1.5</v>
      </c>
      <c r="G71" s="155">
        <f t="shared" ref="G71" si="41">IF(AND($C$7&gt;=$P$5,$C$7&lt;=$R$5),F71*$C$7*$T$5/100,IF(AND($C$7&gt;=$P$4,$C$7&lt;=$R$4),F71*$C$7*$T$4/100,IF(AND($C$7&gt;=$P$3,$C$7&lt;=$R$3),F71*$C$7*$T$3/100,IF($C$7&gt;=$P$6,F71*$C$7*$T$6/100))))</f>
        <v>45</v>
      </c>
      <c r="H71" s="156">
        <f>SUM(H29:H31)/3</f>
        <v>3.4444444444444446</v>
      </c>
      <c r="I71" s="155">
        <f t="shared" ref="I71" si="42">((5*C71)+E71)/6</f>
        <v>103.33333333333333</v>
      </c>
      <c r="J71" s="156">
        <f>SUM(J29:J31)/3</f>
        <v>3.1666666666666665</v>
      </c>
      <c r="K71" s="155">
        <f t="shared" ref="K71" si="43">((5*C71)+E71+G71)/7</f>
        <v>95</v>
      </c>
    </row>
    <row r="72" spans="1:11" s="3" customFormat="1" ht="21.75" customHeight="1">
      <c r="A72" s="157" t="s">
        <v>166</v>
      </c>
      <c r="B72" s="156">
        <f>SUM(B30:B31)/2</f>
        <v>3</v>
      </c>
      <c r="C72" s="155">
        <f t="shared" si="24"/>
        <v>90</v>
      </c>
      <c r="D72" s="156">
        <f>SUM(D30:D31)/2</f>
        <v>3.5</v>
      </c>
      <c r="E72" s="155">
        <f t="shared" si="25"/>
        <v>105</v>
      </c>
      <c r="F72" s="156">
        <f>SUM(F30:F31)/2</f>
        <v>1.25</v>
      </c>
      <c r="G72" s="155">
        <f t="shared" si="26"/>
        <v>37.5</v>
      </c>
      <c r="H72" s="156">
        <f>SUM(H30:H31)/2</f>
        <v>3.0833333333333335</v>
      </c>
      <c r="I72" s="155">
        <f t="shared" ref="I72" si="44">((5*C72)+E72)/6</f>
        <v>92.5</v>
      </c>
      <c r="J72" s="156">
        <f>SUM(J30:J31)/2</f>
        <v>2.8214285714285716</v>
      </c>
      <c r="K72" s="155">
        <f t="shared" ref="K72" si="45">((5*C72)+E72+G72)/7</f>
        <v>84.642857142857139</v>
      </c>
    </row>
    <row r="73" spans="1:11" s="2" customFormat="1" ht="21.75" customHeight="1">
      <c r="A73" s="157" t="s">
        <v>101</v>
      </c>
      <c r="B73" s="156">
        <f>SUM(B30:B33)/4</f>
        <v>2.375</v>
      </c>
      <c r="C73" s="155">
        <f t="shared" si="24"/>
        <v>71.25</v>
      </c>
      <c r="D73" s="156">
        <f>SUM(D30:D33)/4</f>
        <v>2.5</v>
      </c>
      <c r="E73" s="155">
        <f t="shared" si="25"/>
        <v>75</v>
      </c>
      <c r="F73" s="156">
        <f>SUM(F30:F33)/4</f>
        <v>1.125</v>
      </c>
      <c r="G73" s="155">
        <f t="shared" si="26"/>
        <v>33.75</v>
      </c>
      <c r="H73" s="156">
        <f>SUM(H30:H33)/4</f>
        <v>2.3958333333333335</v>
      </c>
      <c r="I73" s="155">
        <f t="shared" si="15"/>
        <v>71.875</v>
      </c>
      <c r="J73" s="156">
        <f>SUM(J30:J33)/4</f>
        <v>2.2142857142857144</v>
      </c>
      <c r="K73" s="155">
        <f t="shared" si="16"/>
        <v>66.428571428571431</v>
      </c>
    </row>
    <row r="74" spans="1:11" s="2" customFormat="1" ht="21.75" customHeight="1">
      <c r="A74" s="157" t="s">
        <v>123</v>
      </c>
      <c r="B74" s="156">
        <f>SUM(B31:B33)/3</f>
        <v>2.1666666666666665</v>
      </c>
      <c r="C74" s="155">
        <f t="shared" si="24"/>
        <v>65</v>
      </c>
      <c r="D74" s="156">
        <f>SUM(D31:D33)/3</f>
        <v>1.6666666666666667</v>
      </c>
      <c r="E74" s="155">
        <f t="shared" si="25"/>
        <v>50</v>
      </c>
      <c r="F74" s="156">
        <f>SUM(F31:F33)/3</f>
        <v>1</v>
      </c>
      <c r="G74" s="155">
        <f t="shared" si="26"/>
        <v>30</v>
      </c>
      <c r="H74" s="156">
        <f>SUM(H31:H33)/3</f>
        <v>2.0833333333333335</v>
      </c>
      <c r="I74" s="155">
        <f t="shared" si="15"/>
        <v>62.5</v>
      </c>
      <c r="J74" s="156">
        <f>SUM(J31:J33)/3</f>
        <v>1.9285714285714288</v>
      </c>
      <c r="K74" s="155">
        <f t="shared" si="16"/>
        <v>57.857142857142854</v>
      </c>
    </row>
    <row r="75" spans="1:11" ht="21.75" customHeight="1">
      <c r="A75" s="157" t="s">
        <v>94</v>
      </c>
      <c r="B75" s="156">
        <f>SUM(B31:B34)/4</f>
        <v>1.875</v>
      </c>
      <c r="C75" s="155">
        <f t="shared" si="24"/>
        <v>56.25</v>
      </c>
      <c r="D75" s="156">
        <f>SUM(D31:D34)/4</f>
        <v>1.5</v>
      </c>
      <c r="E75" s="155">
        <f t="shared" si="25"/>
        <v>45</v>
      </c>
      <c r="F75" s="156">
        <f>SUM(F31:F34)/4</f>
        <v>1</v>
      </c>
      <c r="G75" s="155">
        <f t="shared" si="26"/>
        <v>30</v>
      </c>
      <c r="H75" s="156">
        <f>SUM(H31:H34)/4</f>
        <v>1.8125000000000002</v>
      </c>
      <c r="I75" s="155">
        <f t="shared" si="15"/>
        <v>54.375</v>
      </c>
      <c r="J75" s="156">
        <f>SUM(J31:J34)/4</f>
        <v>1.6964285714285716</v>
      </c>
      <c r="K75" s="155">
        <f t="shared" si="16"/>
        <v>50.892857142857146</v>
      </c>
    </row>
    <row r="76" spans="1:11" ht="21.75" customHeight="1">
      <c r="A76" s="157" t="s">
        <v>95</v>
      </c>
      <c r="B76" s="156">
        <f>SUM(B31:B36)/6</f>
        <v>1.5833333333333333</v>
      </c>
      <c r="C76" s="155">
        <f t="shared" si="24"/>
        <v>47.5</v>
      </c>
      <c r="D76" s="156">
        <f>SUM(D31:D36)/6</f>
        <v>1.3333333333333333</v>
      </c>
      <c r="E76" s="155">
        <f t="shared" si="25"/>
        <v>40</v>
      </c>
      <c r="F76" s="156">
        <f>SUM(F31:F36)/6</f>
        <v>1</v>
      </c>
      <c r="G76" s="155">
        <f t="shared" si="26"/>
        <v>30</v>
      </c>
      <c r="H76" s="156">
        <f>SUM(H31:H36)/6</f>
        <v>1.5416666666666667</v>
      </c>
      <c r="I76" s="155">
        <f t="shared" si="15"/>
        <v>46.25</v>
      </c>
      <c r="J76" s="156">
        <f>SUM(J31:J36)/6</f>
        <v>1.4642857142857144</v>
      </c>
      <c r="K76" s="155">
        <f t="shared" si="16"/>
        <v>43.928571428571431</v>
      </c>
    </row>
    <row r="77" spans="1:11" ht="21.75" customHeight="1">
      <c r="A77" s="157" t="s">
        <v>96</v>
      </c>
      <c r="B77" s="156">
        <f>SUM(B32:B36)/5</f>
        <v>1.3</v>
      </c>
      <c r="C77" s="155">
        <f t="shared" si="24"/>
        <v>39</v>
      </c>
      <c r="D77" s="156">
        <f>SUM(D32:D36)/5</f>
        <v>1.2</v>
      </c>
      <c r="E77" s="155">
        <f t="shared" si="25"/>
        <v>36</v>
      </c>
      <c r="F77" s="156">
        <f>SUM(F32:F36)/5</f>
        <v>1</v>
      </c>
      <c r="G77" s="155">
        <f t="shared" si="26"/>
        <v>30</v>
      </c>
      <c r="H77" s="156">
        <f>SUM(H32:H36)/5</f>
        <v>1.2833333333333334</v>
      </c>
      <c r="I77" s="155">
        <f t="shared" si="15"/>
        <v>38.5</v>
      </c>
      <c r="J77" s="156">
        <f>SUM(J32:J36)/5</f>
        <v>1.2428571428571429</v>
      </c>
      <c r="K77" s="155">
        <f t="shared" si="16"/>
        <v>37.285714285714285</v>
      </c>
    </row>
    <row r="78" spans="1:11" ht="21.75" customHeight="1" thickBot="1">
      <c r="A78" s="154" t="s">
        <v>97</v>
      </c>
      <c r="B78" s="153">
        <f>SUM(B33:B36)/4</f>
        <v>1.125</v>
      </c>
      <c r="C78" s="152">
        <f t="shared" si="24"/>
        <v>33.75</v>
      </c>
      <c r="D78" s="153">
        <f>SUM(D33:D36)/4</f>
        <v>1</v>
      </c>
      <c r="E78" s="152">
        <f t="shared" si="25"/>
        <v>30</v>
      </c>
      <c r="F78" s="153">
        <f>SUM(F33:F36)/4</f>
        <v>1</v>
      </c>
      <c r="G78" s="152">
        <f t="shared" si="26"/>
        <v>30</v>
      </c>
      <c r="H78" s="153">
        <f>SUM(H33:H36)/4</f>
        <v>1.1041666666666667</v>
      </c>
      <c r="I78" s="152">
        <f t="shared" si="15"/>
        <v>33.125</v>
      </c>
      <c r="J78" s="153">
        <f>SUM(J33:J36)/4</f>
        <v>1.0892857142857144</v>
      </c>
      <c r="K78" s="152">
        <f t="shared" si="16"/>
        <v>32.678571428571431</v>
      </c>
    </row>
    <row r="115" spans="1:1">
      <c r="A115" s="1" t="s">
        <v>55</v>
      </c>
    </row>
    <row r="116" spans="1:1">
      <c r="A116" s="1" t="s">
        <v>0</v>
      </c>
    </row>
    <row r="117" spans="1:1">
      <c r="A117" s="1" t="s">
        <v>21</v>
      </c>
    </row>
    <row r="118" spans="1:1">
      <c r="A118" s="1" t="s">
        <v>136</v>
      </c>
    </row>
    <row r="119" spans="1:1">
      <c r="A119" s="1" t="s">
        <v>137</v>
      </c>
    </row>
  </sheetData>
  <mergeCells count="7">
    <mergeCell ref="E1:N1"/>
    <mergeCell ref="A10:K10"/>
    <mergeCell ref="B11:C11"/>
    <mergeCell ref="D11:E11"/>
    <mergeCell ref="F11:G11"/>
    <mergeCell ref="H11:I11"/>
    <mergeCell ref="J11:K11"/>
  </mergeCells>
  <dataValidations count="3">
    <dataValidation type="list" allowBlank="1" showInputMessage="1" showErrorMessage="1" sqref="E8:E9">
      <formula1>$B$11:$K$11</formula1>
    </dataValidation>
    <dataValidation type="list" allowBlank="1" showInputMessage="1" showErrorMessage="1" sqref="E4:E7">
      <formula1>$A$115:$A$119</formula1>
    </dataValidation>
    <dataValidation type="list" allowBlank="1" showInputMessage="1" showErrorMessage="1" sqref="F4:F9">
      <formula1>$A$37:$A$80</formula1>
    </dataValidation>
  </dataValidations>
  <pageMargins left="0.7" right="0.7" top="0.78740157499999996" bottom="0.78740157499999996" header="0.3" footer="0.3"/>
  <pageSetup paperSize="9" scale="3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77"/>
  <sheetViews>
    <sheetView topLeftCell="A2" zoomScale="80" zoomScaleNormal="80" workbookViewId="0">
      <selection activeCell="L47" sqref="L47"/>
    </sheetView>
  </sheetViews>
  <sheetFormatPr baseColWidth="10" defaultColWidth="14.42578125" defaultRowHeight="15" outlineLevelCol="1"/>
  <cols>
    <col min="1" max="1" width="14.42578125" style="6" customWidth="1"/>
    <col min="2" max="2" width="6" style="6" customWidth="1"/>
    <col min="3" max="4" width="8.85546875" style="76" customWidth="1"/>
    <col min="5" max="5" width="11.140625" style="76" customWidth="1"/>
    <col min="6" max="13" width="8.85546875" style="76" customWidth="1"/>
    <col min="14" max="34" width="4.5703125" style="6" customWidth="1"/>
    <col min="35" max="48" width="4.5703125" style="6" customWidth="1" outlineLevel="1"/>
    <col min="49" max="55" width="4.7109375" style="6" customWidth="1" outlineLevel="1"/>
    <col min="56" max="56" width="14.42578125" style="6"/>
    <col min="57" max="57" width="0" style="6" hidden="1" customWidth="1"/>
    <col min="58" max="58" width="16.85546875" style="6" hidden="1" customWidth="1"/>
    <col min="59" max="61" width="0" style="6" hidden="1" customWidth="1"/>
    <col min="62" max="16384" width="14.42578125" style="6"/>
  </cols>
  <sheetData>
    <row r="1" spans="1:62" s="78" customFormat="1">
      <c r="A1" s="23"/>
      <c r="B1" s="23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</row>
    <row r="2" spans="1:62" s="80" customFormat="1" ht="47.25">
      <c r="A2" s="899"/>
      <c r="B2" s="899"/>
      <c r="C2" s="899"/>
      <c r="D2" s="899"/>
      <c r="E2" s="899"/>
      <c r="F2" s="899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B2" s="899"/>
      <c r="AC2" s="899"/>
      <c r="AD2" s="899"/>
      <c r="AE2" s="899"/>
      <c r="AF2" s="899"/>
      <c r="AG2" s="899"/>
      <c r="AH2" s="899"/>
      <c r="AI2" s="899"/>
      <c r="AJ2" s="899"/>
      <c r="AK2" s="899"/>
      <c r="AL2" s="899"/>
      <c r="AM2" s="899"/>
      <c r="AN2" s="899"/>
      <c r="AO2" s="899"/>
      <c r="AP2" s="899"/>
      <c r="AQ2" s="899"/>
      <c r="AR2" s="899"/>
      <c r="AS2" s="899"/>
      <c r="AT2" s="899"/>
      <c r="AU2" s="899"/>
      <c r="AV2" s="899"/>
      <c r="AW2" s="899"/>
      <c r="AX2" s="899"/>
      <c r="AY2" s="899"/>
      <c r="AZ2" s="899"/>
      <c r="BA2" s="899"/>
      <c r="BB2" s="899"/>
      <c r="BC2" s="899"/>
      <c r="BD2" s="79"/>
      <c r="BE2" s="79"/>
      <c r="BF2" s="79"/>
      <c r="BG2" s="79"/>
      <c r="BH2" s="79"/>
    </row>
    <row r="3" spans="1:62" s="78" customFormat="1" ht="11.25" customHeight="1">
      <c r="A3" s="81"/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23"/>
      <c r="BE3" s="23"/>
      <c r="BF3" s="23"/>
      <c r="BG3" s="23"/>
      <c r="BH3" s="23"/>
    </row>
    <row r="4" spans="1:62" ht="18">
      <c r="A4" s="942" t="s">
        <v>169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  <c r="X4" s="942"/>
      <c r="Y4" s="942"/>
      <c r="Z4" s="942"/>
      <c r="AA4" s="942"/>
      <c r="AB4" s="942"/>
      <c r="AC4" s="942"/>
      <c r="AD4" s="942"/>
      <c r="AE4" s="942"/>
      <c r="AF4" s="942"/>
      <c r="AG4" s="942"/>
      <c r="AH4" s="942"/>
      <c r="AI4" s="942"/>
      <c r="AJ4" s="942"/>
      <c r="AK4" s="942"/>
      <c r="AL4" s="942"/>
      <c r="AM4" s="942"/>
      <c r="AN4" s="942"/>
      <c r="AO4" s="942"/>
      <c r="AP4" s="942"/>
      <c r="AQ4" s="942"/>
      <c r="AR4" s="942"/>
      <c r="AS4" s="942"/>
      <c r="AT4" s="942"/>
      <c r="AU4" s="942"/>
      <c r="AV4" s="942"/>
      <c r="AW4" s="942"/>
      <c r="AX4" s="942"/>
      <c r="AY4" s="942"/>
      <c r="AZ4" s="942"/>
      <c r="BA4" s="942"/>
      <c r="BB4" s="942"/>
      <c r="BC4" s="942"/>
      <c r="BD4" s="942"/>
      <c r="BE4" s="942"/>
      <c r="BF4" s="942"/>
      <c r="BG4" s="942"/>
      <c r="BH4" s="942"/>
    </row>
    <row r="5" spans="1:62" s="9" customFormat="1" ht="18.75" thickBot="1">
      <c r="A5" s="278"/>
      <c r="B5" s="276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76"/>
      <c r="AH5" s="276"/>
      <c r="AI5" s="276"/>
      <c r="AJ5" s="276"/>
      <c r="AK5" s="276"/>
      <c r="AL5" s="276"/>
      <c r="AM5" s="276"/>
      <c r="AN5" s="276"/>
      <c r="AO5" s="276"/>
      <c r="AP5" s="276"/>
      <c r="AQ5" s="276"/>
      <c r="AR5" s="276"/>
      <c r="AS5" s="276"/>
      <c r="AT5" s="276"/>
      <c r="AU5" s="276"/>
      <c r="AV5" s="276"/>
      <c r="AW5" s="276"/>
      <c r="AX5" s="276"/>
      <c r="AY5" s="276"/>
      <c r="AZ5" s="276"/>
      <c r="BA5" s="276"/>
      <c r="BB5" s="276"/>
      <c r="BC5" s="276"/>
      <c r="BD5" s="276"/>
      <c r="BE5" s="276"/>
      <c r="BF5" s="276"/>
      <c r="BG5" s="276"/>
      <c r="BH5" s="275"/>
    </row>
    <row r="6" spans="1:62" s="16" customFormat="1" ht="18.75" thickBot="1">
      <c r="A6" s="262"/>
      <c r="B6" s="270" t="s">
        <v>1</v>
      </c>
      <c r="C6" s="86"/>
      <c r="D6" s="269"/>
      <c r="E6" s="939"/>
      <c r="F6" s="940"/>
      <c r="G6" s="941"/>
      <c r="H6" s="86"/>
      <c r="I6" s="920" t="s">
        <v>2</v>
      </c>
      <c r="J6" s="921"/>
      <c r="K6" s="921"/>
      <c r="L6" s="274"/>
      <c r="M6" s="943">
        <f>B41+F41+J41</f>
        <v>0</v>
      </c>
      <c r="N6" s="943"/>
      <c r="O6" s="944"/>
      <c r="P6" s="168"/>
      <c r="Q6" s="168"/>
      <c r="R6" s="143" t="s">
        <v>110</v>
      </c>
      <c r="S6" s="144"/>
      <c r="T6" s="144"/>
      <c r="U6" s="144"/>
      <c r="V6" s="145" t="s">
        <v>113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268"/>
      <c r="AJ6" s="268"/>
      <c r="AK6" s="268"/>
      <c r="AL6" s="268"/>
      <c r="AM6" s="12"/>
      <c r="AN6" s="903"/>
      <c r="AO6" s="903"/>
      <c r="AP6" s="903"/>
      <c r="AQ6" s="903"/>
      <c r="AR6" s="903"/>
      <c r="AS6" s="903"/>
      <c r="AT6" s="903"/>
      <c r="AU6" s="903"/>
      <c r="AV6" s="903"/>
      <c r="AW6" s="12"/>
      <c r="AX6" s="12"/>
      <c r="AY6" s="12"/>
      <c r="AZ6" s="12"/>
      <c r="BA6" s="12"/>
      <c r="BB6" s="12"/>
      <c r="BC6" s="12"/>
      <c r="BD6" s="12"/>
      <c r="BE6" s="273">
        <f>WEEKDAY(AP7,2)</f>
        <v>6</v>
      </c>
      <c r="BF6" s="272">
        <f>DAYS360(AP7,AP8)+1</f>
        <v>1</v>
      </c>
      <c r="BG6" s="12"/>
      <c r="BH6" s="258"/>
      <c r="BJ6" s="271"/>
    </row>
    <row r="7" spans="1:62" s="16" customFormat="1" ht="18.75" thickBot="1">
      <c r="A7" s="262"/>
      <c r="B7" s="270" t="s">
        <v>3</v>
      </c>
      <c r="C7" s="86"/>
      <c r="D7" s="269"/>
      <c r="E7" s="939"/>
      <c r="F7" s="940"/>
      <c r="G7" s="941"/>
      <c r="H7" s="86"/>
      <c r="I7" s="935" t="s">
        <v>4</v>
      </c>
      <c r="J7" s="907"/>
      <c r="K7" s="907"/>
      <c r="L7" s="86"/>
      <c r="M7" s="904">
        <f>G9*M6</f>
        <v>0</v>
      </c>
      <c r="N7" s="904"/>
      <c r="O7" s="936"/>
      <c r="P7" s="168"/>
      <c r="Q7" s="168"/>
      <c r="R7" s="146">
        <v>1</v>
      </c>
      <c r="S7" s="147" t="s">
        <v>112</v>
      </c>
      <c r="T7" s="147">
        <v>15</v>
      </c>
      <c r="U7" s="147" t="s">
        <v>23</v>
      </c>
      <c r="V7" s="148">
        <v>110</v>
      </c>
      <c r="W7" s="12"/>
      <c r="X7" s="12"/>
      <c r="Y7" s="12"/>
      <c r="Z7" s="12"/>
      <c r="AA7" s="12"/>
      <c r="AB7" s="12"/>
      <c r="AC7" s="12"/>
      <c r="AD7" s="89"/>
      <c r="AE7" s="12"/>
      <c r="AF7" s="12"/>
      <c r="AG7" s="12"/>
      <c r="AH7" s="12"/>
      <c r="AI7" s="268"/>
      <c r="AJ7" s="268"/>
      <c r="AK7" s="268"/>
      <c r="AL7" s="268"/>
      <c r="AM7" s="12"/>
      <c r="AN7" s="18"/>
      <c r="AO7" s="18"/>
      <c r="AP7" s="19"/>
      <c r="AQ7" s="19"/>
      <c r="AR7" s="19"/>
      <c r="AS7" s="19"/>
      <c r="AT7" s="19"/>
      <c r="AU7" s="19"/>
      <c r="AV7" s="19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258"/>
    </row>
    <row r="8" spans="1:62" s="16" customFormat="1" ht="18.75" thickBot="1">
      <c r="A8" s="262"/>
      <c r="B8" s="270" t="s">
        <v>5</v>
      </c>
      <c r="C8" s="86"/>
      <c r="D8" s="269"/>
      <c r="E8" s="939"/>
      <c r="F8" s="940"/>
      <c r="G8" s="941"/>
      <c r="H8" s="86"/>
      <c r="I8" s="924" t="s">
        <v>6</v>
      </c>
      <c r="J8" s="925"/>
      <c r="K8" s="925"/>
      <c r="L8" s="264"/>
      <c r="M8" s="937">
        <f>E41+I41+M41</f>
        <v>0</v>
      </c>
      <c r="N8" s="937"/>
      <c r="O8" s="938"/>
      <c r="P8" s="168"/>
      <c r="Q8" s="168"/>
      <c r="R8" s="146">
        <v>16</v>
      </c>
      <c r="S8" s="147" t="s">
        <v>112</v>
      </c>
      <c r="T8" s="147">
        <v>24</v>
      </c>
      <c r="U8" s="147" t="s">
        <v>23</v>
      </c>
      <c r="V8" s="148">
        <v>105</v>
      </c>
      <c r="W8" s="12"/>
      <c r="X8" s="12"/>
      <c r="Y8" s="12"/>
      <c r="Z8" s="12"/>
      <c r="AA8" s="12"/>
      <c r="AB8" s="90"/>
      <c r="AC8" s="12"/>
      <c r="AD8" s="89"/>
      <c r="AE8" s="12"/>
      <c r="AF8" s="12"/>
      <c r="AG8" s="12"/>
      <c r="AH8" s="12"/>
      <c r="AI8" s="268"/>
      <c r="AJ8" s="268"/>
      <c r="AK8" s="268"/>
      <c r="AL8" s="268"/>
      <c r="AM8" s="12"/>
      <c r="AN8" s="18"/>
      <c r="AO8" s="18"/>
      <c r="AP8" s="19"/>
      <c r="AQ8" s="19"/>
      <c r="AR8" s="19"/>
      <c r="AS8" s="19"/>
      <c r="AT8" s="19"/>
      <c r="AU8" s="19"/>
      <c r="AV8" s="19"/>
      <c r="AW8" s="12"/>
      <c r="AX8" s="267"/>
      <c r="AY8" s="12"/>
      <c r="AZ8" s="12"/>
      <c r="BA8" s="12"/>
      <c r="BB8" s="12"/>
      <c r="BC8" s="12"/>
      <c r="BD8" s="12"/>
      <c r="BE8" s="12"/>
      <c r="BF8" s="89"/>
      <c r="BG8" s="12"/>
      <c r="BH8" s="258"/>
    </row>
    <row r="9" spans="1:62" s="16" customFormat="1" ht="18.75" thickBot="1">
      <c r="A9" s="262"/>
      <c r="B9" s="168" t="s">
        <v>7</v>
      </c>
      <c r="C9" s="86"/>
      <c r="D9" s="86"/>
      <c r="E9" s="86"/>
      <c r="F9" s="86"/>
      <c r="G9" s="265">
        <v>10</v>
      </c>
      <c r="H9" s="86"/>
      <c r="I9" s="920" t="s">
        <v>46</v>
      </c>
      <c r="J9" s="921"/>
      <c r="K9" s="921"/>
      <c r="L9" s="266">
        <v>0</v>
      </c>
      <c r="M9" s="922">
        <f>M8*L9</f>
        <v>0</v>
      </c>
      <c r="N9" s="922"/>
      <c r="O9" s="923"/>
      <c r="P9" s="168"/>
      <c r="Q9" s="168"/>
      <c r="R9" s="146">
        <v>25</v>
      </c>
      <c r="S9" s="147" t="s">
        <v>112</v>
      </c>
      <c r="T9" s="147">
        <v>34</v>
      </c>
      <c r="U9" s="147" t="s">
        <v>23</v>
      </c>
      <c r="V9" s="148">
        <v>100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8"/>
      <c r="AO9" s="18"/>
      <c r="AP9" s="18"/>
      <c r="AQ9" s="18"/>
      <c r="AR9" s="18"/>
      <c r="AS9" s="18"/>
      <c r="AT9" s="18"/>
      <c r="AU9" s="18"/>
      <c r="AV9" s="18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258"/>
    </row>
    <row r="10" spans="1:62" s="16" customFormat="1" ht="18.75" thickBot="1">
      <c r="A10" s="262"/>
      <c r="B10" s="168" t="s">
        <v>98</v>
      </c>
      <c r="C10" s="86"/>
      <c r="D10" s="86"/>
      <c r="E10" s="86"/>
      <c r="F10" s="86"/>
      <c r="G10" s="265">
        <v>50</v>
      </c>
      <c r="H10" s="86"/>
      <c r="I10" s="924" t="s">
        <v>47</v>
      </c>
      <c r="J10" s="925"/>
      <c r="K10" s="925"/>
      <c r="L10" s="264"/>
      <c r="M10" s="926">
        <f>M8-M9</f>
        <v>0</v>
      </c>
      <c r="N10" s="927"/>
      <c r="O10" s="928"/>
      <c r="P10" s="168"/>
      <c r="Q10" s="168"/>
      <c r="R10" s="149">
        <v>35</v>
      </c>
      <c r="S10" s="150" t="s">
        <v>112</v>
      </c>
      <c r="T10" s="150">
        <v>99</v>
      </c>
      <c r="U10" s="150" t="s">
        <v>23</v>
      </c>
      <c r="V10" s="151">
        <v>95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8"/>
      <c r="AO10" s="18"/>
      <c r="AP10" s="18"/>
      <c r="AQ10" s="18"/>
      <c r="AR10" s="18"/>
      <c r="AS10" s="18"/>
      <c r="AT10" s="18"/>
      <c r="AU10" s="18"/>
      <c r="AV10" s="18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258"/>
    </row>
    <row r="11" spans="1:62" s="16" customFormat="1" ht="18.75" thickBot="1">
      <c r="A11" s="262"/>
      <c r="B11" s="168"/>
      <c r="C11" s="86"/>
      <c r="D11" s="86"/>
      <c r="E11" s="86"/>
      <c r="F11" s="86"/>
      <c r="G11" s="86"/>
      <c r="H11" s="86"/>
      <c r="I11" s="929" t="s">
        <v>48</v>
      </c>
      <c r="J11" s="930"/>
      <c r="K11" s="930"/>
      <c r="L11" s="263">
        <v>0</v>
      </c>
      <c r="M11" s="931">
        <f>M10*L11</f>
        <v>0</v>
      </c>
      <c r="N11" s="931"/>
      <c r="O11" s="932"/>
      <c r="P11" s="168"/>
      <c r="Q11" s="168"/>
      <c r="R11" s="168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8"/>
      <c r="AO11" s="18"/>
      <c r="AP11" s="18"/>
      <c r="AQ11" s="18"/>
      <c r="AR11" s="18"/>
      <c r="AS11" s="18"/>
      <c r="AT11" s="18"/>
      <c r="AU11" s="18"/>
      <c r="AV11" s="18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258"/>
    </row>
    <row r="12" spans="1:62" s="16" customFormat="1" ht="20.25" thickBot="1">
      <c r="A12" s="262"/>
      <c r="B12" s="261"/>
      <c r="C12" s="260"/>
      <c r="D12" s="260"/>
      <c r="E12" s="260"/>
      <c r="F12" s="260"/>
      <c r="G12" s="260"/>
      <c r="H12" s="260"/>
      <c r="I12" s="924" t="s">
        <v>49</v>
      </c>
      <c r="J12" s="925"/>
      <c r="K12" s="925"/>
      <c r="L12" s="259"/>
      <c r="M12" s="933">
        <f>M10-M11</f>
        <v>0</v>
      </c>
      <c r="N12" s="933"/>
      <c r="O12" s="934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8"/>
      <c r="AO12" s="18"/>
      <c r="AP12" s="18"/>
      <c r="AQ12" s="18"/>
      <c r="AR12" s="18"/>
      <c r="AS12" s="18"/>
      <c r="AT12" s="18"/>
      <c r="AU12" s="18"/>
      <c r="AV12" s="18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258"/>
    </row>
    <row r="13" spans="1:62" s="1" customFormat="1" ht="15.75" thickBot="1">
      <c r="A13" s="257"/>
      <c r="B13" s="23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199"/>
    </row>
    <row r="14" spans="1:62" s="253" customFormat="1" ht="15.75">
      <c r="A14" s="256" t="s">
        <v>8</v>
      </c>
      <c r="B14" s="917" t="s">
        <v>9</v>
      </c>
      <c r="C14" s="918"/>
      <c r="D14" s="918"/>
      <c r="E14" s="919"/>
      <c r="F14" s="917" t="s">
        <v>10</v>
      </c>
      <c r="G14" s="918"/>
      <c r="H14" s="918"/>
      <c r="I14" s="919"/>
      <c r="J14" s="917" t="s">
        <v>11</v>
      </c>
      <c r="K14" s="918"/>
      <c r="L14" s="918"/>
      <c r="M14" s="919"/>
      <c r="N14" s="914" t="s">
        <v>50</v>
      </c>
      <c r="O14" s="915"/>
      <c r="P14" s="915"/>
      <c r="Q14" s="915"/>
      <c r="R14" s="915"/>
      <c r="S14" s="915"/>
      <c r="T14" s="916"/>
      <c r="U14" s="914" t="s">
        <v>51</v>
      </c>
      <c r="V14" s="915"/>
      <c r="W14" s="915"/>
      <c r="X14" s="915"/>
      <c r="Y14" s="915"/>
      <c r="Z14" s="915"/>
      <c r="AA14" s="916"/>
      <c r="AB14" s="914" t="s">
        <v>52</v>
      </c>
      <c r="AC14" s="915"/>
      <c r="AD14" s="915"/>
      <c r="AE14" s="915"/>
      <c r="AF14" s="915"/>
      <c r="AG14" s="915"/>
      <c r="AH14" s="916"/>
      <c r="AI14" s="914" t="s">
        <v>12</v>
      </c>
      <c r="AJ14" s="915"/>
      <c r="AK14" s="915"/>
      <c r="AL14" s="915"/>
      <c r="AM14" s="915"/>
      <c r="AN14" s="915"/>
      <c r="AO14" s="916"/>
      <c r="AP14" s="914" t="s">
        <v>13</v>
      </c>
      <c r="AQ14" s="915"/>
      <c r="AR14" s="915"/>
      <c r="AS14" s="915"/>
      <c r="AT14" s="915"/>
      <c r="AU14" s="915"/>
      <c r="AV14" s="916"/>
      <c r="AW14" s="914" t="s">
        <v>14</v>
      </c>
      <c r="AX14" s="915"/>
      <c r="AY14" s="915"/>
      <c r="AZ14" s="915"/>
      <c r="BA14" s="915"/>
      <c r="BB14" s="915"/>
      <c r="BC14" s="916"/>
      <c r="BD14" s="255"/>
      <c r="BE14" s="255"/>
      <c r="BF14" s="255"/>
      <c r="BG14" s="255"/>
      <c r="BH14" s="254"/>
    </row>
    <row r="15" spans="1:62" s="237" customFormat="1">
      <c r="A15" s="252"/>
      <c r="B15" s="246"/>
      <c r="C15" s="245" t="s">
        <v>15</v>
      </c>
      <c r="D15" s="245" t="s">
        <v>15</v>
      </c>
      <c r="E15" s="244" t="s">
        <v>15</v>
      </c>
      <c r="F15" s="246"/>
      <c r="G15" s="245" t="s">
        <v>15</v>
      </c>
      <c r="H15" s="245" t="s">
        <v>15</v>
      </c>
      <c r="I15" s="244" t="s">
        <v>15</v>
      </c>
      <c r="J15" s="246"/>
      <c r="K15" s="245" t="s">
        <v>15</v>
      </c>
      <c r="L15" s="245" t="s">
        <v>15</v>
      </c>
      <c r="M15" s="244" t="s">
        <v>15</v>
      </c>
      <c r="N15" s="251" t="s">
        <v>16</v>
      </c>
      <c r="O15" s="250" t="s">
        <v>17</v>
      </c>
      <c r="P15" s="250" t="s">
        <v>18</v>
      </c>
      <c r="Q15" s="250" t="s">
        <v>19</v>
      </c>
      <c r="R15" s="250" t="s">
        <v>20</v>
      </c>
      <c r="S15" s="249" t="s">
        <v>0</v>
      </c>
      <c r="T15" s="248" t="s">
        <v>21</v>
      </c>
      <c r="U15" s="251" t="s">
        <v>16</v>
      </c>
      <c r="V15" s="250" t="s">
        <v>17</v>
      </c>
      <c r="W15" s="250" t="s">
        <v>18</v>
      </c>
      <c r="X15" s="250" t="s">
        <v>19</v>
      </c>
      <c r="Y15" s="250" t="s">
        <v>20</v>
      </c>
      <c r="Z15" s="249" t="s">
        <v>0</v>
      </c>
      <c r="AA15" s="248" t="s">
        <v>21</v>
      </c>
      <c r="AB15" s="251" t="s">
        <v>16</v>
      </c>
      <c r="AC15" s="250" t="s">
        <v>17</v>
      </c>
      <c r="AD15" s="250" t="s">
        <v>18</v>
      </c>
      <c r="AE15" s="250" t="s">
        <v>19</v>
      </c>
      <c r="AF15" s="250" t="s">
        <v>20</v>
      </c>
      <c r="AG15" s="249" t="s">
        <v>0</v>
      </c>
      <c r="AH15" s="248" t="s">
        <v>21</v>
      </c>
      <c r="AI15" s="251" t="s">
        <v>16</v>
      </c>
      <c r="AJ15" s="250" t="s">
        <v>17</v>
      </c>
      <c r="AK15" s="250" t="s">
        <v>18</v>
      </c>
      <c r="AL15" s="250" t="s">
        <v>19</v>
      </c>
      <c r="AM15" s="250" t="s">
        <v>20</v>
      </c>
      <c r="AN15" s="249" t="s">
        <v>0</v>
      </c>
      <c r="AO15" s="248" t="s">
        <v>21</v>
      </c>
      <c r="AP15" s="251" t="s">
        <v>16</v>
      </c>
      <c r="AQ15" s="250" t="s">
        <v>17</v>
      </c>
      <c r="AR15" s="250" t="s">
        <v>18</v>
      </c>
      <c r="AS15" s="250" t="s">
        <v>19</v>
      </c>
      <c r="AT15" s="250" t="s">
        <v>20</v>
      </c>
      <c r="AU15" s="249" t="s">
        <v>0</v>
      </c>
      <c r="AV15" s="248" t="s">
        <v>21</v>
      </c>
      <c r="AW15" s="251" t="s">
        <v>16</v>
      </c>
      <c r="AX15" s="250" t="s">
        <v>17</v>
      </c>
      <c r="AY15" s="250" t="s">
        <v>18</v>
      </c>
      <c r="AZ15" s="250" t="s">
        <v>19</v>
      </c>
      <c r="BA15" s="250" t="s">
        <v>20</v>
      </c>
      <c r="BB15" s="249" t="s">
        <v>0</v>
      </c>
      <c r="BC15" s="248" t="s">
        <v>21</v>
      </c>
      <c r="BD15" s="239"/>
      <c r="BE15" s="239"/>
      <c r="BF15" s="239"/>
      <c r="BG15" s="239"/>
      <c r="BH15" s="238"/>
    </row>
    <row r="16" spans="1:62" s="237" customFormat="1" ht="15.75" thickBot="1">
      <c r="A16" s="247"/>
      <c r="B16" s="246" t="s">
        <v>22</v>
      </c>
      <c r="C16" s="245" t="s">
        <v>23</v>
      </c>
      <c r="D16" s="245" t="s">
        <v>24</v>
      </c>
      <c r="E16" s="244" t="s">
        <v>25</v>
      </c>
      <c r="F16" s="246" t="s">
        <v>22</v>
      </c>
      <c r="G16" s="245" t="s">
        <v>23</v>
      </c>
      <c r="H16" s="245" t="s">
        <v>24</v>
      </c>
      <c r="I16" s="244" t="s">
        <v>25</v>
      </c>
      <c r="J16" s="246" t="s">
        <v>22</v>
      </c>
      <c r="K16" s="245" t="s">
        <v>23</v>
      </c>
      <c r="L16" s="245" t="s">
        <v>24</v>
      </c>
      <c r="M16" s="244" t="s">
        <v>25</v>
      </c>
      <c r="N16" s="243" t="str">
        <f>IF(BE6=1,1,"")</f>
        <v/>
      </c>
      <c r="O16" s="242" t="str">
        <f>IF($BE6=2,1,IF($BE6=1,2,""))</f>
        <v/>
      </c>
      <c r="P16" s="242" t="str">
        <f>IF($BE6=3,1,IF($BE6=2,2,IF(BE6=1,3,"")))</f>
        <v/>
      </c>
      <c r="Q16" s="242" t="str">
        <f>IF($BE6=4,1,IF($BE6=3,2,IF(BE6=2,3,IF(BE6=1,4,""))))</f>
        <v/>
      </c>
      <c r="R16" s="242" t="str">
        <f>IF($BE6=5,1,IF($BE6=4,2,IF(BE6=3,3,IF(BE6=2,4,IF(BE6=1,5,"")))))</f>
        <v/>
      </c>
      <c r="S16" s="241"/>
      <c r="T16" s="240"/>
      <c r="U16" s="243"/>
      <c r="V16" s="242"/>
      <c r="W16" s="242"/>
      <c r="X16" s="242"/>
      <c r="Y16" s="242"/>
      <c r="Z16" s="241"/>
      <c r="AA16" s="240"/>
      <c r="AB16" s="243"/>
      <c r="AC16" s="242"/>
      <c r="AD16" s="242"/>
      <c r="AE16" s="242"/>
      <c r="AF16" s="242"/>
      <c r="AG16" s="241"/>
      <c r="AH16" s="240"/>
      <c r="AI16" s="243"/>
      <c r="AJ16" s="242"/>
      <c r="AK16" s="242"/>
      <c r="AL16" s="242"/>
      <c r="AM16" s="242"/>
      <c r="AN16" s="241"/>
      <c r="AO16" s="240"/>
      <c r="AP16" s="243"/>
      <c r="AQ16" s="242"/>
      <c r="AR16" s="242"/>
      <c r="AS16" s="242"/>
      <c r="AT16" s="242"/>
      <c r="AU16" s="241"/>
      <c r="AV16" s="240"/>
      <c r="AW16" s="243"/>
      <c r="AX16" s="242"/>
      <c r="AY16" s="242"/>
      <c r="AZ16" s="242"/>
      <c r="BA16" s="242"/>
      <c r="BB16" s="241"/>
      <c r="BC16" s="240"/>
      <c r="BD16" s="239"/>
      <c r="BE16" s="239"/>
      <c r="BF16" s="239"/>
      <c r="BG16" s="239"/>
      <c r="BH16" s="238"/>
    </row>
    <row r="17" spans="1:60" s="1" customFormat="1" ht="15.75">
      <c r="A17" s="281" t="s">
        <v>120</v>
      </c>
      <c r="B17" s="236">
        <f t="shared" ref="B17:B22" si="0">SUM(N17:R17,U17:Y17,AB17:AF17,AI17:AM17,AP17:AT17,AW17:BA17)</f>
        <v>0</v>
      </c>
      <c r="C17" s="235">
        <f>'Preise 80er 90er OAHH'!B13</f>
        <v>1</v>
      </c>
      <c r="D17" s="234">
        <f>IF(AND($G$9&gt;=$R$9,$G$9&lt;=$T$9),C17*$G$9*$V$9/100,IF(AND($G$9&gt;=$R$8,$G$9&lt;=$T$8),C17*$G$9*$V$8/100,IF(AND($G$9&gt;=$R$7,$G$9&lt;=$T$7),C17*$G$9*$V$7/100,IF($G$9&gt;=$R$10,C17*$G$9*$V$10/100))))</f>
        <v>11</v>
      </c>
      <c r="E17" s="233">
        <f t="shared" ref="E17:E39" si="1">B17*D17*(100+$G$10)/100</f>
        <v>0</v>
      </c>
      <c r="F17" s="236">
        <f>SUM(S17,Z17,AG17,AN17,AU17,BB17)</f>
        <v>0</v>
      </c>
      <c r="G17" s="235">
        <f>'Preise 80er 90er OAHH'!D14</f>
        <v>1</v>
      </c>
      <c r="H17" s="234">
        <f>IF(AND($G$9&gt;=$R$9,$G$9&lt;=$T$9),G17*$G$9*$V$9/100,IF(AND($G$9&gt;=$R$8,$G$9&lt;=$T$8),G17*$G$9*$V$8/100,IF(AND($G$9&gt;=$R$7,$G$9&lt;=$T$7),G17*$G$9*$V$7/100,IF($G$9&gt;=$R$10,G17*$G$9*$V$10/100))))</f>
        <v>11</v>
      </c>
      <c r="I17" s="233">
        <f>F17*H17*(100+$G$10)/100</f>
        <v>0</v>
      </c>
      <c r="J17" s="236">
        <f>SUM(T17,AA17,AH17,AO17,AV17,BC17)</f>
        <v>0</v>
      </c>
      <c r="K17" s="235">
        <f>'Preise 80er 90er OAHH'!F14</f>
        <v>1</v>
      </c>
      <c r="L17" s="234">
        <f>IF(AND($G$9&gt;=$R$9,$G$9&lt;=$T$9),K17*$G$9*$V$9/100,IF(AND($G$9&gt;=$R$8,$G$9&lt;=$T$8),K17*$G$9*$V$8/100,IF(AND($G$9&gt;=$R$7,$G$9&lt;=$T$7),K17*$G$9*$V$7/100,IF($G$9&gt;=$R$10,K17*$G$9*$V$10/100))))</f>
        <v>11</v>
      </c>
      <c r="M17" s="233">
        <f>J17*L17*(100+$G$10)/100</f>
        <v>0</v>
      </c>
      <c r="N17" s="232"/>
      <c r="O17" s="231"/>
      <c r="P17" s="231"/>
      <c r="Q17" s="231"/>
      <c r="R17" s="230"/>
      <c r="S17" s="229"/>
      <c r="T17" s="228"/>
      <c r="U17" s="232"/>
      <c r="V17" s="231"/>
      <c r="W17" s="231"/>
      <c r="X17" s="231"/>
      <c r="Y17" s="230"/>
      <c r="Z17" s="229"/>
      <c r="AA17" s="228"/>
      <c r="AB17" s="232"/>
      <c r="AC17" s="231"/>
      <c r="AD17" s="231"/>
      <c r="AE17" s="231"/>
      <c r="AF17" s="230"/>
      <c r="AG17" s="229"/>
      <c r="AH17" s="228"/>
      <c r="AI17" s="232"/>
      <c r="AJ17" s="231"/>
      <c r="AK17" s="231"/>
      <c r="AL17" s="231"/>
      <c r="AM17" s="230"/>
      <c r="AN17" s="229"/>
      <c r="AO17" s="228"/>
      <c r="AP17" s="232"/>
      <c r="AQ17" s="231"/>
      <c r="AR17" s="231"/>
      <c r="AS17" s="231"/>
      <c r="AT17" s="230"/>
      <c r="AU17" s="229"/>
      <c r="AV17" s="228"/>
      <c r="AW17" s="232"/>
      <c r="AX17" s="231"/>
      <c r="AY17" s="231"/>
      <c r="AZ17" s="231"/>
      <c r="BA17" s="230"/>
      <c r="BB17" s="229"/>
      <c r="BC17" s="228"/>
      <c r="BD17" s="23"/>
      <c r="BE17" s="23"/>
      <c r="BF17" s="226">
        <f>IF($AJ3&lt;6000,0,0.025)</f>
        <v>0</v>
      </c>
      <c r="BG17" s="23"/>
      <c r="BH17" s="199"/>
    </row>
    <row r="18" spans="1:60" s="1" customFormat="1" ht="15.75">
      <c r="A18" s="281" t="s">
        <v>119</v>
      </c>
      <c r="B18" s="224">
        <f t="shared" si="0"/>
        <v>0</v>
      </c>
      <c r="C18" s="223">
        <f>'Preise 80er 90er OAHH'!B14</f>
        <v>1</v>
      </c>
      <c r="D18" s="222">
        <f t="shared" ref="D18:D40" si="2">IF(AND($G$9&gt;=$R$9,$G$9&lt;=$T$9),C18*$G$9*$V$9/100,IF(AND($G$9&gt;=$R$8,$G$9&lt;=$T$8),C18*$G$9*$V$8/100,IF(AND($G$9&gt;=$R$7,$G$9&lt;=$T$7),C18*$G$9*$V$7/100,IF($G$9&gt;=$R$10,C18*$G$9*$V$10/100))))</f>
        <v>11</v>
      </c>
      <c r="E18" s="213">
        <f t="shared" si="1"/>
        <v>0</v>
      </c>
      <c r="F18" s="224">
        <f t="shared" ref="F18:F22" si="3">SUM(S18,Z18,AG18,AN18,AU18,BB18)</f>
        <v>0</v>
      </c>
      <c r="G18" s="223">
        <f>'Preise 80er 90er OAHH'!D14</f>
        <v>1</v>
      </c>
      <c r="H18" s="222">
        <f t="shared" ref="H18:H40" si="4">IF(AND($G$9&gt;=$R$9,$G$9&lt;=$T$9),G18*$G$9*$V$9/100,IF(AND($G$9&gt;=$R$8,$G$9&lt;=$T$8),G18*$G$9*$V$8/100,IF(AND($G$9&gt;=$R$7,$G$9&lt;=$T$7),G18*$G$9*$V$7/100,IF($G$9&gt;=$R$10,G18*$G$9*$V$10/100))))</f>
        <v>11</v>
      </c>
      <c r="I18" s="213">
        <f t="shared" ref="I18:I22" si="5">F18*H18*(100+$G$10)/100</f>
        <v>0</v>
      </c>
      <c r="J18" s="224">
        <f t="shared" ref="J18:J22" si="6">SUM(T18,AA18,AH18,AO18,AV18,BC18)</f>
        <v>0</v>
      </c>
      <c r="K18" s="223">
        <f>'Preise 80er 90er OAHH'!F14</f>
        <v>1</v>
      </c>
      <c r="L18" s="222">
        <f t="shared" ref="L18:L40" si="7">IF(AND($G$9&gt;=$R$9,$G$9&lt;=$T$9),K18*$G$9*$V$9/100,IF(AND($G$9&gt;=$R$8,$G$9&lt;=$T$8),K18*$G$9*$V$8/100,IF(AND($G$9&gt;=$R$7,$G$9&lt;=$T$7),K18*$G$9*$V$7/100,IF($G$9&gt;=$R$10,K18*$G$9*$V$10/100))))</f>
        <v>11</v>
      </c>
      <c r="M18" s="213">
        <f t="shared" ref="M18:M22" si="8">J18*L18*(100+$G$10)/100</f>
        <v>0</v>
      </c>
      <c r="N18" s="221"/>
      <c r="O18" s="220"/>
      <c r="P18" s="220"/>
      <c r="Q18" s="220"/>
      <c r="R18" s="227"/>
      <c r="S18" s="219"/>
      <c r="T18" s="218"/>
      <c r="U18" s="221"/>
      <c r="V18" s="220"/>
      <c r="W18" s="220"/>
      <c r="X18" s="220"/>
      <c r="Y18" s="227"/>
      <c r="Z18" s="219"/>
      <c r="AA18" s="218"/>
      <c r="AB18" s="221"/>
      <c r="AC18" s="220"/>
      <c r="AD18" s="220"/>
      <c r="AE18" s="220"/>
      <c r="AF18" s="227"/>
      <c r="AG18" s="219"/>
      <c r="AH18" s="218"/>
      <c r="AI18" s="221"/>
      <c r="AJ18" s="220"/>
      <c r="AK18" s="220"/>
      <c r="AL18" s="220"/>
      <c r="AM18" s="227"/>
      <c r="AN18" s="219"/>
      <c r="AO18" s="218"/>
      <c r="AP18" s="221"/>
      <c r="AQ18" s="220"/>
      <c r="AR18" s="220"/>
      <c r="AS18" s="220"/>
      <c r="AT18" s="227"/>
      <c r="AU18" s="219"/>
      <c r="AV18" s="218"/>
      <c r="AW18" s="221"/>
      <c r="AX18" s="220"/>
      <c r="AY18" s="220"/>
      <c r="AZ18" s="220"/>
      <c r="BA18" s="227"/>
      <c r="BB18" s="219"/>
      <c r="BC18" s="218"/>
      <c r="BD18" s="23"/>
      <c r="BE18" s="23"/>
      <c r="BF18" s="226">
        <f>IF($AJ3&lt;6000,0,0.025)</f>
        <v>0</v>
      </c>
      <c r="BG18" s="23"/>
      <c r="BH18" s="199"/>
    </row>
    <row r="19" spans="1:60" s="1" customFormat="1" ht="15.75">
      <c r="A19" s="281" t="s">
        <v>118</v>
      </c>
      <c r="B19" s="224">
        <f t="shared" si="0"/>
        <v>0</v>
      </c>
      <c r="C19" s="223">
        <f>'Preise 80er 90er OAHH'!B15</f>
        <v>1</v>
      </c>
      <c r="D19" s="222">
        <f t="shared" si="2"/>
        <v>11</v>
      </c>
      <c r="E19" s="213">
        <f t="shared" si="1"/>
        <v>0</v>
      </c>
      <c r="F19" s="224">
        <f t="shared" si="3"/>
        <v>0</v>
      </c>
      <c r="G19" s="223">
        <f>'Preise 80er 90er OAHH'!D15</f>
        <v>1</v>
      </c>
      <c r="H19" s="222">
        <f t="shared" si="4"/>
        <v>11</v>
      </c>
      <c r="I19" s="213">
        <f t="shared" si="5"/>
        <v>0</v>
      </c>
      <c r="J19" s="224">
        <f t="shared" si="6"/>
        <v>0</v>
      </c>
      <c r="K19" s="223">
        <f>'Preise 80er 90er OAHH'!F15</f>
        <v>1</v>
      </c>
      <c r="L19" s="222">
        <f t="shared" si="7"/>
        <v>11</v>
      </c>
      <c r="M19" s="213">
        <f t="shared" si="8"/>
        <v>0</v>
      </c>
      <c r="N19" s="221"/>
      <c r="O19" s="220"/>
      <c r="P19" s="220"/>
      <c r="Q19" s="220"/>
      <c r="R19" s="227"/>
      <c r="S19" s="219"/>
      <c r="T19" s="218"/>
      <c r="U19" s="221"/>
      <c r="V19" s="220"/>
      <c r="W19" s="220"/>
      <c r="X19" s="220"/>
      <c r="Y19" s="227"/>
      <c r="Z19" s="219"/>
      <c r="AA19" s="218"/>
      <c r="AB19" s="221"/>
      <c r="AC19" s="220"/>
      <c r="AD19" s="220"/>
      <c r="AE19" s="220"/>
      <c r="AF19" s="227"/>
      <c r="AG19" s="219"/>
      <c r="AH19" s="218"/>
      <c r="AI19" s="221"/>
      <c r="AJ19" s="220"/>
      <c r="AK19" s="220"/>
      <c r="AL19" s="220"/>
      <c r="AM19" s="227"/>
      <c r="AN19" s="219"/>
      <c r="AO19" s="218"/>
      <c r="AP19" s="221"/>
      <c r="AQ19" s="220"/>
      <c r="AR19" s="220"/>
      <c r="AS19" s="220"/>
      <c r="AT19" s="227"/>
      <c r="AU19" s="219"/>
      <c r="AV19" s="218"/>
      <c r="AW19" s="221"/>
      <c r="AX19" s="220"/>
      <c r="AY19" s="220"/>
      <c r="AZ19" s="220"/>
      <c r="BA19" s="227"/>
      <c r="BB19" s="219"/>
      <c r="BC19" s="218"/>
      <c r="BD19" s="23"/>
      <c r="BE19" s="23"/>
      <c r="BF19" s="226">
        <f>IF($AJ4&lt;6000,0,0.025)</f>
        <v>0</v>
      </c>
      <c r="BG19" s="23"/>
      <c r="BH19" s="199"/>
    </row>
    <row r="20" spans="1:60" s="1" customFormat="1" ht="15.75">
      <c r="A20" s="281" t="s">
        <v>117</v>
      </c>
      <c r="B20" s="224">
        <f t="shared" si="0"/>
        <v>0</v>
      </c>
      <c r="C20" s="223">
        <f>'Preise 80er 90er OAHH'!B16</f>
        <v>1</v>
      </c>
      <c r="D20" s="222">
        <f t="shared" si="2"/>
        <v>11</v>
      </c>
      <c r="E20" s="213">
        <f t="shared" si="1"/>
        <v>0</v>
      </c>
      <c r="F20" s="224">
        <f t="shared" si="3"/>
        <v>0</v>
      </c>
      <c r="G20" s="223">
        <f>'Preise 80er 90er OAHH'!D16</f>
        <v>1</v>
      </c>
      <c r="H20" s="222">
        <f t="shared" si="4"/>
        <v>11</v>
      </c>
      <c r="I20" s="213">
        <f t="shared" si="5"/>
        <v>0</v>
      </c>
      <c r="J20" s="224">
        <f t="shared" si="6"/>
        <v>0</v>
      </c>
      <c r="K20" s="223">
        <f>'Preise 80er 90er OAHH'!F16</f>
        <v>1</v>
      </c>
      <c r="L20" s="222">
        <f t="shared" si="7"/>
        <v>11</v>
      </c>
      <c r="M20" s="213">
        <f t="shared" si="8"/>
        <v>0</v>
      </c>
      <c r="N20" s="221"/>
      <c r="O20" s="220"/>
      <c r="P20" s="220"/>
      <c r="Q20" s="220"/>
      <c r="R20" s="227"/>
      <c r="S20" s="219"/>
      <c r="T20" s="218"/>
      <c r="U20" s="221"/>
      <c r="V20" s="220"/>
      <c r="W20" s="220"/>
      <c r="X20" s="220"/>
      <c r="Y20" s="227"/>
      <c r="Z20" s="219"/>
      <c r="AA20" s="218"/>
      <c r="AB20" s="221"/>
      <c r="AC20" s="220"/>
      <c r="AD20" s="220"/>
      <c r="AE20" s="220"/>
      <c r="AF20" s="227"/>
      <c r="AG20" s="219"/>
      <c r="AH20" s="218"/>
      <c r="AI20" s="221"/>
      <c r="AJ20" s="220"/>
      <c r="AK20" s="220"/>
      <c r="AL20" s="220"/>
      <c r="AM20" s="227"/>
      <c r="AN20" s="219"/>
      <c r="AO20" s="218"/>
      <c r="AP20" s="221"/>
      <c r="AQ20" s="220"/>
      <c r="AR20" s="220"/>
      <c r="AS20" s="220"/>
      <c r="AT20" s="227"/>
      <c r="AU20" s="219"/>
      <c r="AV20" s="218"/>
      <c r="AW20" s="221"/>
      <c r="AX20" s="220"/>
      <c r="AY20" s="220"/>
      <c r="AZ20" s="220"/>
      <c r="BA20" s="227"/>
      <c r="BB20" s="219"/>
      <c r="BC20" s="218"/>
      <c r="BD20" s="23"/>
      <c r="BE20" s="23"/>
      <c r="BF20" s="226">
        <f>IF($AJ5&lt;6000,0,0.025)</f>
        <v>0</v>
      </c>
      <c r="BG20" s="23"/>
      <c r="BH20" s="199"/>
    </row>
    <row r="21" spans="1:60" s="1" customFormat="1" ht="15.75">
      <c r="A21" s="281" t="s">
        <v>116</v>
      </c>
      <c r="B21" s="224">
        <f t="shared" si="0"/>
        <v>0</v>
      </c>
      <c r="C21" s="223">
        <f>'Preise 80er 90er OAHH'!B17</f>
        <v>1</v>
      </c>
      <c r="D21" s="222">
        <f t="shared" si="2"/>
        <v>11</v>
      </c>
      <c r="E21" s="213">
        <f t="shared" si="1"/>
        <v>0</v>
      </c>
      <c r="F21" s="224">
        <f t="shared" si="3"/>
        <v>0</v>
      </c>
      <c r="G21" s="223">
        <f>'Preise 80er 90er OAHH'!D17</f>
        <v>1</v>
      </c>
      <c r="H21" s="222">
        <f t="shared" si="4"/>
        <v>11</v>
      </c>
      <c r="I21" s="213">
        <f t="shared" si="5"/>
        <v>0</v>
      </c>
      <c r="J21" s="224">
        <f t="shared" si="6"/>
        <v>0</v>
      </c>
      <c r="K21" s="223">
        <f>'Preise 80er 90er OAHH'!F17</f>
        <v>1</v>
      </c>
      <c r="L21" s="222">
        <f t="shared" si="7"/>
        <v>11</v>
      </c>
      <c r="M21" s="213">
        <f t="shared" si="8"/>
        <v>0</v>
      </c>
      <c r="N21" s="221"/>
      <c r="O21" s="220"/>
      <c r="P21" s="220"/>
      <c r="Q21" s="220"/>
      <c r="R21" s="227"/>
      <c r="S21" s="219"/>
      <c r="T21" s="218"/>
      <c r="U21" s="221"/>
      <c r="V21" s="220"/>
      <c r="W21" s="220"/>
      <c r="X21" s="220"/>
      <c r="Y21" s="227"/>
      <c r="Z21" s="219"/>
      <c r="AA21" s="218"/>
      <c r="AB21" s="221"/>
      <c r="AC21" s="220"/>
      <c r="AD21" s="220"/>
      <c r="AE21" s="220"/>
      <c r="AF21" s="227"/>
      <c r="AG21" s="219"/>
      <c r="AH21" s="218"/>
      <c r="AI21" s="221"/>
      <c r="AJ21" s="220"/>
      <c r="AK21" s="220"/>
      <c r="AL21" s="220"/>
      <c r="AM21" s="227"/>
      <c r="AN21" s="219"/>
      <c r="AO21" s="218"/>
      <c r="AP21" s="221"/>
      <c r="AQ21" s="220"/>
      <c r="AR21" s="220"/>
      <c r="AS21" s="220"/>
      <c r="AT21" s="227"/>
      <c r="AU21" s="219"/>
      <c r="AV21" s="218"/>
      <c r="AW21" s="221"/>
      <c r="AX21" s="220"/>
      <c r="AY21" s="220"/>
      <c r="AZ21" s="220"/>
      <c r="BA21" s="227"/>
      <c r="BB21" s="219"/>
      <c r="BC21" s="218"/>
      <c r="BD21" s="23"/>
      <c r="BE21" s="23"/>
      <c r="BF21" s="226">
        <f>IF($AJ6&lt;6000,0,0.025)</f>
        <v>0</v>
      </c>
      <c r="BG21" s="23"/>
      <c r="BH21" s="199"/>
    </row>
    <row r="22" spans="1:60" s="1" customFormat="1" ht="15.75">
      <c r="A22" s="281" t="s">
        <v>26</v>
      </c>
      <c r="B22" s="224">
        <f t="shared" si="0"/>
        <v>0</v>
      </c>
      <c r="C22" s="223">
        <f>'Preise 80er 90er OAHH'!B18</f>
        <v>1</v>
      </c>
      <c r="D22" s="222">
        <f t="shared" si="2"/>
        <v>11</v>
      </c>
      <c r="E22" s="213">
        <f t="shared" si="1"/>
        <v>0</v>
      </c>
      <c r="F22" s="224">
        <f t="shared" si="3"/>
        <v>0</v>
      </c>
      <c r="G22" s="223">
        <f>'Preise 80er 90er OAHH'!D18</f>
        <v>1</v>
      </c>
      <c r="H22" s="222">
        <f t="shared" si="4"/>
        <v>11</v>
      </c>
      <c r="I22" s="213">
        <f t="shared" si="5"/>
        <v>0</v>
      </c>
      <c r="J22" s="224">
        <f t="shared" si="6"/>
        <v>0</v>
      </c>
      <c r="K22" s="223">
        <f>'Preise 80er 90er OAHH'!F18</f>
        <v>1</v>
      </c>
      <c r="L22" s="222">
        <f t="shared" si="7"/>
        <v>11</v>
      </c>
      <c r="M22" s="213">
        <f t="shared" si="8"/>
        <v>0</v>
      </c>
      <c r="N22" s="221"/>
      <c r="O22" s="220"/>
      <c r="P22" s="220"/>
      <c r="Q22" s="220"/>
      <c r="R22" s="227"/>
      <c r="S22" s="219"/>
      <c r="T22" s="218"/>
      <c r="U22" s="221"/>
      <c r="V22" s="220"/>
      <c r="W22" s="220"/>
      <c r="X22" s="220"/>
      <c r="Y22" s="227"/>
      <c r="Z22" s="219"/>
      <c r="AA22" s="218"/>
      <c r="AB22" s="221"/>
      <c r="AC22" s="220"/>
      <c r="AD22" s="220"/>
      <c r="AE22" s="220"/>
      <c r="AF22" s="227"/>
      <c r="AG22" s="219"/>
      <c r="AH22" s="218"/>
      <c r="AI22" s="221"/>
      <c r="AJ22" s="220"/>
      <c r="AK22" s="220"/>
      <c r="AL22" s="220"/>
      <c r="AM22" s="227"/>
      <c r="AN22" s="219"/>
      <c r="AO22" s="218"/>
      <c r="AP22" s="221"/>
      <c r="AQ22" s="220"/>
      <c r="AR22" s="220"/>
      <c r="AS22" s="220"/>
      <c r="AT22" s="227"/>
      <c r="AU22" s="219"/>
      <c r="AV22" s="218"/>
      <c r="AW22" s="221"/>
      <c r="AX22" s="220"/>
      <c r="AY22" s="220"/>
      <c r="AZ22" s="220"/>
      <c r="BA22" s="227"/>
      <c r="BB22" s="219"/>
      <c r="BC22" s="218"/>
      <c r="BD22" s="23"/>
      <c r="BE22" s="23"/>
      <c r="BF22" s="226">
        <f>IF($AJ7&lt;6000,0,0.025)</f>
        <v>0</v>
      </c>
      <c r="BG22" s="23"/>
      <c r="BH22" s="199"/>
    </row>
    <row r="23" spans="1:60" s="1" customFormat="1" ht="15.75">
      <c r="A23" s="281" t="s">
        <v>27</v>
      </c>
      <c r="B23" s="224">
        <f t="shared" ref="B23:B40" si="9">SUM(N23:R23,U23:Y23,AB23:AF23,AI23:AM23,AP23:AT23,AW23:BA23)</f>
        <v>0</v>
      </c>
      <c r="C23" s="223">
        <f>'Preise 80er 90er OAHH'!B19</f>
        <v>5</v>
      </c>
      <c r="D23" s="222">
        <f t="shared" si="2"/>
        <v>55</v>
      </c>
      <c r="E23" s="213">
        <f t="shared" si="1"/>
        <v>0</v>
      </c>
      <c r="F23" s="224">
        <f t="shared" ref="F23:F40" si="10">SUM(S23,Z23,AG23,AN23,AU23,BB23)</f>
        <v>0</v>
      </c>
      <c r="G23" s="223">
        <f>'Preise 80er 90er OAHH'!D19</f>
        <v>2</v>
      </c>
      <c r="H23" s="222">
        <f t="shared" si="4"/>
        <v>22</v>
      </c>
      <c r="I23" s="213">
        <f t="shared" ref="I23:I40" si="11">F23*H23*(100+$G$10)/100</f>
        <v>0</v>
      </c>
      <c r="J23" s="224">
        <f t="shared" ref="J23:J40" si="12">SUM(T23,AA23,AH23,AO23,AV23,BC23)</f>
        <v>0</v>
      </c>
      <c r="K23" s="223">
        <f>'Preise 80er 90er OAHH'!F19</f>
        <v>1</v>
      </c>
      <c r="L23" s="222">
        <f t="shared" si="7"/>
        <v>11</v>
      </c>
      <c r="M23" s="213">
        <f t="shared" ref="M23:M40" si="13">J23*L23*(100+$G$10)/100</f>
        <v>0</v>
      </c>
      <c r="N23" s="221"/>
      <c r="O23" s="220"/>
      <c r="P23" s="220"/>
      <c r="Q23" s="220"/>
      <c r="R23" s="227"/>
      <c r="S23" s="219"/>
      <c r="T23" s="218"/>
      <c r="U23" s="221"/>
      <c r="V23" s="220"/>
      <c r="W23" s="220"/>
      <c r="X23" s="220"/>
      <c r="Y23" s="227"/>
      <c r="Z23" s="219"/>
      <c r="AA23" s="218"/>
      <c r="AB23" s="221"/>
      <c r="AC23" s="220"/>
      <c r="AD23" s="220"/>
      <c r="AE23" s="220"/>
      <c r="AF23" s="227"/>
      <c r="AG23" s="219"/>
      <c r="AH23" s="218"/>
      <c r="AI23" s="221"/>
      <c r="AJ23" s="220"/>
      <c r="AK23" s="220"/>
      <c r="AL23" s="220"/>
      <c r="AM23" s="227"/>
      <c r="AN23" s="219"/>
      <c r="AO23" s="218"/>
      <c r="AP23" s="221"/>
      <c r="AQ23" s="220"/>
      <c r="AR23" s="220"/>
      <c r="AS23" s="220"/>
      <c r="AT23" s="227"/>
      <c r="AU23" s="219"/>
      <c r="AV23" s="218"/>
      <c r="AW23" s="221"/>
      <c r="AX23" s="220"/>
      <c r="AY23" s="220"/>
      <c r="AZ23" s="220"/>
      <c r="BA23" s="227"/>
      <c r="BB23" s="219"/>
      <c r="BC23" s="218"/>
      <c r="BD23" s="23"/>
      <c r="BE23" s="23"/>
      <c r="BF23" s="226">
        <f>IF($AJ7&lt;9000,0,0.025)</f>
        <v>0</v>
      </c>
      <c r="BG23" s="23"/>
      <c r="BH23" s="199"/>
    </row>
    <row r="24" spans="1:60" s="1" customFormat="1" ht="15.75">
      <c r="A24" s="281" t="s">
        <v>28</v>
      </c>
      <c r="B24" s="224">
        <f t="shared" si="9"/>
        <v>0</v>
      </c>
      <c r="C24" s="223">
        <f>'Preise 80er 90er OAHH'!B20</f>
        <v>8</v>
      </c>
      <c r="D24" s="222">
        <f t="shared" si="2"/>
        <v>88</v>
      </c>
      <c r="E24" s="213">
        <f t="shared" si="1"/>
        <v>0</v>
      </c>
      <c r="F24" s="224">
        <f t="shared" si="10"/>
        <v>0</v>
      </c>
      <c r="G24" s="223">
        <f>'Preise 80er 90er OAHH'!D20</f>
        <v>3</v>
      </c>
      <c r="H24" s="222">
        <f t="shared" si="4"/>
        <v>33</v>
      </c>
      <c r="I24" s="213">
        <f t="shared" si="11"/>
        <v>0</v>
      </c>
      <c r="J24" s="224">
        <f t="shared" si="12"/>
        <v>0</v>
      </c>
      <c r="K24" s="223">
        <f>'Preise 80er 90er OAHH'!F20</f>
        <v>1.5</v>
      </c>
      <c r="L24" s="222">
        <f t="shared" si="7"/>
        <v>16.5</v>
      </c>
      <c r="M24" s="213">
        <f t="shared" si="13"/>
        <v>0</v>
      </c>
      <c r="N24" s="221"/>
      <c r="O24" s="220"/>
      <c r="P24" s="220"/>
      <c r="Q24" s="220"/>
      <c r="R24" s="220"/>
      <c r="S24" s="219"/>
      <c r="T24" s="218"/>
      <c r="U24" s="221"/>
      <c r="V24" s="220"/>
      <c r="W24" s="220"/>
      <c r="X24" s="220"/>
      <c r="Y24" s="220"/>
      <c r="Z24" s="219"/>
      <c r="AA24" s="218"/>
      <c r="AB24" s="221"/>
      <c r="AC24" s="220"/>
      <c r="AD24" s="220"/>
      <c r="AE24" s="220"/>
      <c r="AF24" s="220"/>
      <c r="AG24" s="219"/>
      <c r="AH24" s="218"/>
      <c r="AI24" s="221"/>
      <c r="AJ24" s="220"/>
      <c r="AK24" s="220"/>
      <c r="AL24" s="220"/>
      <c r="AM24" s="220"/>
      <c r="AN24" s="219"/>
      <c r="AO24" s="218"/>
      <c r="AP24" s="221"/>
      <c r="AQ24" s="220"/>
      <c r="AR24" s="220"/>
      <c r="AS24" s="220"/>
      <c r="AT24" s="220"/>
      <c r="AU24" s="219"/>
      <c r="AV24" s="218"/>
      <c r="AW24" s="221"/>
      <c r="AX24" s="220"/>
      <c r="AY24" s="220"/>
      <c r="AZ24" s="220"/>
      <c r="BA24" s="220"/>
      <c r="BB24" s="219"/>
      <c r="BC24" s="218"/>
      <c r="BD24" s="23"/>
      <c r="BE24" s="23"/>
      <c r="BF24" s="226">
        <f>IF($AJ7&lt;12000,0,0.05)</f>
        <v>0</v>
      </c>
      <c r="BG24" s="23"/>
      <c r="BH24" s="199"/>
    </row>
    <row r="25" spans="1:60" s="1" customFormat="1" ht="15.75">
      <c r="A25" s="281" t="s">
        <v>29</v>
      </c>
      <c r="B25" s="224">
        <f t="shared" si="9"/>
        <v>0</v>
      </c>
      <c r="C25" s="223">
        <f>'Preise 80er 90er OAHH'!B21</f>
        <v>8</v>
      </c>
      <c r="D25" s="222">
        <f t="shared" si="2"/>
        <v>88</v>
      </c>
      <c r="E25" s="213">
        <f t="shared" si="1"/>
        <v>0</v>
      </c>
      <c r="F25" s="224">
        <f t="shared" si="10"/>
        <v>0</v>
      </c>
      <c r="G25" s="223">
        <f>'Preise 80er 90er OAHH'!D21</f>
        <v>6</v>
      </c>
      <c r="H25" s="222">
        <f t="shared" si="4"/>
        <v>66</v>
      </c>
      <c r="I25" s="213">
        <f t="shared" si="11"/>
        <v>0</v>
      </c>
      <c r="J25" s="224">
        <f t="shared" si="12"/>
        <v>0</v>
      </c>
      <c r="K25" s="223">
        <f>'Preise 80er 90er OAHH'!F21</f>
        <v>10</v>
      </c>
      <c r="L25" s="222">
        <f t="shared" si="7"/>
        <v>110</v>
      </c>
      <c r="M25" s="213">
        <f t="shared" si="13"/>
        <v>0</v>
      </c>
      <c r="N25" s="221"/>
      <c r="O25" s="220"/>
      <c r="P25" s="220"/>
      <c r="Q25" s="220"/>
      <c r="R25" s="220"/>
      <c r="S25" s="219"/>
      <c r="T25" s="218"/>
      <c r="U25" s="221"/>
      <c r="V25" s="220"/>
      <c r="W25" s="220"/>
      <c r="X25" s="220"/>
      <c r="Y25" s="220"/>
      <c r="Z25" s="219"/>
      <c r="AA25" s="218"/>
      <c r="AB25" s="221"/>
      <c r="AC25" s="220"/>
      <c r="AD25" s="220"/>
      <c r="AE25" s="220"/>
      <c r="AF25" s="220"/>
      <c r="AG25" s="219"/>
      <c r="AH25" s="218"/>
      <c r="AI25" s="221"/>
      <c r="AJ25" s="220"/>
      <c r="AK25" s="220"/>
      <c r="AL25" s="220"/>
      <c r="AM25" s="220"/>
      <c r="AN25" s="219"/>
      <c r="AO25" s="218"/>
      <c r="AP25" s="221"/>
      <c r="AQ25" s="220"/>
      <c r="AR25" s="220"/>
      <c r="AS25" s="220"/>
      <c r="AT25" s="220"/>
      <c r="AU25" s="219"/>
      <c r="AV25" s="218"/>
      <c r="AW25" s="221"/>
      <c r="AX25" s="220"/>
      <c r="AY25" s="220"/>
      <c r="AZ25" s="220"/>
      <c r="BA25" s="220"/>
      <c r="BB25" s="219"/>
      <c r="BC25" s="218"/>
      <c r="BD25" s="23"/>
      <c r="BE25" s="23"/>
      <c r="BF25" s="23">
        <f>SUM(BF22:BF24)</f>
        <v>0</v>
      </c>
      <c r="BG25" s="225">
        <f>AI8</f>
        <v>0</v>
      </c>
      <c r="BH25" s="199">
        <f>BG25*(1-BF25)</f>
        <v>0</v>
      </c>
    </row>
    <row r="26" spans="1:60" s="1" customFormat="1" ht="15.75">
      <c r="A26" s="281" t="s">
        <v>30</v>
      </c>
      <c r="B26" s="224">
        <f t="shared" si="9"/>
        <v>0</v>
      </c>
      <c r="C26" s="223">
        <f>'Preise 80er 90er OAHH'!B22</f>
        <v>5</v>
      </c>
      <c r="D26" s="222">
        <f t="shared" si="2"/>
        <v>55</v>
      </c>
      <c r="E26" s="213">
        <f t="shared" si="1"/>
        <v>0</v>
      </c>
      <c r="F26" s="224">
        <f t="shared" si="10"/>
        <v>0</v>
      </c>
      <c r="G26" s="223">
        <f>'Preise 80er 90er OAHH'!D22</f>
        <v>6</v>
      </c>
      <c r="H26" s="222">
        <f t="shared" si="4"/>
        <v>66</v>
      </c>
      <c r="I26" s="213">
        <f t="shared" si="11"/>
        <v>0</v>
      </c>
      <c r="J26" s="224">
        <f t="shared" si="12"/>
        <v>0</v>
      </c>
      <c r="K26" s="223">
        <f>'Preise 80er 90er OAHH'!F22</f>
        <v>14</v>
      </c>
      <c r="L26" s="222">
        <f t="shared" si="7"/>
        <v>154</v>
      </c>
      <c r="M26" s="213">
        <f t="shared" si="13"/>
        <v>0</v>
      </c>
      <c r="N26" s="221"/>
      <c r="O26" s="220"/>
      <c r="P26" s="220"/>
      <c r="Q26" s="220"/>
      <c r="R26" s="220"/>
      <c r="S26" s="219"/>
      <c r="T26" s="218"/>
      <c r="U26" s="221"/>
      <c r="V26" s="220"/>
      <c r="W26" s="220"/>
      <c r="X26" s="220"/>
      <c r="Y26" s="220"/>
      <c r="Z26" s="219"/>
      <c r="AA26" s="218"/>
      <c r="AB26" s="221"/>
      <c r="AC26" s="220"/>
      <c r="AD26" s="220"/>
      <c r="AE26" s="220"/>
      <c r="AF26" s="220"/>
      <c r="AG26" s="219"/>
      <c r="AH26" s="218"/>
      <c r="AI26" s="221"/>
      <c r="AJ26" s="220"/>
      <c r="AK26" s="220"/>
      <c r="AL26" s="220"/>
      <c r="AM26" s="220"/>
      <c r="AN26" s="219"/>
      <c r="AO26" s="218"/>
      <c r="AP26" s="221"/>
      <c r="AQ26" s="220"/>
      <c r="AR26" s="220"/>
      <c r="AS26" s="220"/>
      <c r="AT26" s="220"/>
      <c r="AU26" s="219"/>
      <c r="AV26" s="218"/>
      <c r="AW26" s="221"/>
      <c r="AX26" s="220"/>
      <c r="AY26" s="220"/>
      <c r="AZ26" s="220"/>
      <c r="BA26" s="220"/>
      <c r="BB26" s="219"/>
      <c r="BC26" s="218"/>
      <c r="BD26" s="23"/>
      <c r="BE26" s="23"/>
      <c r="BF26" s="23"/>
      <c r="BG26" s="23"/>
      <c r="BH26" s="199"/>
    </row>
    <row r="27" spans="1:60" s="1" customFormat="1" ht="15.75">
      <c r="A27" s="281" t="s">
        <v>31</v>
      </c>
      <c r="B27" s="224">
        <f t="shared" si="9"/>
        <v>0</v>
      </c>
      <c r="C27" s="223">
        <f>'Preise 80er 90er OAHH'!B23</f>
        <v>5</v>
      </c>
      <c r="D27" s="222">
        <f t="shared" si="2"/>
        <v>55</v>
      </c>
      <c r="E27" s="213">
        <f t="shared" si="1"/>
        <v>0</v>
      </c>
      <c r="F27" s="224">
        <f t="shared" si="10"/>
        <v>0</v>
      </c>
      <c r="G27" s="223">
        <f>'Preise 80er 90er OAHH'!D23</f>
        <v>7</v>
      </c>
      <c r="H27" s="222">
        <f t="shared" si="4"/>
        <v>77</v>
      </c>
      <c r="I27" s="213">
        <f t="shared" si="11"/>
        <v>0</v>
      </c>
      <c r="J27" s="224">
        <f t="shared" si="12"/>
        <v>0</v>
      </c>
      <c r="K27" s="223">
        <f>'Preise 80er 90er OAHH'!F23</f>
        <v>7</v>
      </c>
      <c r="L27" s="222">
        <f t="shared" si="7"/>
        <v>77</v>
      </c>
      <c r="M27" s="213">
        <f t="shared" si="13"/>
        <v>0</v>
      </c>
      <c r="N27" s="221"/>
      <c r="O27" s="220"/>
      <c r="P27" s="220"/>
      <c r="Q27" s="220"/>
      <c r="R27" s="220"/>
      <c r="S27" s="219"/>
      <c r="T27" s="218"/>
      <c r="U27" s="221"/>
      <c r="V27" s="220"/>
      <c r="W27" s="220"/>
      <c r="X27" s="220"/>
      <c r="Y27" s="220"/>
      <c r="Z27" s="219"/>
      <c r="AA27" s="218"/>
      <c r="AB27" s="221"/>
      <c r="AC27" s="220"/>
      <c r="AD27" s="220"/>
      <c r="AE27" s="220"/>
      <c r="AF27" s="220"/>
      <c r="AG27" s="219"/>
      <c r="AH27" s="218"/>
      <c r="AI27" s="221"/>
      <c r="AJ27" s="220"/>
      <c r="AK27" s="220"/>
      <c r="AL27" s="220"/>
      <c r="AM27" s="220"/>
      <c r="AN27" s="219"/>
      <c r="AO27" s="218"/>
      <c r="AP27" s="221"/>
      <c r="AQ27" s="220"/>
      <c r="AR27" s="220"/>
      <c r="AS27" s="220"/>
      <c r="AT27" s="220"/>
      <c r="AU27" s="219"/>
      <c r="AV27" s="218"/>
      <c r="AW27" s="221"/>
      <c r="AX27" s="220"/>
      <c r="AY27" s="220"/>
      <c r="AZ27" s="220"/>
      <c r="BA27" s="220"/>
      <c r="BB27" s="219"/>
      <c r="BC27" s="218"/>
      <c r="BD27" s="23"/>
      <c r="BE27" s="23"/>
      <c r="BF27" s="23"/>
      <c r="BG27" s="23"/>
      <c r="BH27" s="199"/>
    </row>
    <row r="28" spans="1:60" s="1" customFormat="1" ht="15.75">
      <c r="A28" s="281" t="s">
        <v>32</v>
      </c>
      <c r="B28" s="224">
        <f t="shared" si="9"/>
        <v>0</v>
      </c>
      <c r="C28" s="223">
        <f>'Preise 80er 90er OAHH'!B24</f>
        <v>5</v>
      </c>
      <c r="D28" s="222">
        <f t="shared" si="2"/>
        <v>55</v>
      </c>
      <c r="E28" s="213">
        <f t="shared" si="1"/>
        <v>0</v>
      </c>
      <c r="F28" s="224">
        <f t="shared" si="10"/>
        <v>0</v>
      </c>
      <c r="G28" s="223">
        <f>'Preise 80er 90er OAHH'!D24</f>
        <v>8</v>
      </c>
      <c r="H28" s="222">
        <f t="shared" si="4"/>
        <v>88</v>
      </c>
      <c r="I28" s="213">
        <f t="shared" si="11"/>
        <v>0</v>
      </c>
      <c r="J28" s="224">
        <f t="shared" si="12"/>
        <v>0</v>
      </c>
      <c r="K28" s="223">
        <f>'Preise 80er 90er OAHH'!F24</f>
        <v>6</v>
      </c>
      <c r="L28" s="222">
        <f t="shared" si="7"/>
        <v>66</v>
      </c>
      <c r="M28" s="213">
        <f t="shared" si="13"/>
        <v>0</v>
      </c>
      <c r="N28" s="221"/>
      <c r="O28" s="220"/>
      <c r="P28" s="220"/>
      <c r="Q28" s="220"/>
      <c r="R28" s="220"/>
      <c r="S28" s="219"/>
      <c r="T28" s="218"/>
      <c r="U28" s="221"/>
      <c r="V28" s="220"/>
      <c r="W28" s="220"/>
      <c r="X28" s="220"/>
      <c r="Y28" s="220"/>
      <c r="Z28" s="219"/>
      <c r="AA28" s="218"/>
      <c r="AB28" s="221"/>
      <c r="AC28" s="220"/>
      <c r="AD28" s="220"/>
      <c r="AE28" s="220"/>
      <c r="AF28" s="220"/>
      <c r="AG28" s="219"/>
      <c r="AH28" s="218"/>
      <c r="AI28" s="221"/>
      <c r="AJ28" s="220"/>
      <c r="AK28" s="220"/>
      <c r="AL28" s="220"/>
      <c r="AM28" s="220"/>
      <c r="AN28" s="219"/>
      <c r="AO28" s="218"/>
      <c r="AP28" s="221"/>
      <c r="AQ28" s="220"/>
      <c r="AR28" s="220"/>
      <c r="AS28" s="220"/>
      <c r="AT28" s="220"/>
      <c r="AU28" s="219"/>
      <c r="AV28" s="218"/>
      <c r="AW28" s="221"/>
      <c r="AX28" s="220"/>
      <c r="AY28" s="220"/>
      <c r="AZ28" s="220"/>
      <c r="BA28" s="220"/>
      <c r="BB28" s="219"/>
      <c r="BC28" s="218"/>
      <c r="BD28" s="23"/>
      <c r="BE28" s="23"/>
      <c r="BF28" s="23"/>
      <c r="BG28" s="23"/>
      <c r="BH28" s="199"/>
    </row>
    <row r="29" spans="1:60" s="1" customFormat="1" ht="15.75">
      <c r="A29" s="281" t="s">
        <v>33</v>
      </c>
      <c r="B29" s="224">
        <f t="shared" si="9"/>
        <v>0</v>
      </c>
      <c r="C29" s="223">
        <f>'Preise 80er 90er OAHH'!B25</f>
        <v>5</v>
      </c>
      <c r="D29" s="222">
        <f t="shared" si="2"/>
        <v>55</v>
      </c>
      <c r="E29" s="213">
        <f t="shared" si="1"/>
        <v>0</v>
      </c>
      <c r="F29" s="224">
        <f t="shared" si="10"/>
        <v>0</v>
      </c>
      <c r="G29" s="223">
        <f>'Preise 80er 90er OAHH'!D25</f>
        <v>4</v>
      </c>
      <c r="H29" s="222">
        <f t="shared" si="4"/>
        <v>44</v>
      </c>
      <c r="I29" s="213">
        <f t="shared" si="11"/>
        <v>0</v>
      </c>
      <c r="J29" s="224">
        <f t="shared" si="12"/>
        <v>0</v>
      </c>
      <c r="K29" s="223">
        <f>'Preise 80er 90er OAHH'!F25</f>
        <v>5</v>
      </c>
      <c r="L29" s="222">
        <f t="shared" si="7"/>
        <v>55</v>
      </c>
      <c r="M29" s="213">
        <f t="shared" si="13"/>
        <v>0</v>
      </c>
      <c r="N29" s="221"/>
      <c r="O29" s="220"/>
      <c r="P29" s="220"/>
      <c r="Q29" s="220"/>
      <c r="R29" s="220"/>
      <c r="S29" s="219"/>
      <c r="T29" s="218"/>
      <c r="U29" s="221"/>
      <c r="V29" s="220"/>
      <c r="W29" s="220"/>
      <c r="X29" s="220"/>
      <c r="Y29" s="220"/>
      <c r="Z29" s="219"/>
      <c r="AA29" s="218"/>
      <c r="AB29" s="221"/>
      <c r="AC29" s="220"/>
      <c r="AD29" s="220"/>
      <c r="AE29" s="220"/>
      <c r="AF29" s="220"/>
      <c r="AG29" s="219"/>
      <c r="AH29" s="218"/>
      <c r="AI29" s="221"/>
      <c r="AJ29" s="220"/>
      <c r="AK29" s="220"/>
      <c r="AL29" s="220"/>
      <c r="AM29" s="220"/>
      <c r="AN29" s="219"/>
      <c r="AO29" s="218"/>
      <c r="AP29" s="221"/>
      <c r="AQ29" s="220"/>
      <c r="AR29" s="220"/>
      <c r="AS29" s="220"/>
      <c r="AT29" s="220"/>
      <c r="AU29" s="219"/>
      <c r="AV29" s="218"/>
      <c r="AW29" s="221"/>
      <c r="AX29" s="220"/>
      <c r="AY29" s="220"/>
      <c r="AZ29" s="220"/>
      <c r="BA29" s="220"/>
      <c r="BB29" s="219"/>
      <c r="BC29" s="218"/>
      <c r="BD29" s="23"/>
      <c r="BE29" s="23"/>
      <c r="BF29" s="23"/>
      <c r="BG29" s="23"/>
      <c r="BH29" s="199"/>
    </row>
    <row r="30" spans="1:60" s="1" customFormat="1" ht="15.75">
      <c r="A30" s="281" t="s">
        <v>34</v>
      </c>
      <c r="B30" s="224">
        <f t="shared" si="9"/>
        <v>0</v>
      </c>
      <c r="C30" s="223">
        <f>'Preise 80er 90er OAHH'!B26</f>
        <v>4</v>
      </c>
      <c r="D30" s="222">
        <f t="shared" si="2"/>
        <v>44</v>
      </c>
      <c r="E30" s="213">
        <f t="shared" si="1"/>
        <v>0</v>
      </c>
      <c r="F30" s="224">
        <f t="shared" si="10"/>
        <v>0</v>
      </c>
      <c r="G30" s="223">
        <f>'Preise 80er 90er OAHH'!D26</f>
        <v>4</v>
      </c>
      <c r="H30" s="222">
        <f t="shared" si="4"/>
        <v>44</v>
      </c>
      <c r="I30" s="213">
        <f t="shared" si="11"/>
        <v>0</v>
      </c>
      <c r="J30" s="224">
        <f t="shared" si="12"/>
        <v>0</v>
      </c>
      <c r="K30" s="223">
        <f>'Preise 80er 90er OAHH'!F26</f>
        <v>5</v>
      </c>
      <c r="L30" s="222">
        <f t="shared" si="7"/>
        <v>55</v>
      </c>
      <c r="M30" s="213">
        <f t="shared" si="13"/>
        <v>0</v>
      </c>
      <c r="N30" s="221"/>
      <c r="O30" s="220"/>
      <c r="P30" s="220"/>
      <c r="Q30" s="220"/>
      <c r="R30" s="220"/>
      <c r="S30" s="219"/>
      <c r="T30" s="218"/>
      <c r="U30" s="221"/>
      <c r="V30" s="220"/>
      <c r="W30" s="220"/>
      <c r="X30" s="220"/>
      <c r="Y30" s="220"/>
      <c r="Z30" s="219"/>
      <c r="AA30" s="218"/>
      <c r="AB30" s="221"/>
      <c r="AC30" s="220"/>
      <c r="AD30" s="220"/>
      <c r="AE30" s="220"/>
      <c r="AF30" s="220"/>
      <c r="AG30" s="219"/>
      <c r="AH30" s="218"/>
      <c r="AI30" s="221"/>
      <c r="AJ30" s="220"/>
      <c r="AK30" s="220"/>
      <c r="AL30" s="220"/>
      <c r="AM30" s="220"/>
      <c r="AN30" s="219"/>
      <c r="AO30" s="218"/>
      <c r="AP30" s="221"/>
      <c r="AQ30" s="220"/>
      <c r="AR30" s="220"/>
      <c r="AS30" s="220"/>
      <c r="AT30" s="220"/>
      <c r="AU30" s="219"/>
      <c r="AV30" s="218"/>
      <c r="AW30" s="221"/>
      <c r="AX30" s="220"/>
      <c r="AY30" s="220"/>
      <c r="AZ30" s="220"/>
      <c r="BA30" s="220"/>
      <c r="BB30" s="219"/>
      <c r="BC30" s="218"/>
      <c r="BD30" s="23"/>
      <c r="BE30" s="23"/>
      <c r="BF30" s="23"/>
      <c r="BG30" s="23"/>
      <c r="BH30" s="199"/>
    </row>
    <row r="31" spans="1:60" s="1" customFormat="1" ht="15.75">
      <c r="A31" s="281" t="s">
        <v>35</v>
      </c>
      <c r="B31" s="224">
        <f t="shared" si="9"/>
        <v>0</v>
      </c>
      <c r="C31" s="223">
        <f>'Preise 80er 90er OAHH'!B27</f>
        <v>4</v>
      </c>
      <c r="D31" s="222">
        <f t="shared" si="2"/>
        <v>44</v>
      </c>
      <c r="E31" s="213">
        <f t="shared" si="1"/>
        <v>0</v>
      </c>
      <c r="F31" s="224">
        <f t="shared" si="10"/>
        <v>0</v>
      </c>
      <c r="G31" s="223">
        <f>'Preise 80er 90er OAHH'!D27</f>
        <v>5</v>
      </c>
      <c r="H31" s="222">
        <f t="shared" si="4"/>
        <v>55</v>
      </c>
      <c r="I31" s="213">
        <f t="shared" si="11"/>
        <v>0</v>
      </c>
      <c r="J31" s="224">
        <f t="shared" si="12"/>
        <v>0</v>
      </c>
      <c r="K31" s="223">
        <f>'Preise 80er 90er OAHH'!F27</f>
        <v>5</v>
      </c>
      <c r="L31" s="222">
        <f t="shared" si="7"/>
        <v>55</v>
      </c>
      <c r="M31" s="213">
        <f t="shared" si="13"/>
        <v>0</v>
      </c>
      <c r="N31" s="221"/>
      <c r="O31" s="220"/>
      <c r="P31" s="220"/>
      <c r="Q31" s="220"/>
      <c r="R31" s="220"/>
      <c r="S31" s="219"/>
      <c r="T31" s="218"/>
      <c r="U31" s="221"/>
      <c r="V31" s="220"/>
      <c r="W31" s="220"/>
      <c r="X31" s="220"/>
      <c r="Y31" s="220"/>
      <c r="Z31" s="219"/>
      <c r="AA31" s="218"/>
      <c r="AB31" s="221"/>
      <c r="AC31" s="220"/>
      <c r="AD31" s="220"/>
      <c r="AE31" s="220"/>
      <c r="AF31" s="220"/>
      <c r="AG31" s="219"/>
      <c r="AH31" s="218"/>
      <c r="AI31" s="221"/>
      <c r="AJ31" s="220"/>
      <c r="AK31" s="220"/>
      <c r="AL31" s="220"/>
      <c r="AM31" s="220"/>
      <c r="AN31" s="219"/>
      <c r="AO31" s="218"/>
      <c r="AP31" s="221"/>
      <c r="AQ31" s="220"/>
      <c r="AR31" s="220"/>
      <c r="AS31" s="220"/>
      <c r="AT31" s="220"/>
      <c r="AU31" s="219"/>
      <c r="AV31" s="218"/>
      <c r="AW31" s="221"/>
      <c r="AX31" s="220"/>
      <c r="AY31" s="220"/>
      <c r="AZ31" s="220"/>
      <c r="BA31" s="220"/>
      <c r="BB31" s="219"/>
      <c r="BC31" s="218"/>
      <c r="BD31" s="23"/>
      <c r="BE31" s="23"/>
      <c r="BF31" s="23"/>
      <c r="BG31" s="23"/>
      <c r="BH31" s="199"/>
    </row>
    <row r="32" spans="1:60" s="1" customFormat="1" ht="15.75">
      <c r="A32" s="281" t="s">
        <v>36</v>
      </c>
      <c r="B32" s="224">
        <f t="shared" si="9"/>
        <v>0</v>
      </c>
      <c r="C32" s="223">
        <f>'Preise 80er 90er OAHH'!B28</f>
        <v>4</v>
      </c>
      <c r="D32" s="222">
        <f t="shared" si="2"/>
        <v>44</v>
      </c>
      <c r="E32" s="213">
        <f t="shared" si="1"/>
        <v>0</v>
      </c>
      <c r="F32" s="224">
        <f t="shared" si="10"/>
        <v>0</v>
      </c>
      <c r="G32" s="223">
        <f>'Preise 80er 90er OAHH'!D28</f>
        <v>5</v>
      </c>
      <c r="H32" s="222">
        <f t="shared" si="4"/>
        <v>55</v>
      </c>
      <c r="I32" s="213">
        <f t="shared" si="11"/>
        <v>0</v>
      </c>
      <c r="J32" s="224">
        <f t="shared" si="12"/>
        <v>0</v>
      </c>
      <c r="K32" s="223">
        <f>'Preise 80er 90er OAHH'!F28</f>
        <v>2</v>
      </c>
      <c r="L32" s="222">
        <f t="shared" si="7"/>
        <v>22</v>
      </c>
      <c r="M32" s="213">
        <f t="shared" si="13"/>
        <v>0</v>
      </c>
      <c r="N32" s="221"/>
      <c r="O32" s="220"/>
      <c r="P32" s="220"/>
      <c r="Q32" s="220"/>
      <c r="R32" s="220"/>
      <c r="S32" s="219"/>
      <c r="T32" s="218"/>
      <c r="U32" s="221"/>
      <c r="V32" s="220"/>
      <c r="W32" s="220"/>
      <c r="X32" s="220"/>
      <c r="Y32" s="220"/>
      <c r="Z32" s="219"/>
      <c r="AA32" s="218"/>
      <c r="AB32" s="221"/>
      <c r="AC32" s="220"/>
      <c r="AD32" s="220"/>
      <c r="AE32" s="220"/>
      <c r="AF32" s="220"/>
      <c r="AG32" s="219"/>
      <c r="AH32" s="218"/>
      <c r="AI32" s="221"/>
      <c r="AJ32" s="220"/>
      <c r="AK32" s="220"/>
      <c r="AL32" s="220"/>
      <c r="AM32" s="220"/>
      <c r="AN32" s="219"/>
      <c r="AO32" s="218"/>
      <c r="AP32" s="221"/>
      <c r="AQ32" s="220"/>
      <c r="AR32" s="220"/>
      <c r="AS32" s="220"/>
      <c r="AT32" s="220"/>
      <c r="AU32" s="219"/>
      <c r="AV32" s="218"/>
      <c r="AW32" s="221"/>
      <c r="AX32" s="220"/>
      <c r="AY32" s="220"/>
      <c r="AZ32" s="220"/>
      <c r="BA32" s="220"/>
      <c r="BB32" s="219"/>
      <c r="BC32" s="218"/>
      <c r="BD32" s="23"/>
      <c r="BE32" s="23"/>
      <c r="BF32" s="23"/>
      <c r="BG32" s="23"/>
      <c r="BH32" s="199"/>
    </row>
    <row r="33" spans="1:62" s="1" customFormat="1" ht="15.75">
      <c r="A33" s="281" t="s">
        <v>37</v>
      </c>
      <c r="B33" s="224">
        <f t="shared" si="9"/>
        <v>0</v>
      </c>
      <c r="C33" s="223">
        <f>'Preise 80er 90er OAHH'!B29</f>
        <v>4</v>
      </c>
      <c r="D33" s="222">
        <f t="shared" si="2"/>
        <v>44</v>
      </c>
      <c r="E33" s="213">
        <f t="shared" si="1"/>
        <v>0</v>
      </c>
      <c r="F33" s="224">
        <f t="shared" si="10"/>
        <v>0</v>
      </c>
      <c r="G33" s="223">
        <f>'Preise 80er 90er OAHH'!D29</f>
        <v>5</v>
      </c>
      <c r="H33" s="222">
        <f t="shared" si="4"/>
        <v>55</v>
      </c>
      <c r="I33" s="213">
        <f t="shared" si="11"/>
        <v>0</v>
      </c>
      <c r="J33" s="224">
        <f t="shared" si="12"/>
        <v>0</v>
      </c>
      <c r="K33" s="223">
        <f>'Preise 80er 90er OAHH'!F29</f>
        <v>2</v>
      </c>
      <c r="L33" s="222">
        <f t="shared" si="7"/>
        <v>22</v>
      </c>
      <c r="M33" s="213">
        <f t="shared" si="13"/>
        <v>0</v>
      </c>
      <c r="N33" s="221"/>
      <c r="O33" s="220"/>
      <c r="P33" s="220"/>
      <c r="Q33" s="220"/>
      <c r="R33" s="220"/>
      <c r="S33" s="219"/>
      <c r="T33" s="218"/>
      <c r="U33" s="221"/>
      <c r="V33" s="220"/>
      <c r="W33" s="220"/>
      <c r="X33" s="220"/>
      <c r="Y33" s="220"/>
      <c r="Z33" s="219"/>
      <c r="AA33" s="218"/>
      <c r="AB33" s="221"/>
      <c r="AC33" s="220"/>
      <c r="AD33" s="220"/>
      <c r="AE33" s="220"/>
      <c r="AF33" s="220"/>
      <c r="AG33" s="219"/>
      <c r="AH33" s="218"/>
      <c r="AI33" s="221"/>
      <c r="AJ33" s="220"/>
      <c r="AK33" s="220"/>
      <c r="AL33" s="220"/>
      <c r="AM33" s="220"/>
      <c r="AN33" s="219"/>
      <c r="AO33" s="218"/>
      <c r="AP33" s="221"/>
      <c r="AQ33" s="220"/>
      <c r="AR33" s="220"/>
      <c r="AS33" s="220"/>
      <c r="AT33" s="220"/>
      <c r="AU33" s="219"/>
      <c r="AV33" s="218"/>
      <c r="AW33" s="221"/>
      <c r="AX33" s="220"/>
      <c r="AY33" s="220"/>
      <c r="AZ33" s="220"/>
      <c r="BA33" s="220"/>
      <c r="BB33" s="219"/>
      <c r="BC33" s="218"/>
      <c r="BD33" s="23"/>
      <c r="BE33" s="23"/>
      <c r="BF33" s="23"/>
      <c r="BG33" s="23"/>
      <c r="BH33" s="199"/>
    </row>
    <row r="34" spans="1:62" s="1" customFormat="1" ht="15.75">
      <c r="A34" s="281" t="s">
        <v>38</v>
      </c>
      <c r="B34" s="224">
        <f t="shared" si="9"/>
        <v>0</v>
      </c>
      <c r="C34" s="223">
        <f>'Preise 80er 90er OAHH'!B30</f>
        <v>3</v>
      </c>
      <c r="D34" s="222">
        <f t="shared" si="2"/>
        <v>33</v>
      </c>
      <c r="E34" s="213">
        <f t="shared" si="1"/>
        <v>0</v>
      </c>
      <c r="F34" s="224">
        <f t="shared" si="10"/>
        <v>0</v>
      </c>
      <c r="G34" s="223">
        <f>'Preise 80er 90er OAHH'!D30</f>
        <v>5</v>
      </c>
      <c r="H34" s="222">
        <f t="shared" si="4"/>
        <v>55</v>
      </c>
      <c r="I34" s="213">
        <f t="shared" si="11"/>
        <v>0</v>
      </c>
      <c r="J34" s="224">
        <f t="shared" si="12"/>
        <v>0</v>
      </c>
      <c r="K34" s="223">
        <f>'Preise 80er 90er OAHH'!F30</f>
        <v>1.5</v>
      </c>
      <c r="L34" s="222">
        <f t="shared" si="7"/>
        <v>16.5</v>
      </c>
      <c r="M34" s="213">
        <f t="shared" si="13"/>
        <v>0</v>
      </c>
      <c r="N34" s="221"/>
      <c r="O34" s="220"/>
      <c r="P34" s="220"/>
      <c r="Q34" s="220"/>
      <c r="R34" s="220"/>
      <c r="S34" s="219"/>
      <c r="T34" s="218"/>
      <c r="U34" s="221"/>
      <c r="V34" s="220"/>
      <c r="W34" s="220"/>
      <c r="X34" s="220"/>
      <c r="Y34" s="220"/>
      <c r="Z34" s="219"/>
      <c r="AA34" s="218"/>
      <c r="AB34" s="221"/>
      <c r="AC34" s="220"/>
      <c r="AD34" s="220"/>
      <c r="AE34" s="220"/>
      <c r="AF34" s="220"/>
      <c r="AG34" s="219"/>
      <c r="AH34" s="218"/>
      <c r="AI34" s="221"/>
      <c r="AJ34" s="220"/>
      <c r="AK34" s="220"/>
      <c r="AL34" s="220"/>
      <c r="AM34" s="220"/>
      <c r="AN34" s="219"/>
      <c r="AO34" s="218"/>
      <c r="AP34" s="221"/>
      <c r="AQ34" s="220"/>
      <c r="AR34" s="220"/>
      <c r="AS34" s="220"/>
      <c r="AT34" s="220"/>
      <c r="AU34" s="219"/>
      <c r="AV34" s="218"/>
      <c r="AW34" s="221"/>
      <c r="AX34" s="220"/>
      <c r="AY34" s="220"/>
      <c r="AZ34" s="220"/>
      <c r="BA34" s="220"/>
      <c r="BB34" s="219"/>
      <c r="BC34" s="218"/>
      <c r="BD34" s="23"/>
      <c r="BE34" s="23"/>
      <c r="BF34" s="23"/>
      <c r="BG34" s="23"/>
      <c r="BH34" s="199"/>
    </row>
    <row r="35" spans="1:62" s="1" customFormat="1" ht="15.75">
      <c r="A35" s="281" t="s">
        <v>39</v>
      </c>
      <c r="B35" s="224">
        <f t="shared" si="9"/>
        <v>0</v>
      </c>
      <c r="C35" s="223">
        <f>'Preise 80er 90er OAHH'!B31</f>
        <v>3</v>
      </c>
      <c r="D35" s="222">
        <f t="shared" si="2"/>
        <v>33</v>
      </c>
      <c r="E35" s="213">
        <f t="shared" si="1"/>
        <v>0</v>
      </c>
      <c r="F35" s="224">
        <f t="shared" si="10"/>
        <v>0</v>
      </c>
      <c r="G35" s="223">
        <f>'Preise 80er 90er OAHH'!D31</f>
        <v>2</v>
      </c>
      <c r="H35" s="222">
        <f t="shared" si="4"/>
        <v>22</v>
      </c>
      <c r="I35" s="213">
        <f t="shared" si="11"/>
        <v>0</v>
      </c>
      <c r="J35" s="224">
        <f t="shared" si="12"/>
        <v>0</v>
      </c>
      <c r="K35" s="223">
        <f>'Preise 80er 90er OAHH'!F31</f>
        <v>1</v>
      </c>
      <c r="L35" s="222">
        <f t="shared" si="7"/>
        <v>11</v>
      </c>
      <c r="M35" s="213">
        <f t="shared" si="13"/>
        <v>0</v>
      </c>
      <c r="N35" s="221"/>
      <c r="O35" s="220"/>
      <c r="P35" s="220"/>
      <c r="Q35" s="220"/>
      <c r="R35" s="220"/>
      <c r="S35" s="219"/>
      <c r="T35" s="218"/>
      <c r="U35" s="221"/>
      <c r="V35" s="220"/>
      <c r="W35" s="220"/>
      <c r="X35" s="220"/>
      <c r="Y35" s="220"/>
      <c r="Z35" s="219"/>
      <c r="AA35" s="218"/>
      <c r="AB35" s="221"/>
      <c r="AC35" s="220"/>
      <c r="AD35" s="220"/>
      <c r="AE35" s="220"/>
      <c r="AF35" s="220"/>
      <c r="AG35" s="219"/>
      <c r="AH35" s="218"/>
      <c r="AI35" s="221"/>
      <c r="AJ35" s="220"/>
      <c r="AK35" s="220"/>
      <c r="AL35" s="220"/>
      <c r="AM35" s="220"/>
      <c r="AN35" s="219"/>
      <c r="AO35" s="218"/>
      <c r="AP35" s="221"/>
      <c r="AQ35" s="220"/>
      <c r="AR35" s="220"/>
      <c r="AS35" s="220"/>
      <c r="AT35" s="220"/>
      <c r="AU35" s="219"/>
      <c r="AV35" s="218"/>
      <c r="AW35" s="221"/>
      <c r="AX35" s="220"/>
      <c r="AY35" s="220"/>
      <c r="AZ35" s="220"/>
      <c r="BA35" s="220"/>
      <c r="BB35" s="219"/>
      <c r="BC35" s="218"/>
      <c r="BD35" s="23"/>
      <c r="BE35" s="23"/>
      <c r="BF35" s="23"/>
      <c r="BG35" s="23"/>
      <c r="BH35" s="199"/>
    </row>
    <row r="36" spans="1:62" s="1" customFormat="1" ht="15.75">
      <c r="A36" s="281" t="s">
        <v>40</v>
      </c>
      <c r="B36" s="224">
        <f t="shared" si="9"/>
        <v>0</v>
      </c>
      <c r="C36" s="223">
        <f>'Preise 80er 90er OAHH'!B32</f>
        <v>2</v>
      </c>
      <c r="D36" s="222">
        <f t="shared" si="2"/>
        <v>22</v>
      </c>
      <c r="E36" s="213">
        <f t="shared" si="1"/>
        <v>0</v>
      </c>
      <c r="F36" s="224">
        <f t="shared" si="10"/>
        <v>0</v>
      </c>
      <c r="G36" s="223">
        <f>'Preise 80er 90er OAHH'!D32</f>
        <v>2</v>
      </c>
      <c r="H36" s="222">
        <f t="shared" si="4"/>
        <v>22</v>
      </c>
      <c r="I36" s="213">
        <f t="shared" si="11"/>
        <v>0</v>
      </c>
      <c r="J36" s="224">
        <f t="shared" si="12"/>
        <v>0</v>
      </c>
      <c r="K36" s="223">
        <f>'Preise 80er 90er OAHH'!F32</f>
        <v>1</v>
      </c>
      <c r="L36" s="222">
        <f t="shared" si="7"/>
        <v>11</v>
      </c>
      <c r="M36" s="213">
        <f t="shared" si="13"/>
        <v>0</v>
      </c>
      <c r="N36" s="221"/>
      <c r="O36" s="220"/>
      <c r="P36" s="220"/>
      <c r="Q36" s="220"/>
      <c r="R36" s="220"/>
      <c r="S36" s="219"/>
      <c r="T36" s="218"/>
      <c r="U36" s="221"/>
      <c r="V36" s="220"/>
      <c r="W36" s="220"/>
      <c r="X36" s="220"/>
      <c r="Y36" s="220"/>
      <c r="Z36" s="219"/>
      <c r="AA36" s="218"/>
      <c r="AB36" s="221"/>
      <c r="AC36" s="220"/>
      <c r="AD36" s="220"/>
      <c r="AE36" s="220"/>
      <c r="AF36" s="220"/>
      <c r="AG36" s="219"/>
      <c r="AH36" s="218"/>
      <c r="AI36" s="221"/>
      <c r="AJ36" s="220"/>
      <c r="AK36" s="220"/>
      <c r="AL36" s="220"/>
      <c r="AM36" s="220"/>
      <c r="AN36" s="219"/>
      <c r="AO36" s="218"/>
      <c r="AP36" s="221"/>
      <c r="AQ36" s="220"/>
      <c r="AR36" s="220"/>
      <c r="AS36" s="220"/>
      <c r="AT36" s="220"/>
      <c r="AU36" s="219"/>
      <c r="AV36" s="218"/>
      <c r="AW36" s="221"/>
      <c r="AX36" s="220"/>
      <c r="AY36" s="220"/>
      <c r="AZ36" s="220"/>
      <c r="BA36" s="220"/>
      <c r="BB36" s="219"/>
      <c r="BC36" s="218"/>
      <c r="BD36" s="23"/>
      <c r="BE36" s="23"/>
      <c r="BF36" s="23"/>
      <c r="BG36" s="23"/>
      <c r="BH36" s="199"/>
    </row>
    <row r="37" spans="1:62" s="1" customFormat="1" ht="15.75">
      <c r="A37" s="281" t="s">
        <v>41</v>
      </c>
      <c r="B37" s="224">
        <f t="shared" si="9"/>
        <v>0</v>
      </c>
      <c r="C37" s="223">
        <f>'Preise 80er 90er OAHH'!B33</f>
        <v>1.5</v>
      </c>
      <c r="D37" s="222">
        <f t="shared" si="2"/>
        <v>16.5</v>
      </c>
      <c r="E37" s="213">
        <f t="shared" si="1"/>
        <v>0</v>
      </c>
      <c r="F37" s="224">
        <f t="shared" si="10"/>
        <v>0</v>
      </c>
      <c r="G37" s="223">
        <f>'Preise 80er 90er OAHH'!D33</f>
        <v>1</v>
      </c>
      <c r="H37" s="222">
        <f t="shared" si="4"/>
        <v>11</v>
      </c>
      <c r="I37" s="213">
        <f t="shared" si="11"/>
        <v>0</v>
      </c>
      <c r="J37" s="224">
        <f t="shared" si="12"/>
        <v>0</v>
      </c>
      <c r="K37" s="223">
        <f>'Preise 80er 90er OAHH'!F33</f>
        <v>1</v>
      </c>
      <c r="L37" s="222">
        <f t="shared" si="7"/>
        <v>11</v>
      </c>
      <c r="M37" s="213">
        <f t="shared" si="13"/>
        <v>0</v>
      </c>
      <c r="N37" s="221"/>
      <c r="O37" s="220"/>
      <c r="P37" s="220"/>
      <c r="Q37" s="220"/>
      <c r="R37" s="220"/>
      <c r="S37" s="219"/>
      <c r="T37" s="218"/>
      <c r="U37" s="221"/>
      <c r="V37" s="220"/>
      <c r="W37" s="220"/>
      <c r="X37" s="220"/>
      <c r="Y37" s="220"/>
      <c r="Z37" s="219"/>
      <c r="AA37" s="218"/>
      <c r="AB37" s="221"/>
      <c r="AC37" s="220"/>
      <c r="AD37" s="220"/>
      <c r="AE37" s="220"/>
      <c r="AF37" s="220"/>
      <c r="AG37" s="219"/>
      <c r="AH37" s="218"/>
      <c r="AI37" s="221"/>
      <c r="AJ37" s="220"/>
      <c r="AK37" s="220"/>
      <c r="AL37" s="220"/>
      <c r="AM37" s="220"/>
      <c r="AN37" s="219"/>
      <c r="AO37" s="218"/>
      <c r="AP37" s="221"/>
      <c r="AQ37" s="220"/>
      <c r="AR37" s="220"/>
      <c r="AS37" s="220"/>
      <c r="AT37" s="220"/>
      <c r="AU37" s="219"/>
      <c r="AV37" s="218"/>
      <c r="AW37" s="221"/>
      <c r="AX37" s="220"/>
      <c r="AY37" s="220"/>
      <c r="AZ37" s="220"/>
      <c r="BA37" s="220"/>
      <c r="BB37" s="219"/>
      <c r="BC37" s="218"/>
      <c r="BD37" s="23"/>
      <c r="BE37" s="23"/>
      <c r="BF37" s="23"/>
      <c r="BG37" s="23"/>
      <c r="BH37" s="199"/>
    </row>
    <row r="38" spans="1:62" s="1" customFormat="1" ht="15.75">
      <c r="A38" s="281" t="s">
        <v>42</v>
      </c>
      <c r="B38" s="224">
        <f t="shared" si="9"/>
        <v>0</v>
      </c>
      <c r="C38" s="223">
        <f>'Preise 80er 90er OAHH'!B34</f>
        <v>1</v>
      </c>
      <c r="D38" s="222">
        <f t="shared" si="2"/>
        <v>11</v>
      </c>
      <c r="E38" s="213">
        <f t="shared" si="1"/>
        <v>0</v>
      </c>
      <c r="F38" s="224">
        <f t="shared" si="10"/>
        <v>0</v>
      </c>
      <c r="G38" s="223">
        <f>'Preise 80er 90er OAHH'!D34</f>
        <v>1</v>
      </c>
      <c r="H38" s="222">
        <f t="shared" si="4"/>
        <v>11</v>
      </c>
      <c r="I38" s="213">
        <f t="shared" si="11"/>
        <v>0</v>
      </c>
      <c r="J38" s="224">
        <f t="shared" si="12"/>
        <v>0</v>
      </c>
      <c r="K38" s="223">
        <f>'Preise 80er 90er OAHH'!F34</f>
        <v>1</v>
      </c>
      <c r="L38" s="222">
        <f t="shared" si="7"/>
        <v>11</v>
      </c>
      <c r="M38" s="213">
        <f t="shared" si="13"/>
        <v>0</v>
      </c>
      <c r="N38" s="221"/>
      <c r="O38" s="220"/>
      <c r="P38" s="220"/>
      <c r="Q38" s="220"/>
      <c r="R38" s="220"/>
      <c r="S38" s="219"/>
      <c r="T38" s="218"/>
      <c r="U38" s="221"/>
      <c r="V38" s="220"/>
      <c r="W38" s="220"/>
      <c r="X38" s="220"/>
      <c r="Y38" s="220"/>
      <c r="Z38" s="219"/>
      <c r="AA38" s="218"/>
      <c r="AB38" s="221"/>
      <c r="AC38" s="220"/>
      <c r="AD38" s="220"/>
      <c r="AE38" s="220"/>
      <c r="AF38" s="220"/>
      <c r="AG38" s="219"/>
      <c r="AH38" s="218"/>
      <c r="AI38" s="221"/>
      <c r="AJ38" s="220"/>
      <c r="AK38" s="220"/>
      <c r="AL38" s="220"/>
      <c r="AM38" s="220"/>
      <c r="AN38" s="219"/>
      <c r="AO38" s="218"/>
      <c r="AP38" s="221"/>
      <c r="AQ38" s="220"/>
      <c r="AR38" s="220"/>
      <c r="AS38" s="220"/>
      <c r="AT38" s="220"/>
      <c r="AU38" s="219"/>
      <c r="AV38" s="218"/>
      <c r="AW38" s="221"/>
      <c r="AX38" s="220"/>
      <c r="AY38" s="220"/>
      <c r="AZ38" s="220"/>
      <c r="BA38" s="220"/>
      <c r="BB38" s="219"/>
      <c r="BC38" s="218"/>
      <c r="BD38" s="23"/>
      <c r="BE38" s="23"/>
      <c r="BF38" s="23"/>
      <c r="BG38" s="23"/>
      <c r="BH38" s="199"/>
    </row>
    <row r="39" spans="1:62" s="1" customFormat="1" ht="15.75">
      <c r="A39" s="282" t="s">
        <v>43</v>
      </c>
      <c r="B39" s="216">
        <f t="shared" si="9"/>
        <v>0</v>
      </c>
      <c r="C39" s="215">
        <f>'Preise 80er 90er OAHH'!B35</f>
        <v>1</v>
      </c>
      <c r="D39" s="214">
        <f t="shared" si="2"/>
        <v>11</v>
      </c>
      <c r="E39" s="217">
        <f t="shared" si="1"/>
        <v>0</v>
      </c>
      <c r="F39" s="216">
        <f t="shared" si="10"/>
        <v>0</v>
      </c>
      <c r="G39" s="215">
        <f>'Preise 80er 90er OAHH'!D35</f>
        <v>1</v>
      </c>
      <c r="H39" s="214">
        <f t="shared" si="4"/>
        <v>11</v>
      </c>
      <c r="I39" s="213">
        <f t="shared" si="11"/>
        <v>0</v>
      </c>
      <c r="J39" s="216">
        <f t="shared" si="12"/>
        <v>0</v>
      </c>
      <c r="K39" s="215">
        <f>'Preise 80er 90er OAHH'!F35</f>
        <v>1</v>
      </c>
      <c r="L39" s="214">
        <f t="shared" si="7"/>
        <v>11</v>
      </c>
      <c r="M39" s="213">
        <f t="shared" si="13"/>
        <v>0</v>
      </c>
      <c r="N39" s="212"/>
      <c r="O39" s="211"/>
      <c r="P39" s="211"/>
      <c r="Q39" s="211"/>
      <c r="R39" s="211"/>
      <c r="S39" s="210"/>
      <c r="T39" s="209"/>
      <c r="U39" s="212"/>
      <c r="V39" s="211"/>
      <c r="W39" s="211"/>
      <c r="X39" s="211"/>
      <c r="Y39" s="211"/>
      <c r="Z39" s="210"/>
      <c r="AA39" s="209"/>
      <c r="AB39" s="212"/>
      <c r="AC39" s="211"/>
      <c r="AD39" s="211"/>
      <c r="AE39" s="211"/>
      <c r="AF39" s="211"/>
      <c r="AG39" s="210"/>
      <c r="AH39" s="209"/>
      <c r="AI39" s="212"/>
      <c r="AJ39" s="211"/>
      <c r="AK39" s="211"/>
      <c r="AL39" s="211"/>
      <c r="AM39" s="211"/>
      <c r="AN39" s="210"/>
      <c r="AO39" s="209"/>
      <c r="AP39" s="212"/>
      <c r="AQ39" s="211"/>
      <c r="AR39" s="211"/>
      <c r="AS39" s="211"/>
      <c r="AT39" s="211"/>
      <c r="AU39" s="210"/>
      <c r="AV39" s="209"/>
      <c r="AW39" s="212"/>
      <c r="AX39" s="211"/>
      <c r="AY39" s="211"/>
      <c r="AZ39" s="211"/>
      <c r="BA39" s="211"/>
      <c r="BB39" s="210"/>
      <c r="BC39" s="209"/>
      <c r="BD39" s="23"/>
      <c r="BE39" s="23"/>
      <c r="BF39" s="23"/>
      <c r="BG39" s="23"/>
      <c r="BH39" s="199"/>
    </row>
    <row r="40" spans="1:62" s="1" customFormat="1" ht="16.5" thickBot="1">
      <c r="A40" s="282" t="s">
        <v>44</v>
      </c>
      <c r="B40" s="208">
        <f t="shared" si="9"/>
        <v>0</v>
      </c>
      <c r="C40" s="207">
        <f>'Preise 80er 90er OAHH'!B36</f>
        <v>1</v>
      </c>
      <c r="D40" s="206">
        <f t="shared" si="2"/>
        <v>11</v>
      </c>
      <c r="E40" s="205">
        <f>B40*D40*(100+$G$10)/100</f>
        <v>0</v>
      </c>
      <c r="F40" s="208">
        <f t="shared" si="10"/>
        <v>0</v>
      </c>
      <c r="G40" s="207">
        <f>'Preise 80er 90er OAHH'!D36</f>
        <v>1</v>
      </c>
      <c r="H40" s="206">
        <f t="shared" si="4"/>
        <v>11</v>
      </c>
      <c r="I40" s="205">
        <f t="shared" si="11"/>
        <v>0</v>
      </c>
      <c r="J40" s="208">
        <f t="shared" si="12"/>
        <v>0</v>
      </c>
      <c r="K40" s="207">
        <f>'Preise 80er 90er OAHH'!F36</f>
        <v>1</v>
      </c>
      <c r="L40" s="206">
        <f t="shared" si="7"/>
        <v>11</v>
      </c>
      <c r="M40" s="205">
        <f t="shared" si="13"/>
        <v>0</v>
      </c>
      <c r="N40" s="204"/>
      <c r="O40" s="203"/>
      <c r="P40" s="203"/>
      <c r="Q40" s="203"/>
      <c r="R40" s="202"/>
      <c r="S40" s="201"/>
      <c r="T40" s="200"/>
      <c r="U40" s="204"/>
      <c r="V40" s="203"/>
      <c r="W40" s="203"/>
      <c r="X40" s="203"/>
      <c r="Y40" s="202"/>
      <c r="Z40" s="201"/>
      <c r="AA40" s="200"/>
      <c r="AB40" s="204"/>
      <c r="AC40" s="203"/>
      <c r="AD40" s="203"/>
      <c r="AE40" s="203"/>
      <c r="AF40" s="202"/>
      <c r="AG40" s="201"/>
      <c r="AH40" s="200"/>
      <c r="AI40" s="204"/>
      <c r="AJ40" s="203"/>
      <c r="AK40" s="203"/>
      <c r="AL40" s="203"/>
      <c r="AM40" s="202"/>
      <c r="AN40" s="201"/>
      <c r="AO40" s="200"/>
      <c r="AP40" s="204"/>
      <c r="AQ40" s="203"/>
      <c r="AR40" s="203"/>
      <c r="AS40" s="203"/>
      <c r="AT40" s="202"/>
      <c r="AU40" s="201"/>
      <c r="AV40" s="200"/>
      <c r="AW40" s="204"/>
      <c r="AX40" s="203"/>
      <c r="AY40" s="203"/>
      <c r="AZ40" s="203"/>
      <c r="BA40" s="202"/>
      <c r="BB40" s="201"/>
      <c r="BC40" s="200"/>
      <c r="BD40" s="23"/>
      <c r="BE40" s="23"/>
      <c r="BF40" s="23"/>
      <c r="BG40" s="23"/>
      <c r="BH40" s="199"/>
    </row>
    <row r="41" spans="1:62" s="187" customFormat="1" ht="16.5" thickBot="1">
      <c r="A41" s="198" t="s">
        <v>45</v>
      </c>
      <c r="B41" s="197">
        <f>SUM(B17:B40)</f>
        <v>0</v>
      </c>
      <c r="C41" s="196"/>
      <c r="D41" s="196"/>
      <c r="E41" s="195">
        <f>SUM(E22:E40)</f>
        <v>0</v>
      </c>
      <c r="F41" s="197">
        <f>SUM(F17:F40)</f>
        <v>0</v>
      </c>
      <c r="G41" s="196"/>
      <c r="H41" s="196"/>
      <c r="I41" s="195">
        <f>SUM(I22:I40)</f>
        <v>0</v>
      </c>
      <c r="J41" s="197">
        <f>SUM(J17:J40)</f>
        <v>0</v>
      </c>
      <c r="K41" s="196"/>
      <c r="L41" s="196"/>
      <c r="M41" s="195">
        <f t="shared" ref="M41:BC41" si="14">SUM(M22:M40)</f>
        <v>0</v>
      </c>
      <c r="N41" s="194">
        <f t="shared" si="14"/>
        <v>0</v>
      </c>
      <c r="O41" s="193">
        <f t="shared" si="14"/>
        <v>0</v>
      </c>
      <c r="P41" s="193">
        <f t="shared" si="14"/>
        <v>0</v>
      </c>
      <c r="Q41" s="193">
        <f t="shared" si="14"/>
        <v>0</v>
      </c>
      <c r="R41" s="192">
        <f t="shared" si="14"/>
        <v>0</v>
      </c>
      <c r="S41" s="191">
        <f t="shared" si="14"/>
        <v>0</v>
      </c>
      <c r="T41" s="190">
        <f t="shared" si="14"/>
        <v>0</v>
      </c>
      <c r="U41" s="194">
        <f t="shared" si="14"/>
        <v>0</v>
      </c>
      <c r="V41" s="193">
        <f t="shared" si="14"/>
        <v>0</v>
      </c>
      <c r="W41" s="193">
        <f t="shared" si="14"/>
        <v>0</v>
      </c>
      <c r="X41" s="193">
        <f t="shared" si="14"/>
        <v>0</v>
      </c>
      <c r="Y41" s="192">
        <f t="shared" si="14"/>
        <v>0</v>
      </c>
      <c r="Z41" s="191">
        <f t="shared" si="14"/>
        <v>0</v>
      </c>
      <c r="AA41" s="190">
        <f t="shared" si="14"/>
        <v>0</v>
      </c>
      <c r="AB41" s="194">
        <f t="shared" si="14"/>
        <v>0</v>
      </c>
      <c r="AC41" s="193">
        <f t="shared" si="14"/>
        <v>0</v>
      </c>
      <c r="AD41" s="193">
        <f t="shared" si="14"/>
        <v>0</v>
      </c>
      <c r="AE41" s="193">
        <f t="shared" si="14"/>
        <v>0</v>
      </c>
      <c r="AF41" s="192">
        <f t="shared" si="14"/>
        <v>0</v>
      </c>
      <c r="AG41" s="191">
        <f t="shared" si="14"/>
        <v>0</v>
      </c>
      <c r="AH41" s="190">
        <f t="shared" si="14"/>
        <v>0</v>
      </c>
      <c r="AI41" s="194">
        <f t="shared" si="14"/>
        <v>0</v>
      </c>
      <c r="AJ41" s="193">
        <f t="shared" si="14"/>
        <v>0</v>
      </c>
      <c r="AK41" s="193">
        <f t="shared" si="14"/>
        <v>0</v>
      </c>
      <c r="AL41" s="193">
        <f t="shared" si="14"/>
        <v>0</v>
      </c>
      <c r="AM41" s="192">
        <f t="shared" si="14"/>
        <v>0</v>
      </c>
      <c r="AN41" s="191">
        <f t="shared" si="14"/>
        <v>0</v>
      </c>
      <c r="AO41" s="190">
        <f t="shared" si="14"/>
        <v>0</v>
      </c>
      <c r="AP41" s="194">
        <f t="shared" si="14"/>
        <v>0</v>
      </c>
      <c r="AQ41" s="193">
        <f t="shared" si="14"/>
        <v>0</v>
      </c>
      <c r="AR41" s="193">
        <f t="shared" si="14"/>
        <v>0</v>
      </c>
      <c r="AS41" s="193">
        <f t="shared" si="14"/>
        <v>0</v>
      </c>
      <c r="AT41" s="192">
        <f t="shared" si="14"/>
        <v>0</v>
      </c>
      <c r="AU41" s="191">
        <f t="shared" si="14"/>
        <v>0</v>
      </c>
      <c r="AV41" s="190">
        <f t="shared" si="14"/>
        <v>0</v>
      </c>
      <c r="AW41" s="194">
        <f t="shared" si="14"/>
        <v>0</v>
      </c>
      <c r="AX41" s="193">
        <f t="shared" si="14"/>
        <v>0</v>
      </c>
      <c r="AY41" s="193">
        <f t="shared" si="14"/>
        <v>0</v>
      </c>
      <c r="AZ41" s="193">
        <f t="shared" si="14"/>
        <v>0</v>
      </c>
      <c r="BA41" s="192">
        <f t="shared" si="14"/>
        <v>0</v>
      </c>
      <c r="BB41" s="191">
        <f t="shared" si="14"/>
        <v>0</v>
      </c>
      <c r="BC41" s="190">
        <f t="shared" si="14"/>
        <v>0</v>
      </c>
      <c r="BD41" s="189"/>
      <c r="BE41" s="189"/>
      <c r="BF41" s="189"/>
      <c r="BG41" s="189"/>
      <c r="BH41" s="188"/>
    </row>
    <row r="42" spans="1:62" s="1" customFormat="1">
      <c r="A42" s="186"/>
      <c r="B42" s="182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  <c r="BA42" s="183"/>
      <c r="BB42" s="183"/>
      <c r="BC42" s="183"/>
      <c r="BD42" s="182"/>
      <c r="BE42" s="182"/>
      <c r="BF42" s="182"/>
      <c r="BG42" s="182"/>
      <c r="BH42" s="185"/>
    </row>
    <row r="43" spans="1:62" s="1" customFormat="1">
      <c r="A43" s="182"/>
      <c r="B43" s="182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  <c r="BA43" s="183"/>
      <c r="BB43" s="183"/>
      <c r="BC43" s="183"/>
      <c r="BD43" s="182"/>
      <c r="BE43" s="182"/>
      <c r="BF43" s="182"/>
      <c r="BG43" s="182"/>
      <c r="BH43" s="182"/>
      <c r="BI43" s="182"/>
      <c r="BJ43" s="182"/>
    </row>
    <row r="44" spans="1:62" s="1" customFormat="1">
      <c r="A44" s="182"/>
      <c r="B44" s="182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  <c r="BB44" s="183"/>
      <c r="BC44" s="183"/>
      <c r="BD44" s="182"/>
      <c r="BE44" s="182"/>
      <c r="BF44" s="182"/>
      <c r="BG44" s="182"/>
      <c r="BH44" s="182"/>
      <c r="BI44" s="182"/>
      <c r="BJ44" s="182"/>
    </row>
    <row r="45" spans="1:62" s="1" customFormat="1">
      <c r="A45" s="182"/>
      <c r="B45" s="182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3"/>
      <c r="BC45" s="183"/>
      <c r="BD45" s="182"/>
      <c r="BE45" s="182"/>
      <c r="BF45" s="182"/>
      <c r="BG45" s="182"/>
      <c r="BH45" s="182"/>
      <c r="BI45" s="182"/>
      <c r="BJ45" s="182"/>
    </row>
    <row r="46" spans="1:62" s="1" customFormat="1"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</row>
    <row r="47" spans="1:62" s="1" customFormat="1"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</row>
    <row r="48" spans="1:62" s="1" customFormat="1"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</row>
    <row r="49" spans="3:55" s="1" customFormat="1"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</row>
    <row r="50" spans="3:55" s="1" customFormat="1"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</row>
    <row r="51" spans="3:55" s="1" customFormat="1"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</row>
    <row r="52" spans="3:55" s="1" customFormat="1"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</row>
    <row r="53" spans="3:55" s="1" customFormat="1"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</row>
    <row r="54" spans="3:55" s="1" customFormat="1"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</row>
    <row r="55" spans="3:55" s="1" customFormat="1"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</row>
    <row r="56" spans="3:55" s="1" customFormat="1"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spans="3:55" s="1" customFormat="1"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3:55" s="1" customFormat="1"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3:55" s="1" customFormat="1"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</row>
    <row r="60" spans="3:55" s="1" customFormat="1"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spans="3:55" s="1" customFormat="1"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spans="3:55" s="1" customFormat="1"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spans="3:55" s="1" customFormat="1"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spans="3:55" s="1" customFormat="1"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spans="3:13" s="1" customFormat="1"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spans="3:13" s="1" customFormat="1"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spans="3:13" s="1" customFormat="1"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spans="3:13" s="1" customFormat="1"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spans="3:13" s="1" customFormat="1"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spans="3:13" s="1" customFormat="1"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3:13" s="1" customFormat="1"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spans="3:13" s="1" customFormat="1"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spans="3:13" s="1" customFormat="1"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spans="3:13" s="1" customFormat="1"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spans="3:13" s="1" customFormat="1"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spans="3:13" s="1" customFormat="1"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spans="3:13" s="1" customFormat="1"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</sheetData>
  <mergeCells count="29">
    <mergeCell ref="A2:BC2"/>
    <mergeCell ref="A4:BH4"/>
    <mergeCell ref="I6:K6"/>
    <mergeCell ref="M6:O6"/>
    <mergeCell ref="AN6:AV6"/>
    <mergeCell ref="E6:G6"/>
    <mergeCell ref="I7:K7"/>
    <mergeCell ref="M7:O7"/>
    <mergeCell ref="I8:K8"/>
    <mergeCell ref="M8:O8"/>
    <mergeCell ref="E7:G7"/>
    <mergeCell ref="E8:G8"/>
    <mergeCell ref="B14:E14"/>
    <mergeCell ref="F14:I14"/>
    <mergeCell ref="J14:M14"/>
    <mergeCell ref="N14:T14"/>
    <mergeCell ref="I9:K9"/>
    <mergeCell ref="M9:O9"/>
    <mergeCell ref="I10:K10"/>
    <mergeCell ref="M10:O10"/>
    <mergeCell ref="I11:K11"/>
    <mergeCell ref="M11:O11"/>
    <mergeCell ref="I12:K12"/>
    <mergeCell ref="M12:O12"/>
    <mergeCell ref="U14:AA14"/>
    <mergeCell ref="AB14:AH14"/>
    <mergeCell ref="AI14:AO14"/>
    <mergeCell ref="AP14:AV14"/>
    <mergeCell ref="AW14:BC14"/>
  </mergeCells>
  <pageMargins left="0.70866141732283472" right="0.70866141732283472" top="0.78740157480314965" bottom="0.78740157480314965" header="0.31496062992125984" footer="0.31496062992125984"/>
  <pageSetup paperSize="9"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19"/>
  <sheetViews>
    <sheetView view="pageBreakPreview" zoomScale="85" zoomScaleNormal="85" zoomScaleSheetLayoutView="85" workbookViewId="0">
      <pane ySplit="12" topLeftCell="A13" activePane="bottomLeft" state="frozen"/>
      <selection activeCell="A4" sqref="A4:BH4"/>
      <selection pane="bottomLeft" activeCell="B4" sqref="B4"/>
    </sheetView>
  </sheetViews>
  <sheetFormatPr baseColWidth="10" defaultColWidth="11.42578125" defaultRowHeight="15"/>
  <cols>
    <col min="1" max="1" width="20.85546875" style="1" bestFit="1" customWidth="1"/>
    <col min="2" max="2" width="18.7109375" style="99" customWidth="1"/>
    <col min="3" max="4" width="18.7109375" style="96" customWidth="1"/>
    <col min="5" max="5" width="15.85546875" style="96" customWidth="1"/>
    <col min="6" max="6" width="18.140625" style="96" customWidth="1"/>
    <col min="7" max="7" width="19" style="96" customWidth="1"/>
    <col min="8" max="8" width="18.5703125" style="96" customWidth="1"/>
    <col min="9" max="9" width="18.140625" style="96" customWidth="1"/>
    <col min="10" max="10" width="19.5703125" style="96" customWidth="1"/>
    <col min="11" max="11" width="15.85546875" style="96" customWidth="1"/>
    <col min="12" max="12" width="12.85546875" style="1" customWidth="1"/>
    <col min="13" max="13" width="20.42578125" style="1" customWidth="1"/>
    <col min="14" max="14" width="10.5703125" style="1" customWidth="1"/>
    <col min="15" max="15" width="3.85546875" style="1" customWidth="1"/>
    <col min="16" max="16" width="3.5703125" style="1" customWidth="1"/>
    <col min="17" max="17" width="2.42578125" style="1" customWidth="1"/>
    <col min="18" max="18" width="3.140625" style="1" customWidth="1"/>
    <col min="19" max="19" width="10.42578125" style="1" customWidth="1"/>
    <col min="20" max="16384" width="11.42578125" style="1"/>
  </cols>
  <sheetData>
    <row r="1" spans="1:61" ht="39" customHeight="1" thickBot="1">
      <c r="A1" s="533" t="s">
        <v>169</v>
      </c>
      <c r="B1" s="533"/>
      <c r="C1" s="533"/>
      <c r="D1" s="533"/>
      <c r="E1" s="859" t="s">
        <v>132</v>
      </c>
      <c r="F1" s="859"/>
      <c r="G1" s="859"/>
      <c r="H1" s="859"/>
      <c r="I1" s="859"/>
      <c r="J1" s="859"/>
      <c r="K1" s="859"/>
      <c r="L1" s="859"/>
      <c r="M1" s="859"/>
      <c r="N1" s="859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2"/>
      <c r="BI1" s="532"/>
    </row>
    <row r="2" spans="1:61" ht="23.25">
      <c r="E2" s="563" t="s">
        <v>125</v>
      </c>
      <c r="F2" s="549"/>
      <c r="G2" s="549"/>
      <c r="H2" s="549"/>
      <c r="I2" s="549"/>
      <c r="J2" s="549"/>
      <c r="K2" s="549"/>
      <c r="L2" s="549"/>
      <c r="M2" s="549"/>
      <c r="N2" s="550"/>
      <c r="P2" s="565" t="s">
        <v>110</v>
      </c>
      <c r="Q2" s="565"/>
      <c r="R2" s="565"/>
      <c r="S2" s="565"/>
      <c r="T2" s="565" t="s">
        <v>113</v>
      </c>
    </row>
    <row r="3" spans="1:61" s="91" customFormat="1" ht="57.6" customHeight="1">
      <c r="A3" s="545"/>
      <c r="B3" s="955" t="s">
        <v>171</v>
      </c>
      <c r="C3" s="955"/>
      <c r="D3" s="956"/>
      <c r="E3" s="542" t="s">
        <v>129</v>
      </c>
      <c r="F3" s="543" t="s">
        <v>153</v>
      </c>
      <c r="G3" s="543" t="s">
        <v>126</v>
      </c>
      <c r="H3" s="548" t="s">
        <v>128</v>
      </c>
      <c r="I3" s="543" t="s">
        <v>127</v>
      </c>
      <c r="J3" s="543" t="s">
        <v>130</v>
      </c>
      <c r="K3" s="543" t="s">
        <v>131</v>
      </c>
      <c r="L3" s="543" t="s">
        <v>135</v>
      </c>
      <c r="M3" s="543" t="s">
        <v>133</v>
      </c>
      <c r="N3" s="544" t="s">
        <v>134</v>
      </c>
      <c r="P3" s="566">
        <v>1</v>
      </c>
      <c r="Q3" s="566" t="s">
        <v>112</v>
      </c>
      <c r="R3" s="566">
        <v>15</v>
      </c>
      <c r="S3" s="566" t="s">
        <v>111</v>
      </c>
      <c r="T3" s="566">
        <v>110</v>
      </c>
    </row>
    <row r="4" spans="1:61" s="2" customFormat="1" ht="15.75">
      <c r="B4" s="97"/>
      <c r="C4" s="95"/>
      <c r="D4" s="95"/>
      <c r="E4" s="541" t="s">
        <v>55</v>
      </c>
      <c r="F4" s="539" t="s">
        <v>79</v>
      </c>
      <c r="G4" s="539"/>
      <c r="H4" s="540">
        <f>IF($E$4=$J$11,VLOOKUP($F$4,$A$37:$K$78,11,0),IF($E$4=$H$11,VLOOKUP($F$4,$A$37:$K$78,9,0),IF($E$4=$F$11,VLOOKUP($F$4,$A$37:$K$78,7,0),IF($E$4=$D$11,VLOOKUP($F$4,$A$37:$K$78,5,0),IF($E$4=$B$11,VLOOKUP($F$4,$A$37:$K$78,3,0))))))</f>
        <v>1440</v>
      </c>
      <c r="I4" s="540">
        <f>H4*G4</f>
        <v>0</v>
      </c>
      <c r="J4" s="551"/>
      <c r="K4" s="551"/>
      <c r="L4" s="540">
        <f>(I4-(I4*J4))-(I4-(I4*J4))*K4</f>
        <v>0</v>
      </c>
      <c r="M4" s="556" t="e">
        <f>1-L4/I4</f>
        <v>#DIV/0!</v>
      </c>
      <c r="N4" s="557" t="e">
        <f>(1-M4)*100</f>
        <v>#DIV/0!</v>
      </c>
      <c r="P4" s="566">
        <v>16</v>
      </c>
      <c r="Q4" s="566" t="s">
        <v>112</v>
      </c>
      <c r="R4" s="566">
        <v>24</v>
      </c>
      <c r="S4" s="566" t="s">
        <v>111</v>
      </c>
      <c r="T4" s="566">
        <v>105</v>
      </c>
    </row>
    <row r="5" spans="1:61" s="2" customFormat="1" ht="15.75">
      <c r="B5" s="97"/>
      <c r="C5" s="95"/>
      <c r="D5" s="95"/>
      <c r="E5" s="541" t="s">
        <v>55</v>
      </c>
      <c r="F5" s="539" t="s">
        <v>79</v>
      </c>
      <c r="G5" s="539"/>
      <c r="H5" s="540">
        <f>IF($E$5=$J$11,VLOOKUP($F$5,$A$37:$K$78,11,0),IF($E$5=$H$11,VLOOKUP($F$5,$A$37:$K$78,9,0),IF($E$5=$F$11,VLOOKUP($F$5,$A$37:$K$78,7,0),IF($E$5=$D$11,VLOOKUP($F$5,$A$37:$K$78,5,0),IF($E$5=$B$11,VLOOKUP($F$5,$A$37:$K$78,3,0))))))</f>
        <v>1440</v>
      </c>
      <c r="I5" s="540">
        <f t="shared" ref="I5:I7" si="0">H5*G5</f>
        <v>0</v>
      </c>
      <c r="J5" s="551"/>
      <c r="K5" s="552"/>
      <c r="L5" s="540">
        <f t="shared" ref="L5:L7" si="1">(I5-(I5*J5))-(I5-(I5*J5))*K5</f>
        <v>0</v>
      </c>
      <c r="M5" s="556" t="e">
        <f t="shared" ref="M5:M7" si="2">1-L5/I5</f>
        <v>#DIV/0!</v>
      </c>
      <c r="N5" s="557" t="e">
        <f t="shared" ref="N5:N7" si="3">(1-M5)*100</f>
        <v>#DIV/0!</v>
      </c>
      <c r="P5" s="566">
        <v>25</v>
      </c>
      <c r="Q5" s="566" t="s">
        <v>112</v>
      </c>
      <c r="R5" s="566">
        <v>34</v>
      </c>
      <c r="S5" s="566" t="s">
        <v>111</v>
      </c>
      <c r="T5" s="566">
        <v>100</v>
      </c>
    </row>
    <row r="6" spans="1:61" s="2" customFormat="1" ht="16.5" thickBot="1">
      <c r="B6" s="97"/>
      <c r="C6" s="95"/>
      <c r="D6" s="95"/>
      <c r="E6" s="541" t="s">
        <v>55</v>
      </c>
      <c r="F6" s="539" t="s">
        <v>79</v>
      </c>
      <c r="G6" s="539"/>
      <c r="H6" s="540">
        <f>IF($E$6=$J$11,VLOOKUP($F$6,$A$37:$K$78,11,0),IF($E$6=$H$11,VLOOKUP($F$6,$A$37:$K$78,9,0),IF($E$6=$F$11,VLOOKUP($F$6,$A$37:$K$78,7,0),IF($E$6=$D$11,VLOOKUP($F$6,$A$37:$K$78,5,0),IF($E$6=$B$11,VLOOKUP($F$6,$A$37:$K$78,3,0))))))</f>
        <v>1440</v>
      </c>
      <c r="I6" s="540">
        <f t="shared" ref="I6" si="4">H6*G6</f>
        <v>0</v>
      </c>
      <c r="J6" s="551"/>
      <c r="K6" s="552"/>
      <c r="L6" s="540">
        <f t="shared" ref="L6" si="5">(I6-(I6*J6))-(I6-(I6*J6))*K6</f>
        <v>0</v>
      </c>
      <c r="M6" s="556" t="e">
        <f t="shared" ref="M6" si="6">1-L6/I6</f>
        <v>#DIV/0!</v>
      </c>
      <c r="N6" s="557" t="e">
        <f t="shared" ref="N6" si="7">(1-M6)*100</f>
        <v>#DIV/0!</v>
      </c>
      <c r="P6" s="566">
        <v>35</v>
      </c>
      <c r="Q6" s="566" t="s">
        <v>112</v>
      </c>
      <c r="R6" s="566">
        <v>99</v>
      </c>
      <c r="S6" s="566" t="s">
        <v>111</v>
      </c>
      <c r="T6" s="566">
        <v>95</v>
      </c>
    </row>
    <row r="7" spans="1:61" s="2" customFormat="1" ht="18.75" thickBot="1">
      <c r="A7" s="92" t="s">
        <v>53</v>
      </c>
      <c r="B7" s="97"/>
      <c r="C7" s="311">
        <v>30</v>
      </c>
      <c r="D7" s="95"/>
      <c r="E7" s="848" t="s">
        <v>55</v>
      </c>
      <c r="F7" s="849" t="s">
        <v>79</v>
      </c>
      <c r="G7" s="849"/>
      <c r="H7" s="850">
        <f>IF($E$7=$J$11,VLOOKUP($F$7,$A$37:$K$78,11,0),IF($E$7=$H$11,VLOOKUP($F$7,$A$37:$K$78,9,0),IF($E$7=$F$11,VLOOKUP($F$7,$A$37:$K$78,7,0),IF($E$7=$D$11,VLOOKUP($F$7,$A$37:$K$78,5,0),IF($E$7=$B$11,VLOOKUP($F$7,$A$37:$K$78,3,0))))))</f>
        <v>1440</v>
      </c>
      <c r="I7" s="850">
        <f t="shared" si="0"/>
        <v>0</v>
      </c>
      <c r="J7" s="851"/>
      <c r="K7" s="852"/>
      <c r="L7" s="850">
        <f t="shared" si="1"/>
        <v>0</v>
      </c>
      <c r="M7" s="853" t="e">
        <f t="shared" si="2"/>
        <v>#DIV/0!</v>
      </c>
      <c r="N7" s="854" t="e">
        <f t="shared" si="3"/>
        <v>#DIV/0!</v>
      </c>
    </row>
    <row r="8" spans="1:61" s="2" customFormat="1" ht="18">
      <c r="A8" s="92" t="s">
        <v>162</v>
      </c>
      <c r="B8" s="97"/>
      <c r="C8" s="561"/>
      <c r="D8" s="95"/>
      <c r="E8" s="182"/>
      <c r="F8" s="182"/>
      <c r="G8" s="182"/>
      <c r="H8" s="554"/>
      <c r="I8" s="554"/>
      <c r="J8" s="558"/>
      <c r="K8" s="559"/>
      <c r="L8" s="554">
        <f>SUM(L4:L7)</f>
        <v>0</v>
      </c>
      <c r="M8" s="555"/>
      <c r="N8" s="560"/>
      <c r="O8" s="147"/>
      <c r="Q8" s="147"/>
    </row>
    <row r="9" spans="1:61" s="2" customFormat="1" ht="18.75" thickBot="1">
      <c r="A9" s="92" t="s">
        <v>163</v>
      </c>
      <c r="B9" s="97"/>
      <c r="C9" s="561"/>
      <c r="D9" s="95"/>
      <c r="E9" s="182"/>
      <c r="F9" s="182"/>
      <c r="G9" s="182"/>
      <c r="H9" s="554"/>
      <c r="I9" s="554"/>
      <c r="J9" s="558"/>
      <c r="K9" s="559"/>
      <c r="L9" s="554"/>
      <c r="M9" s="147"/>
      <c r="N9" s="147"/>
      <c r="O9" s="147"/>
      <c r="P9" s="147"/>
      <c r="Q9" s="147"/>
    </row>
    <row r="10" spans="1:61" s="2" customFormat="1" ht="18.75" thickBot="1">
      <c r="A10" s="945" t="s">
        <v>54</v>
      </c>
      <c r="B10" s="946"/>
      <c r="C10" s="947"/>
      <c r="D10" s="946"/>
      <c r="E10" s="947"/>
      <c r="F10" s="947"/>
      <c r="G10" s="947"/>
      <c r="H10" s="947"/>
      <c r="I10" s="947"/>
      <c r="J10" s="947"/>
      <c r="K10" s="948"/>
    </row>
    <row r="11" spans="1:61" s="3" customFormat="1" ht="19.899999999999999" customHeight="1">
      <c r="A11" s="310"/>
      <c r="B11" s="949" t="s">
        <v>55</v>
      </c>
      <c r="C11" s="950"/>
      <c r="D11" s="951" t="s">
        <v>0</v>
      </c>
      <c r="E11" s="952"/>
      <c r="F11" s="951" t="s">
        <v>21</v>
      </c>
      <c r="G11" s="952"/>
      <c r="H11" s="953" t="s">
        <v>56</v>
      </c>
      <c r="I11" s="954"/>
      <c r="J11" s="953" t="s">
        <v>57</v>
      </c>
      <c r="K11" s="954"/>
    </row>
    <row r="12" spans="1:61" s="2" customFormat="1" ht="21.6" customHeight="1" thickBot="1">
      <c r="A12" s="309" t="s">
        <v>58</v>
      </c>
      <c r="B12" s="308" t="s">
        <v>121</v>
      </c>
      <c r="C12" s="307" t="s">
        <v>59</v>
      </c>
      <c r="D12" s="308" t="s">
        <v>121</v>
      </c>
      <c r="E12" s="307" t="s">
        <v>59</v>
      </c>
      <c r="F12" s="308" t="s">
        <v>121</v>
      </c>
      <c r="G12" s="307" t="s">
        <v>59</v>
      </c>
      <c r="H12" s="308" t="s">
        <v>121</v>
      </c>
      <c r="I12" s="307" t="s">
        <v>59</v>
      </c>
      <c r="J12" s="306" t="s">
        <v>121</v>
      </c>
      <c r="K12" s="305" t="s">
        <v>59</v>
      </c>
    </row>
    <row r="13" spans="1:61" s="2" customFormat="1" ht="18">
      <c r="A13" s="93" t="s">
        <v>103</v>
      </c>
      <c r="B13" s="292">
        <v>2</v>
      </c>
      <c r="C13" s="288">
        <f t="shared" ref="C13:C45" si="8">IF(AND($C$7&gt;=$P$5,$C$7&lt;=$R$5),B13*$C$7*$T$5/100,IF(AND($C$7&gt;=$P$4,$C$7&lt;=$R$4),B13*$C$7*$T$4/100,IF(AND($C$7&gt;=$P$3,$C$7&lt;=$R$3),B13*$C$7*$T$3/100,IF($C$7&gt;=$P$6,B13*$C$7*$T$6/100))))</f>
        <v>60</v>
      </c>
      <c r="D13" s="403">
        <v>2</v>
      </c>
      <c r="E13" s="288">
        <f t="shared" ref="E13:E45" si="9">IF(AND($C$7&gt;=$P$5,$C$7&lt;=$R$5),D13*$C$7*$T$5/100,IF(AND($C$7&gt;=$P$4,$C$7&lt;=$R$4),D13*$C$7*$T$4/100,IF(AND($C$7&gt;=$P$3,$C$7&lt;=$R$3),D13*$C$7*$T$3/100,IF($C$7&gt;=$P$6,D13*$C$7*$T$6/100))))</f>
        <v>60</v>
      </c>
      <c r="F13" s="403">
        <v>2</v>
      </c>
      <c r="G13" s="288">
        <f t="shared" ref="G13:G45" si="10">IF(AND($C$7&gt;=$P$5,$C$7&lt;=$R$5),F13*$C$7*$T$5/100,IF(AND($C$7&gt;=$P$4,$C$7&lt;=$R$4),F13*$C$7*$T$4/100,IF(AND($C$7&gt;=$P$3,$C$7&lt;=$R$3),F13*$C$7*$T$3/100,IF($C$7&gt;=$P$6,F13*$C$7*$T$6/100))))</f>
        <v>60</v>
      </c>
      <c r="H13" s="290">
        <f t="shared" ref="H13:H17" si="11">((B13*5)+D13)/6</f>
        <v>2</v>
      </c>
      <c r="I13" s="288">
        <f t="shared" ref="I13:I36" si="12">IF(AND($C$7&gt;=$P$5,$C$7&lt;=$R$5),H13*$C$7*$T$5/100,IF(AND($C$7&gt;=$P$4,$C$7&lt;=$R$4),H13*$C$7*$T$4/100,IF(AND($C$7&gt;=$P$3,$C$7&lt;=$R$3),H13*$C$7*$T$3/100,IF($C$7&gt;=$P$6,H13*$C$7*$T$6/100))))</f>
        <v>60</v>
      </c>
      <c r="J13" s="304">
        <f t="shared" ref="J13:J17" si="13">((B13*5)+D13+F13)/7</f>
        <v>2</v>
      </c>
      <c r="K13" s="288">
        <f t="shared" ref="K13:K36" si="14">IF(AND($C$7&gt;=$P$5,$C$7&lt;=$R$5),J13*$C$7*$T$5/100,IF(AND($C$7&gt;=$P$4,$C$7&lt;=$R$4),J13*$C$7*$T$4/100,IF(AND($C$7&gt;=$P$3,$C$7&lt;=$R$3),J13*$C$7*$T$3/100,IF($C$7&gt;=$P$6,J13*$C$7*$T$6/100))))</f>
        <v>60</v>
      </c>
    </row>
    <row r="14" spans="1:61" s="2" customFormat="1" ht="18">
      <c r="A14" s="93" t="s">
        <v>107</v>
      </c>
      <c r="B14" s="292">
        <v>2</v>
      </c>
      <c r="C14" s="288">
        <f t="shared" si="8"/>
        <v>60</v>
      </c>
      <c r="D14" s="403">
        <v>2</v>
      </c>
      <c r="E14" s="288">
        <f t="shared" si="9"/>
        <v>60</v>
      </c>
      <c r="F14" s="403">
        <v>2</v>
      </c>
      <c r="G14" s="288">
        <f t="shared" si="10"/>
        <v>60</v>
      </c>
      <c r="H14" s="290">
        <f t="shared" si="11"/>
        <v>2</v>
      </c>
      <c r="I14" s="288">
        <f t="shared" si="12"/>
        <v>60</v>
      </c>
      <c r="J14" s="304">
        <f t="shared" si="13"/>
        <v>2</v>
      </c>
      <c r="K14" s="288">
        <f t="shared" si="14"/>
        <v>60</v>
      </c>
    </row>
    <row r="15" spans="1:61" s="2" customFormat="1" ht="18">
      <c r="A15" s="93" t="s">
        <v>106</v>
      </c>
      <c r="B15" s="292">
        <v>2</v>
      </c>
      <c r="C15" s="288">
        <f t="shared" si="8"/>
        <v>60</v>
      </c>
      <c r="D15" s="403">
        <v>2</v>
      </c>
      <c r="E15" s="288">
        <f t="shared" si="9"/>
        <v>60</v>
      </c>
      <c r="F15" s="403">
        <v>2</v>
      </c>
      <c r="G15" s="288">
        <f t="shared" si="10"/>
        <v>60</v>
      </c>
      <c r="H15" s="290">
        <f t="shared" si="11"/>
        <v>2</v>
      </c>
      <c r="I15" s="288">
        <f t="shared" si="12"/>
        <v>60</v>
      </c>
      <c r="J15" s="304">
        <f t="shared" si="13"/>
        <v>2</v>
      </c>
      <c r="K15" s="288">
        <f t="shared" si="14"/>
        <v>60</v>
      </c>
    </row>
    <row r="16" spans="1:61" s="2" customFormat="1" ht="18">
      <c r="A16" s="93" t="s">
        <v>105</v>
      </c>
      <c r="B16" s="292">
        <v>2</v>
      </c>
      <c r="C16" s="288">
        <f t="shared" si="8"/>
        <v>60</v>
      </c>
      <c r="D16" s="403">
        <v>2</v>
      </c>
      <c r="E16" s="288">
        <f t="shared" si="9"/>
        <v>60</v>
      </c>
      <c r="F16" s="403">
        <v>2</v>
      </c>
      <c r="G16" s="288">
        <f t="shared" si="10"/>
        <v>60</v>
      </c>
      <c r="H16" s="290">
        <f t="shared" si="11"/>
        <v>2</v>
      </c>
      <c r="I16" s="288">
        <f t="shared" si="12"/>
        <v>60</v>
      </c>
      <c r="J16" s="304">
        <f t="shared" si="13"/>
        <v>2</v>
      </c>
      <c r="K16" s="288">
        <f t="shared" si="14"/>
        <v>60</v>
      </c>
    </row>
    <row r="17" spans="1:38" s="2" customFormat="1" ht="18">
      <c r="A17" s="93" t="s">
        <v>104</v>
      </c>
      <c r="B17" s="292">
        <v>2</v>
      </c>
      <c r="C17" s="288">
        <f t="shared" si="8"/>
        <v>60</v>
      </c>
      <c r="D17" s="403">
        <v>2</v>
      </c>
      <c r="E17" s="288">
        <f t="shared" si="9"/>
        <v>60</v>
      </c>
      <c r="F17" s="403">
        <v>2</v>
      </c>
      <c r="G17" s="288">
        <f t="shared" si="10"/>
        <v>60</v>
      </c>
      <c r="H17" s="290">
        <f t="shared" si="11"/>
        <v>2</v>
      </c>
      <c r="I17" s="288">
        <f t="shared" si="12"/>
        <v>60</v>
      </c>
      <c r="J17" s="304">
        <f t="shared" si="13"/>
        <v>2</v>
      </c>
      <c r="K17" s="288">
        <f t="shared" si="14"/>
        <v>60</v>
      </c>
    </row>
    <row r="18" spans="1:38" s="2" customFormat="1" ht="18">
      <c r="A18" s="93" t="s">
        <v>60</v>
      </c>
      <c r="B18" s="291">
        <v>18</v>
      </c>
      <c r="C18" s="288">
        <f t="shared" si="8"/>
        <v>540</v>
      </c>
      <c r="D18" s="290">
        <v>4</v>
      </c>
      <c r="E18" s="288">
        <f t="shared" si="9"/>
        <v>120</v>
      </c>
      <c r="F18" s="290">
        <v>5</v>
      </c>
      <c r="G18" s="288">
        <f t="shared" si="10"/>
        <v>150</v>
      </c>
      <c r="H18" s="290">
        <f t="shared" ref="H18" si="15">((B18*5)+D18)/6</f>
        <v>15.666666666666666</v>
      </c>
      <c r="I18" s="288">
        <f t="shared" si="12"/>
        <v>470</v>
      </c>
      <c r="J18" s="304">
        <f t="shared" ref="J18" si="16">((B18*5)+D18+F18)/7</f>
        <v>14.142857142857142</v>
      </c>
      <c r="K18" s="288">
        <f t="shared" si="14"/>
        <v>424.28571428571428</v>
      </c>
    </row>
    <row r="19" spans="1:38" s="2" customFormat="1" ht="18">
      <c r="A19" s="93" t="s">
        <v>61</v>
      </c>
      <c r="B19" s="292">
        <v>60</v>
      </c>
      <c r="C19" s="288">
        <f t="shared" si="8"/>
        <v>1800</v>
      </c>
      <c r="D19" s="290">
        <v>15</v>
      </c>
      <c r="E19" s="288">
        <f t="shared" si="9"/>
        <v>450</v>
      </c>
      <c r="F19" s="290">
        <v>7</v>
      </c>
      <c r="G19" s="288">
        <f t="shared" si="10"/>
        <v>210</v>
      </c>
      <c r="H19" s="290">
        <f t="shared" ref="H19:H36" si="17">((B19*5)+D19)/6</f>
        <v>52.5</v>
      </c>
      <c r="I19" s="288">
        <f t="shared" si="12"/>
        <v>1575</v>
      </c>
      <c r="J19" s="304">
        <f t="shared" ref="J19:J36" si="18">((B19*5)+D19+F19)/7</f>
        <v>46</v>
      </c>
      <c r="K19" s="288">
        <f t="shared" si="14"/>
        <v>1380</v>
      </c>
    </row>
    <row r="20" spans="1:38" s="2" customFormat="1" ht="18">
      <c r="A20" s="93" t="s">
        <v>62</v>
      </c>
      <c r="B20" s="291">
        <v>85</v>
      </c>
      <c r="C20" s="288">
        <f t="shared" si="8"/>
        <v>2550</v>
      </c>
      <c r="D20" s="290">
        <v>46</v>
      </c>
      <c r="E20" s="288">
        <f t="shared" si="9"/>
        <v>1380</v>
      </c>
      <c r="F20" s="290">
        <v>14</v>
      </c>
      <c r="G20" s="288">
        <f t="shared" si="10"/>
        <v>420</v>
      </c>
      <c r="H20" s="290">
        <f t="shared" si="17"/>
        <v>78.5</v>
      </c>
      <c r="I20" s="288">
        <f t="shared" si="12"/>
        <v>2355</v>
      </c>
      <c r="J20" s="304">
        <f t="shared" si="18"/>
        <v>69.285714285714292</v>
      </c>
      <c r="K20" s="288">
        <f t="shared" si="14"/>
        <v>2078.5714285714289</v>
      </c>
    </row>
    <row r="21" spans="1:38" s="2" customFormat="1" ht="18">
      <c r="A21" s="93" t="s">
        <v>63</v>
      </c>
      <c r="B21" s="291">
        <v>72</v>
      </c>
      <c r="C21" s="288">
        <f t="shared" si="8"/>
        <v>2160</v>
      </c>
      <c r="D21" s="290">
        <v>61</v>
      </c>
      <c r="E21" s="288">
        <f t="shared" si="9"/>
        <v>1830</v>
      </c>
      <c r="F21" s="290">
        <v>42</v>
      </c>
      <c r="G21" s="288">
        <f t="shared" si="10"/>
        <v>1260</v>
      </c>
      <c r="H21" s="290">
        <f t="shared" si="17"/>
        <v>70.166666666666671</v>
      </c>
      <c r="I21" s="288">
        <f t="shared" si="12"/>
        <v>2105</v>
      </c>
      <c r="J21" s="304">
        <f t="shared" si="18"/>
        <v>66.142857142857139</v>
      </c>
      <c r="K21" s="288">
        <f t="shared" si="14"/>
        <v>1984.2857142857142</v>
      </c>
    </row>
    <row r="22" spans="1:38" s="2" customFormat="1" ht="18">
      <c r="A22" s="93" t="s">
        <v>64</v>
      </c>
      <c r="B22" s="291">
        <v>60</v>
      </c>
      <c r="C22" s="288">
        <f t="shared" si="8"/>
        <v>1800</v>
      </c>
      <c r="D22" s="290">
        <v>80</v>
      </c>
      <c r="E22" s="288">
        <f t="shared" si="9"/>
        <v>2400</v>
      </c>
      <c r="F22" s="290">
        <v>71</v>
      </c>
      <c r="G22" s="288">
        <f t="shared" si="10"/>
        <v>2130</v>
      </c>
      <c r="H22" s="290">
        <f t="shared" si="17"/>
        <v>63.333333333333336</v>
      </c>
      <c r="I22" s="288">
        <f t="shared" si="12"/>
        <v>1900</v>
      </c>
      <c r="J22" s="304">
        <f t="shared" si="18"/>
        <v>64.428571428571431</v>
      </c>
      <c r="K22" s="288">
        <f t="shared" si="14"/>
        <v>1932.8571428571429</v>
      </c>
    </row>
    <row r="23" spans="1:38" s="2" customFormat="1" ht="18">
      <c r="A23" s="93" t="s">
        <v>65</v>
      </c>
      <c r="B23" s="291">
        <v>40</v>
      </c>
      <c r="C23" s="288">
        <f t="shared" si="8"/>
        <v>1200</v>
      </c>
      <c r="D23" s="290">
        <v>86</v>
      </c>
      <c r="E23" s="288">
        <f t="shared" si="9"/>
        <v>2580</v>
      </c>
      <c r="F23" s="290">
        <v>51</v>
      </c>
      <c r="G23" s="288">
        <f t="shared" si="10"/>
        <v>1530</v>
      </c>
      <c r="H23" s="290">
        <f t="shared" si="17"/>
        <v>47.666666666666664</v>
      </c>
      <c r="I23" s="288">
        <f t="shared" si="12"/>
        <v>1430</v>
      </c>
      <c r="J23" s="304">
        <f t="shared" si="18"/>
        <v>48.142857142857146</v>
      </c>
      <c r="K23" s="288">
        <f t="shared" si="14"/>
        <v>1444.2857142857144</v>
      </c>
    </row>
    <row r="24" spans="1:38" s="2" customFormat="1" ht="18">
      <c r="A24" s="93" t="s">
        <v>66</v>
      </c>
      <c r="B24" s="291">
        <v>37</v>
      </c>
      <c r="C24" s="288">
        <f t="shared" si="8"/>
        <v>1110</v>
      </c>
      <c r="D24" s="290">
        <v>50</v>
      </c>
      <c r="E24" s="288">
        <f t="shared" si="9"/>
        <v>1500</v>
      </c>
      <c r="F24" s="290">
        <v>40</v>
      </c>
      <c r="G24" s="288">
        <f t="shared" si="10"/>
        <v>1200</v>
      </c>
      <c r="H24" s="290">
        <f t="shared" si="17"/>
        <v>39.166666666666664</v>
      </c>
      <c r="I24" s="288">
        <f t="shared" si="12"/>
        <v>1175</v>
      </c>
      <c r="J24" s="304">
        <f t="shared" si="18"/>
        <v>39.285714285714285</v>
      </c>
      <c r="K24" s="288">
        <f t="shared" si="14"/>
        <v>1178.5714285714284</v>
      </c>
    </row>
    <row r="25" spans="1:38" s="2" customFormat="1" ht="18">
      <c r="A25" s="93" t="s">
        <v>67</v>
      </c>
      <c r="B25" s="291">
        <v>37</v>
      </c>
      <c r="C25" s="288">
        <f t="shared" si="8"/>
        <v>1110</v>
      </c>
      <c r="D25" s="290">
        <v>46</v>
      </c>
      <c r="E25" s="288">
        <f t="shared" si="9"/>
        <v>1380</v>
      </c>
      <c r="F25" s="290">
        <v>31</v>
      </c>
      <c r="G25" s="288">
        <f t="shared" si="10"/>
        <v>930</v>
      </c>
      <c r="H25" s="290">
        <f t="shared" si="17"/>
        <v>38.5</v>
      </c>
      <c r="I25" s="288">
        <f t="shared" si="12"/>
        <v>1155</v>
      </c>
      <c r="J25" s="304">
        <f t="shared" si="18"/>
        <v>37.428571428571431</v>
      </c>
      <c r="K25" s="288">
        <f t="shared" si="14"/>
        <v>1122.8571428571429</v>
      </c>
    </row>
    <row r="26" spans="1:38" s="2" customFormat="1" ht="18">
      <c r="A26" s="93" t="s">
        <v>68</v>
      </c>
      <c r="B26" s="291">
        <v>35</v>
      </c>
      <c r="C26" s="288">
        <f t="shared" si="8"/>
        <v>1050</v>
      </c>
      <c r="D26" s="290">
        <v>34</v>
      </c>
      <c r="E26" s="288">
        <f t="shared" si="9"/>
        <v>1020</v>
      </c>
      <c r="F26" s="290">
        <v>26</v>
      </c>
      <c r="G26" s="288">
        <f t="shared" si="10"/>
        <v>780</v>
      </c>
      <c r="H26" s="290">
        <f t="shared" si="17"/>
        <v>34.833333333333336</v>
      </c>
      <c r="I26" s="288">
        <f t="shared" si="12"/>
        <v>1045</v>
      </c>
      <c r="J26" s="304">
        <f t="shared" si="18"/>
        <v>33.571428571428569</v>
      </c>
      <c r="K26" s="288">
        <f t="shared" si="14"/>
        <v>1007.1428571428571</v>
      </c>
    </row>
    <row r="27" spans="1:38" s="2" customFormat="1" ht="18">
      <c r="A27" s="93" t="s">
        <v>69</v>
      </c>
      <c r="B27" s="291">
        <v>35</v>
      </c>
      <c r="C27" s="288">
        <f t="shared" si="8"/>
        <v>1050</v>
      </c>
      <c r="D27" s="290">
        <v>32</v>
      </c>
      <c r="E27" s="288">
        <f t="shared" si="9"/>
        <v>960</v>
      </c>
      <c r="F27" s="290">
        <v>25</v>
      </c>
      <c r="G27" s="288">
        <f t="shared" si="10"/>
        <v>750</v>
      </c>
      <c r="H27" s="290">
        <f t="shared" si="17"/>
        <v>34.5</v>
      </c>
      <c r="I27" s="288">
        <f t="shared" si="12"/>
        <v>1035</v>
      </c>
      <c r="J27" s="304">
        <f t="shared" si="18"/>
        <v>33.142857142857146</v>
      </c>
      <c r="K27" s="288">
        <f t="shared" si="14"/>
        <v>994.28571428571433</v>
      </c>
    </row>
    <row r="28" spans="1:38" s="2" customFormat="1" ht="18">
      <c r="A28" s="93" t="s">
        <v>70</v>
      </c>
      <c r="B28" s="291">
        <v>35</v>
      </c>
      <c r="C28" s="288">
        <f t="shared" si="8"/>
        <v>1050</v>
      </c>
      <c r="D28" s="290">
        <v>29</v>
      </c>
      <c r="E28" s="288">
        <f t="shared" si="9"/>
        <v>870</v>
      </c>
      <c r="F28" s="290">
        <v>22</v>
      </c>
      <c r="G28" s="288">
        <f t="shared" si="10"/>
        <v>660</v>
      </c>
      <c r="H28" s="290">
        <f t="shared" si="17"/>
        <v>34</v>
      </c>
      <c r="I28" s="288">
        <f t="shared" si="12"/>
        <v>1020</v>
      </c>
      <c r="J28" s="304">
        <f t="shared" si="18"/>
        <v>32.285714285714285</v>
      </c>
      <c r="K28" s="288">
        <f t="shared" si="14"/>
        <v>968.57142857142856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spans="1:38" s="2" customFormat="1" ht="18">
      <c r="A29" s="93" t="s">
        <v>71</v>
      </c>
      <c r="B29" s="291">
        <v>42</v>
      </c>
      <c r="C29" s="288">
        <f t="shared" si="8"/>
        <v>1260</v>
      </c>
      <c r="D29" s="290">
        <v>26</v>
      </c>
      <c r="E29" s="288">
        <f t="shared" si="9"/>
        <v>780</v>
      </c>
      <c r="F29" s="290">
        <v>23</v>
      </c>
      <c r="G29" s="288">
        <f t="shared" si="10"/>
        <v>690</v>
      </c>
      <c r="H29" s="290">
        <f t="shared" si="17"/>
        <v>39.333333333333336</v>
      </c>
      <c r="I29" s="288">
        <f t="shared" si="12"/>
        <v>1180</v>
      </c>
      <c r="J29" s="304">
        <f t="shared" si="18"/>
        <v>37</v>
      </c>
      <c r="K29" s="288">
        <f t="shared" si="14"/>
        <v>1110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spans="1:38" s="2" customFormat="1" ht="18">
      <c r="A30" s="93" t="s">
        <v>72</v>
      </c>
      <c r="B30" s="291">
        <v>38</v>
      </c>
      <c r="C30" s="288">
        <f t="shared" si="8"/>
        <v>1140</v>
      </c>
      <c r="D30" s="290">
        <v>23</v>
      </c>
      <c r="E30" s="288">
        <f t="shared" si="9"/>
        <v>690</v>
      </c>
      <c r="F30" s="290">
        <v>20</v>
      </c>
      <c r="G30" s="288">
        <f t="shared" si="10"/>
        <v>600</v>
      </c>
      <c r="H30" s="290">
        <f t="shared" si="17"/>
        <v>35.5</v>
      </c>
      <c r="I30" s="288">
        <f t="shared" si="12"/>
        <v>1065</v>
      </c>
      <c r="J30" s="304">
        <f t="shared" si="18"/>
        <v>33.285714285714285</v>
      </c>
      <c r="K30" s="288">
        <f t="shared" si="14"/>
        <v>998.57142857142856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1:38" s="2" customFormat="1" ht="18">
      <c r="A31" s="93" t="s">
        <v>73</v>
      </c>
      <c r="B31" s="291">
        <v>32</v>
      </c>
      <c r="C31" s="288">
        <f t="shared" si="8"/>
        <v>960</v>
      </c>
      <c r="D31" s="290">
        <v>14</v>
      </c>
      <c r="E31" s="288">
        <f t="shared" si="9"/>
        <v>420</v>
      </c>
      <c r="F31" s="290">
        <v>11</v>
      </c>
      <c r="G31" s="288">
        <f t="shared" si="10"/>
        <v>330</v>
      </c>
      <c r="H31" s="290">
        <f t="shared" si="17"/>
        <v>29</v>
      </c>
      <c r="I31" s="288">
        <f t="shared" si="12"/>
        <v>870</v>
      </c>
      <c r="J31" s="304">
        <f t="shared" si="18"/>
        <v>26.428571428571427</v>
      </c>
      <c r="K31" s="288">
        <f t="shared" si="14"/>
        <v>792.85714285714278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s="2" customFormat="1" ht="18">
      <c r="A32" s="93" t="s">
        <v>74</v>
      </c>
      <c r="B32" s="291">
        <v>15</v>
      </c>
      <c r="C32" s="288">
        <f t="shared" si="8"/>
        <v>450</v>
      </c>
      <c r="D32" s="290">
        <v>10</v>
      </c>
      <c r="E32" s="288">
        <f t="shared" si="9"/>
        <v>300</v>
      </c>
      <c r="F32" s="290">
        <v>6</v>
      </c>
      <c r="G32" s="288">
        <f t="shared" si="10"/>
        <v>180</v>
      </c>
      <c r="H32" s="290">
        <f t="shared" si="17"/>
        <v>14.166666666666666</v>
      </c>
      <c r="I32" s="288">
        <f t="shared" si="12"/>
        <v>425</v>
      </c>
      <c r="J32" s="304">
        <f t="shared" si="18"/>
        <v>13</v>
      </c>
      <c r="K32" s="288">
        <f t="shared" si="14"/>
        <v>390</v>
      </c>
      <c r="O32" s="22"/>
      <c r="P32" s="22"/>
      <c r="Q32" s="167"/>
      <c r="R32" s="166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s="2" customFormat="1" ht="18">
      <c r="A33" s="93" t="s">
        <v>75</v>
      </c>
      <c r="B33" s="291">
        <v>8</v>
      </c>
      <c r="C33" s="288">
        <f t="shared" si="8"/>
        <v>240</v>
      </c>
      <c r="D33" s="290">
        <v>4</v>
      </c>
      <c r="E33" s="288">
        <f t="shared" si="9"/>
        <v>120</v>
      </c>
      <c r="F33" s="290">
        <v>3</v>
      </c>
      <c r="G33" s="288">
        <f t="shared" si="10"/>
        <v>90</v>
      </c>
      <c r="H33" s="290">
        <f t="shared" si="17"/>
        <v>7.333333333333333</v>
      </c>
      <c r="I33" s="288">
        <f t="shared" si="12"/>
        <v>220</v>
      </c>
      <c r="J33" s="304">
        <f t="shared" si="18"/>
        <v>6.7142857142857144</v>
      </c>
      <c r="K33" s="288">
        <f t="shared" si="14"/>
        <v>201.42857142857144</v>
      </c>
      <c r="O33" s="22"/>
      <c r="P33" s="22"/>
      <c r="Q33" s="167"/>
      <c r="R33" s="166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s="2" customFormat="1" ht="18">
      <c r="A34" s="93" t="s">
        <v>76</v>
      </c>
      <c r="B34" s="291">
        <v>6</v>
      </c>
      <c r="C34" s="288">
        <f t="shared" si="8"/>
        <v>180</v>
      </c>
      <c r="D34" s="290">
        <v>3</v>
      </c>
      <c r="E34" s="288">
        <f t="shared" si="9"/>
        <v>90</v>
      </c>
      <c r="F34" s="290">
        <v>3</v>
      </c>
      <c r="G34" s="288">
        <f t="shared" si="10"/>
        <v>90</v>
      </c>
      <c r="H34" s="290">
        <f t="shared" si="17"/>
        <v>5.5</v>
      </c>
      <c r="I34" s="288">
        <f t="shared" si="12"/>
        <v>165</v>
      </c>
      <c r="J34" s="304">
        <f t="shared" si="18"/>
        <v>5.1428571428571432</v>
      </c>
      <c r="K34" s="288">
        <f t="shared" si="14"/>
        <v>154.28571428571431</v>
      </c>
      <c r="O34" s="22"/>
      <c r="P34" s="22"/>
      <c r="Q34" s="167"/>
      <c r="R34" s="166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s="2" customFormat="1" ht="18">
      <c r="A35" s="93" t="s">
        <v>77</v>
      </c>
      <c r="B35" s="291">
        <v>3</v>
      </c>
      <c r="C35" s="288">
        <f t="shared" si="8"/>
        <v>90</v>
      </c>
      <c r="D35" s="290">
        <v>2</v>
      </c>
      <c r="E35" s="288">
        <f t="shared" si="9"/>
        <v>60</v>
      </c>
      <c r="F35" s="290">
        <v>2</v>
      </c>
      <c r="G35" s="288">
        <f t="shared" si="10"/>
        <v>60</v>
      </c>
      <c r="H35" s="290">
        <f t="shared" si="17"/>
        <v>2.8333333333333335</v>
      </c>
      <c r="I35" s="288">
        <f t="shared" si="12"/>
        <v>85</v>
      </c>
      <c r="J35" s="304">
        <f t="shared" si="18"/>
        <v>2.7142857142857144</v>
      </c>
      <c r="K35" s="288">
        <f t="shared" si="14"/>
        <v>81.428571428571431</v>
      </c>
      <c r="O35" s="22"/>
      <c r="P35" s="22"/>
      <c r="Q35" s="167"/>
      <c r="R35" s="166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s="2" customFormat="1" ht="18.75" thickBot="1">
      <c r="A36" s="303" t="s">
        <v>78</v>
      </c>
      <c r="B36" s="302">
        <v>3</v>
      </c>
      <c r="C36" s="288">
        <f t="shared" si="8"/>
        <v>90</v>
      </c>
      <c r="D36" s="301">
        <v>2</v>
      </c>
      <c r="E36" s="288">
        <f t="shared" si="9"/>
        <v>60</v>
      </c>
      <c r="F36" s="301">
        <v>2</v>
      </c>
      <c r="G36" s="288">
        <f t="shared" si="10"/>
        <v>60</v>
      </c>
      <c r="H36" s="301">
        <f t="shared" si="17"/>
        <v>2.8333333333333335</v>
      </c>
      <c r="I36" s="288">
        <f t="shared" si="12"/>
        <v>85</v>
      </c>
      <c r="J36" s="300">
        <f t="shared" si="18"/>
        <v>2.7142857142857144</v>
      </c>
      <c r="K36" s="288">
        <f t="shared" si="14"/>
        <v>81.428571428571431</v>
      </c>
      <c r="O36" s="22"/>
      <c r="P36" s="22"/>
      <c r="Q36" s="167"/>
      <c r="R36" s="166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s="3" customFormat="1" ht="27.75" customHeight="1" thickBot="1">
      <c r="A37" s="299" t="s">
        <v>79</v>
      </c>
      <c r="B37" s="298">
        <f>SUM(B19:B30)/12</f>
        <v>48</v>
      </c>
      <c r="C37" s="298">
        <f t="shared" si="8"/>
        <v>1440</v>
      </c>
      <c r="D37" s="298">
        <f>SUM(D19:D30)/12</f>
        <v>44</v>
      </c>
      <c r="E37" s="298">
        <f t="shared" si="9"/>
        <v>1320</v>
      </c>
      <c r="F37" s="298">
        <f>SUM(F19:F30)/12</f>
        <v>31</v>
      </c>
      <c r="G37" s="298">
        <f t="shared" si="10"/>
        <v>930</v>
      </c>
      <c r="H37" s="298">
        <f>SUM(H19:H30)/12</f>
        <v>47.333333333333336</v>
      </c>
      <c r="I37" s="298">
        <f t="shared" ref="I37:I78" si="19">((5*C37)+E37)/6</f>
        <v>1420</v>
      </c>
      <c r="J37" s="298">
        <f>SUM(J19:J30)/12</f>
        <v>45.000000000000007</v>
      </c>
      <c r="K37" s="298">
        <f t="shared" ref="K37:K78" si="20">((5*C37)+E37+G37)/7</f>
        <v>1350</v>
      </c>
      <c r="O37" s="158"/>
      <c r="P37" s="158"/>
      <c r="Q37" s="167"/>
      <c r="R37" s="166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</row>
    <row r="38" spans="1:38" s="3" customFormat="1" ht="21.75" customHeight="1">
      <c r="A38" s="297" t="s">
        <v>80</v>
      </c>
      <c r="B38" s="296">
        <f>SUM(B18:B22)/5</f>
        <v>59</v>
      </c>
      <c r="C38" s="293">
        <f t="shared" si="8"/>
        <v>1770</v>
      </c>
      <c r="D38" s="295">
        <f>SUM(D18:D22)/5</f>
        <v>41.2</v>
      </c>
      <c r="E38" s="293">
        <f t="shared" si="9"/>
        <v>1236</v>
      </c>
      <c r="F38" s="295">
        <f>SUM(F18:F22)/5</f>
        <v>27.8</v>
      </c>
      <c r="G38" s="293">
        <f t="shared" si="10"/>
        <v>834</v>
      </c>
      <c r="H38" s="295">
        <f>SUM(H18:H22)/5</f>
        <v>56.033333333333339</v>
      </c>
      <c r="I38" s="293">
        <f t="shared" si="19"/>
        <v>1681</v>
      </c>
      <c r="J38" s="294">
        <f>SUM(J18:J22)/5</f>
        <v>52</v>
      </c>
      <c r="K38" s="293">
        <f t="shared" si="20"/>
        <v>1560</v>
      </c>
      <c r="O38" s="158"/>
      <c r="P38" s="158"/>
      <c r="Q38" s="167"/>
      <c r="R38" s="166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</row>
    <row r="39" spans="1:38" s="3" customFormat="1" ht="21.75" customHeight="1">
      <c r="A39" s="857" t="s">
        <v>167</v>
      </c>
      <c r="B39" s="291">
        <f>SUM(B18:B34)/17</f>
        <v>38.529411764705884</v>
      </c>
      <c r="C39" s="288">
        <f t="shared" ref="C39" si="21">IF(AND($C$7&gt;=$P$5,$C$7&lt;=$R$5),B39*$C$7*$T$5/100,IF(AND($C$7&gt;=$P$4,$C$7&lt;=$R$4),B39*$C$7*$T$4/100,IF(AND($C$7&gt;=$P$3,$C$7&lt;=$R$3),B39*$C$7*$T$3/100,IF($C$7&gt;=$P$6,B39*$C$7*$T$6/100))))</f>
        <v>1155.8823529411766</v>
      </c>
      <c r="D39" s="290">
        <f>SUM(D18:D34)/17</f>
        <v>33.117647058823529</v>
      </c>
      <c r="E39" s="288">
        <f t="shared" ref="E39" si="22">IF(AND($C$7&gt;=$P$5,$C$7&lt;=$R$5),D39*$C$7*$T$5/100,IF(AND($C$7&gt;=$P$4,$C$7&lt;=$R$4),D39*$C$7*$T$4/100,IF(AND($C$7&gt;=$P$3,$C$7&lt;=$R$3),D39*$C$7*$T$3/100,IF($C$7&gt;=$P$6,D39*$C$7*$T$6/100))))</f>
        <v>993.52941176470586</v>
      </c>
      <c r="F39" s="290">
        <f>SUM(F18:F34)/17</f>
        <v>23.529411764705884</v>
      </c>
      <c r="G39" s="288">
        <f t="shared" ref="G39" si="23">IF(AND($C$7&gt;=$P$5,$C$7&lt;=$R$5),F39*$C$7*$T$5/100,IF(AND($C$7&gt;=$P$4,$C$7&lt;=$R$4),F39*$C$7*$T$4/100,IF(AND($C$7&gt;=$P$3,$C$7&lt;=$R$3),F39*$C$7*$T$3/100,IF($C$7&gt;=$P$6,F39*$C$7*$T$6/100))))</f>
        <v>705.88235294117646</v>
      </c>
      <c r="H39" s="290">
        <f>SUM(H18:H34)/17</f>
        <v>37.627450980392162</v>
      </c>
      <c r="I39" s="288">
        <f t="shared" ref="I39" si="24">((5*C39)+E39)/6</f>
        <v>1128.8235294117649</v>
      </c>
      <c r="J39" s="289">
        <f>SUM(J18:J34)/17</f>
        <v>35.613445378151262</v>
      </c>
      <c r="K39" s="288">
        <f t="shared" ref="K39" si="25">((5*C39)+E39+G39)/7</f>
        <v>1068.4033613445379</v>
      </c>
      <c r="O39" s="158"/>
      <c r="P39" s="158"/>
      <c r="Q39" s="167"/>
      <c r="R39" s="166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</row>
    <row r="40" spans="1:38" s="3" customFormat="1" ht="21.75" customHeight="1">
      <c r="A40" s="287" t="s">
        <v>102</v>
      </c>
      <c r="B40" s="291">
        <f>SUM(B18:B36)/19</f>
        <v>34.789473684210527</v>
      </c>
      <c r="C40" s="288">
        <f t="shared" si="8"/>
        <v>1043.6842105263158</v>
      </c>
      <c r="D40" s="290">
        <f>SUM(D18:D36)/19</f>
        <v>29.842105263157894</v>
      </c>
      <c r="E40" s="288">
        <f t="shared" si="9"/>
        <v>895.26315789473676</v>
      </c>
      <c r="F40" s="290">
        <f>SUM(F18:F36)/19</f>
        <v>21.263157894736842</v>
      </c>
      <c r="G40" s="288">
        <f t="shared" si="10"/>
        <v>637.89473684210532</v>
      </c>
      <c r="H40" s="290">
        <f>SUM(H18:H36)/19</f>
        <v>33.96491228070176</v>
      </c>
      <c r="I40" s="288">
        <f t="shared" si="19"/>
        <v>1018.9473684210526</v>
      </c>
      <c r="J40" s="289">
        <f>SUM(J18:J36)/19</f>
        <v>32.150375939849617</v>
      </c>
      <c r="K40" s="288">
        <f t="shared" si="20"/>
        <v>964.51127819548867</v>
      </c>
      <c r="O40" s="158"/>
      <c r="P40" s="158"/>
      <c r="Q40" s="167"/>
      <c r="R40" s="166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</row>
    <row r="41" spans="1:38" s="3" customFormat="1" ht="21.75" customHeight="1">
      <c r="A41" s="287" t="s">
        <v>81</v>
      </c>
      <c r="B41" s="292">
        <f>SUM(B19:B21)/3</f>
        <v>72.333333333333329</v>
      </c>
      <c r="C41" s="288">
        <f t="shared" si="8"/>
        <v>2170</v>
      </c>
      <c r="D41" s="290">
        <f>SUM(D19:D21)/3</f>
        <v>40.666666666666664</v>
      </c>
      <c r="E41" s="288">
        <f t="shared" si="9"/>
        <v>1220</v>
      </c>
      <c r="F41" s="290">
        <f>SUM(F19:F21)/3</f>
        <v>21</v>
      </c>
      <c r="G41" s="288">
        <f t="shared" si="10"/>
        <v>630</v>
      </c>
      <c r="H41" s="290">
        <f>SUM(H19:H21)/3</f>
        <v>67.055555555555557</v>
      </c>
      <c r="I41" s="288">
        <f t="shared" si="19"/>
        <v>2011.6666666666667</v>
      </c>
      <c r="J41" s="289">
        <f>SUM(J19:J21)/3</f>
        <v>60.476190476190482</v>
      </c>
      <c r="K41" s="288">
        <f t="shared" si="20"/>
        <v>1814.2857142857142</v>
      </c>
      <c r="N41" s="168"/>
      <c r="O41" s="158"/>
      <c r="P41" s="158"/>
      <c r="Q41" s="167"/>
      <c r="R41" s="166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</row>
    <row r="42" spans="1:38" s="3" customFormat="1" ht="21.75" customHeight="1">
      <c r="A42" s="287" t="s">
        <v>82</v>
      </c>
      <c r="B42" s="291">
        <f>SUM(B19:B22)/4</f>
        <v>69.25</v>
      </c>
      <c r="C42" s="288">
        <f t="shared" si="8"/>
        <v>2077.5</v>
      </c>
      <c r="D42" s="290">
        <f>SUM(D19:D22)/4</f>
        <v>50.5</v>
      </c>
      <c r="E42" s="288">
        <f t="shared" si="9"/>
        <v>1515</v>
      </c>
      <c r="F42" s="290">
        <f>SUM(F19:F22)/4</f>
        <v>33.5</v>
      </c>
      <c r="G42" s="288">
        <f t="shared" si="10"/>
        <v>1005</v>
      </c>
      <c r="H42" s="290">
        <f>SUM(H19:H22)/4</f>
        <v>66.125</v>
      </c>
      <c r="I42" s="288">
        <f t="shared" si="19"/>
        <v>1983.75</v>
      </c>
      <c r="J42" s="289">
        <f>SUM(J19:J22)/4</f>
        <v>61.464285714285722</v>
      </c>
      <c r="K42" s="288">
        <f t="shared" si="20"/>
        <v>1843.9285714285713</v>
      </c>
      <c r="N42" s="168"/>
      <c r="O42" s="158"/>
      <c r="P42" s="158"/>
      <c r="Q42" s="167"/>
      <c r="R42" s="166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</row>
    <row r="43" spans="1:38" s="3" customFormat="1" ht="21.75" customHeight="1">
      <c r="A43" s="287" t="s">
        <v>154</v>
      </c>
      <c r="B43" s="291">
        <f>SUM(B19:B26)/8</f>
        <v>53.25</v>
      </c>
      <c r="C43" s="288">
        <f t="shared" si="8"/>
        <v>1597.5</v>
      </c>
      <c r="D43" s="290">
        <f>SUM(D19:D26)/8</f>
        <v>52.25</v>
      </c>
      <c r="E43" s="288">
        <f t="shared" si="9"/>
        <v>1567.5</v>
      </c>
      <c r="F43" s="290">
        <f>SUM(F19:F26)/8</f>
        <v>35.25</v>
      </c>
      <c r="G43" s="288">
        <f t="shared" si="10"/>
        <v>1057.5</v>
      </c>
      <c r="H43" s="290">
        <f>SUM(H19:H26)/8</f>
        <v>53.083333333333336</v>
      </c>
      <c r="I43" s="288">
        <f t="shared" ref="I43" si="26">((5*C43)+E43)/6</f>
        <v>1592.5</v>
      </c>
      <c r="J43" s="289">
        <f>SUM(J19:J26)/8</f>
        <v>50.535714285714292</v>
      </c>
      <c r="K43" s="288">
        <f t="shared" ref="K43" si="27">((5*C43)+E43+G43)/7</f>
        <v>1516.0714285714287</v>
      </c>
      <c r="N43" s="168"/>
      <c r="O43" s="158"/>
      <c r="P43" s="158"/>
      <c r="Q43" s="167"/>
      <c r="R43" s="166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</row>
    <row r="44" spans="1:38" s="3" customFormat="1" ht="21.75" customHeight="1">
      <c r="A44" s="287" t="s">
        <v>83</v>
      </c>
      <c r="B44" s="291">
        <f>SUM(B19:B31)/13</f>
        <v>46.769230769230766</v>
      </c>
      <c r="C44" s="288">
        <f t="shared" si="8"/>
        <v>1403.0769230769231</v>
      </c>
      <c r="D44" s="290">
        <f>SUM(D19:D31)/13</f>
        <v>41.692307692307693</v>
      </c>
      <c r="E44" s="288">
        <f t="shared" si="9"/>
        <v>1250.7692307692307</v>
      </c>
      <c r="F44" s="290">
        <f>SUM(F19:F31)/13</f>
        <v>29.46153846153846</v>
      </c>
      <c r="G44" s="288">
        <f t="shared" si="10"/>
        <v>883.84615384615381</v>
      </c>
      <c r="H44" s="290">
        <f>SUM(H19:H31)/13</f>
        <v>45.92307692307692</v>
      </c>
      <c r="I44" s="288">
        <f t="shared" si="19"/>
        <v>1377.6923076923076</v>
      </c>
      <c r="J44" s="289">
        <f>SUM(J19:J31)/13</f>
        <v>43.571428571428584</v>
      </c>
      <c r="K44" s="288">
        <f t="shared" si="20"/>
        <v>1307.1428571428571</v>
      </c>
      <c r="O44" s="158"/>
      <c r="P44" s="158"/>
      <c r="Q44" s="167"/>
      <c r="R44" s="166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</row>
    <row r="45" spans="1:38" s="3" customFormat="1" ht="21.75" customHeight="1">
      <c r="A45" s="287" t="s">
        <v>84</v>
      </c>
      <c r="B45" s="291">
        <f>SUM(B19:B32)/14</f>
        <v>44.5</v>
      </c>
      <c r="C45" s="288">
        <f t="shared" si="8"/>
        <v>1335</v>
      </c>
      <c r="D45" s="290">
        <f>SUM(D19:D32)/14</f>
        <v>39.428571428571431</v>
      </c>
      <c r="E45" s="288">
        <f t="shared" si="9"/>
        <v>1182.8571428571429</v>
      </c>
      <c r="F45" s="290">
        <f>SUM(F19:F32)/14</f>
        <v>27.785714285714285</v>
      </c>
      <c r="G45" s="288">
        <f t="shared" si="10"/>
        <v>833.57142857142856</v>
      </c>
      <c r="H45" s="290">
        <f>SUM(H19:H32)/14</f>
        <v>43.654761904761905</v>
      </c>
      <c r="I45" s="288">
        <f t="shared" si="19"/>
        <v>1309.6428571428571</v>
      </c>
      <c r="J45" s="289">
        <f>SUM(J19:J32)/14</f>
        <v>41.387755102040828</v>
      </c>
      <c r="K45" s="288">
        <f t="shared" si="20"/>
        <v>1241.6326530612246</v>
      </c>
      <c r="O45" s="158"/>
      <c r="P45" s="158"/>
      <c r="Q45" s="167"/>
      <c r="R45" s="166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</row>
    <row r="46" spans="1:38" s="3" customFormat="1" ht="21.75" customHeight="1">
      <c r="A46" s="287" t="s">
        <v>85</v>
      </c>
      <c r="B46" s="291">
        <f>SUM(B19:B34)/16</f>
        <v>39.8125</v>
      </c>
      <c r="C46" s="288">
        <f t="shared" ref="C46:C78" si="28">IF(AND($C$7&gt;=$P$5,$C$7&lt;=$R$5),B46*$C$7*$T$5/100,IF(AND($C$7&gt;=$P$4,$C$7&lt;=$R$4),B46*$C$7*$T$4/100,IF(AND($C$7&gt;=$P$3,$C$7&lt;=$R$3),B46*$C$7*$T$3/100,IF($C$7&gt;=$P$6,B46*$C$7*$T$6/100))))</f>
        <v>1194.375</v>
      </c>
      <c r="D46" s="290">
        <f>SUM(D19:D34)/16</f>
        <v>34.9375</v>
      </c>
      <c r="E46" s="288">
        <f t="shared" ref="E46:E78" si="29">IF(AND($C$7&gt;=$P$5,$C$7&lt;=$R$5),D46*$C$7*$T$5/100,IF(AND($C$7&gt;=$P$4,$C$7&lt;=$R$4),D46*$C$7*$T$4/100,IF(AND($C$7&gt;=$P$3,$C$7&lt;=$R$3),D46*$C$7*$T$3/100,IF($C$7&gt;=$P$6,D46*$C$7*$T$6/100))))</f>
        <v>1048.125</v>
      </c>
      <c r="F46" s="290">
        <f>SUM(F19:F34)/16</f>
        <v>24.6875</v>
      </c>
      <c r="G46" s="288">
        <f t="shared" ref="G46:G78" si="30">IF(AND($C$7&gt;=$P$5,$C$7&lt;=$R$5),F46*$C$7*$T$5/100,IF(AND($C$7&gt;=$P$4,$C$7&lt;=$R$4),F46*$C$7*$T$4/100,IF(AND($C$7&gt;=$P$3,$C$7&lt;=$R$3),F46*$C$7*$T$3/100,IF($C$7&gt;=$P$6,F46*$C$7*$T$6/100))))</f>
        <v>740.625</v>
      </c>
      <c r="H46" s="290">
        <f>SUM(H19:H34)/16</f>
        <v>39</v>
      </c>
      <c r="I46" s="288">
        <f t="shared" si="19"/>
        <v>1170</v>
      </c>
      <c r="J46" s="289">
        <f>SUM(J19:J34)/16</f>
        <v>36.955357142857146</v>
      </c>
      <c r="K46" s="288">
        <f t="shared" si="20"/>
        <v>1108.6607142857142</v>
      </c>
      <c r="O46" s="158"/>
      <c r="P46" s="158"/>
      <c r="Q46" s="167"/>
      <c r="R46" s="166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</row>
    <row r="47" spans="1:38" s="3" customFormat="1" ht="21.75" customHeight="1">
      <c r="A47" s="287" t="s">
        <v>115</v>
      </c>
      <c r="B47" s="291">
        <f>SUM(B19:B36)/18</f>
        <v>35.722222222222221</v>
      </c>
      <c r="C47" s="288">
        <f t="shared" si="28"/>
        <v>1071.6666666666667</v>
      </c>
      <c r="D47" s="290">
        <f>SUM(D19:D36)/18</f>
        <v>31.277777777777779</v>
      </c>
      <c r="E47" s="288">
        <f t="shared" si="29"/>
        <v>938.33333333333348</v>
      </c>
      <c r="F47" s="290">
        <f>SUM(F19:F36)/18</f>
        <v>22.166666666666668</v>
      </c>
      <c r="G47" s="288">
        <f t="shared" si="30"/>
        <v>665</v>
      </c>
      <c r="H47" s="290">
        <f>SUM(H19:H36)/18</f>
        <v>34.981481481481488</v>
      </c>
      <c r="I47" s="288">
        <f t="shared" si="19"/>
        <v>1049.4444444444446</v>
      </c>
      <c r="J47" s="289">
        <f>SUM(J19:J36)/18</f>
        <v>33.150793650793645</v>
      </c>
      <c r="K47" s="288">
        <f t="shared" si="20"/>
        <v>994.52380952380975</v>
      </c>
      <c r="O47" s="158"/>
      <c r="P47" s="158"/>
      <c r="Q47" s="167"/>
      <c r="R47" s="166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</row>
    <row r="48" spans="1:38" s="3" customFormat="1" ht="21.75" customHeight="1">
      <c r="A48" s="287" t="s">
        <v>122</v>
      </c>
      <c r="B48" s="291">
        <f>SUM(B20:B36)/17</f>
        <v>34.294117647058826</v>
      </c>
      <c r="C48" s="288">
        <f t="shared" si="28"/>
        <v>1028.8235294117649</v>
      </c>
      <c r="D48" s="290">
        <f>SUM(D20:D36)/17</f>
        <v>32.235294117647058</v>
      </c>
      <c r="E48" s="288">
        <f t="shared" si="29"/>
        <v>967.05882352941171</v>
      </c>
      <c r="F48" s="290">
        <f>SUM(F20:F36)/17</f>
        <v>23.058823529411764</v>
      </c>
      <c r="G48" s="288">
        <f t="shared" si="30"/>
        <v>691.76470588235281</v>
      </c>
      <c r="H48" s="290">
        <f>SUM(H20:H36)/17</f>
        <v>33.950980392156865</v>
      </c>
      <c r="I48" s="288">
        <f t="shared" si="19"/>
        <v>1018.529411764706</v>
      </c>
      <c r="J48" s="289">
        <f>SUM(J20:J36)/17</f>
        <v>32.394957983193265</v>
      </c>
      <c r="K48" s="288">
        <f t="shared" si="20"/>
        <v>971.84873949579844</v>
      </c>
      <c r="O48" s="158"/>
      <c r="P48" s="158"/>
      <c r="Q48" s="167"/>
      <c r="R48" s="166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</row>
    <row r="49" spans="1:38" s="3" customFormat="1" ht="21.75" customHeight="1">
      <c r="A49" s="287" t="s">
        <v>86</v>
      </c>
      <c r="B49" s="291">
        <f>SUM(B21:B25)/5</f>
        <v>49.2</v>
      </c>
      <c r="C49" s="288">
        <f t="shared" si="28"/>
        <v>1476</v>
      </c>
      <c r="D49" s="290">
        <f>SUM(D21:D25)/5</f>
        <v>64.599999999999994</v>
      </c>
      <c r="E49" s="288">
        <f t="shared" si="29"/>
        <v>1937.9999999999998</v>
      </c>
      <c r="F49" s="290">
        <f>SUM(F21:F25)/5</f>
        <v>47</v>
      </c>
      <c r="G49" s="288">
        <f t="shared" si="30"/>
        <v>1410</v>
      </c>
      <c r="H49" s="290">
        <f>SUM(H21:H25)/5</f>
        <v>51.766666666666666</v>
      </c>
      <c r="I49" s="288">
        <f t="shared" si="19"/>
        <v>1553</v>
      </c>
      <c r="J49" s="289">
        <f>SUM(J21:J25)/5</f>
        <v>51.085714285714275</v>
      </c>
      <c r="K49" s="288">
        <f t="shared" si="20"/>
        <v>1532.5714285714287</v>
      </c>
      <c r="O49" s="158"/>
      <c r="P49" s="158"/>
      <c r="Q49" s="167"/>
      <c r="R49" s="166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</row>
    <row r="50" spans="1:38" s="3" customFormat="1" ht="21.75" customHeight="1">
      <c r="A50" s="287" t="s">
        <v>87</v>
      </c>
      <c r="B50" s="291">
        <f>SUM(B21:B30)/10</f>
        <v>43.1</v>
      </c>
      <c r="C50" s="288">
        <f t="shared" si="28"/>
        <v>1293</v>
      </c>
      <c r="D50" s="290">
        <f>SUM(D21:D30)/10</f>
        <v>46.7</v>
      </c>
      <c r="E50" s="288">
        <f t="shared" si="29"/>
        <v>1401</v>
      </c>
      <c r="F50" s="290">
        <f>SUM(F21:F30)/10</f>
        <v>35.1</v>
      </c>
      <c r="G50" s="288">
        <f t="shared" si="30"/>
        <v>1053</v>
      </c>
      <c r="H50" s="290">
        <f>SUM(H21:H30)/10</f>
        <v>43.699999999999996</v>
      </c>
      <c r="I50" s="288">
        <f t="shared" si="19"/>
        <v>1311</v>
      </c>
      <c r="J50" s="289">
        <f>SUM(J21:J30)/10</f>
        <v>42.471428571428568</v>
      </c>
      <c r="K50" s="288">
        <f t="shared" si="20"/>
        <v>1274.1428571428571</v>
      </c>
      <c r="O50" s="158"/>
      <c r="P50" s="158"/>
      <c r="Q50" s="167"/>
      <c r="R50" s="166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</row>
    <row r="51" spans="1:38" s="3" customFormat="1" ht="21.75" customHeight="1">
      <c r="A51" s="287" t="s">
        <v>100</v>
      </c>
      <c r="B51" s="291">
        <f>SUM(B21:B31)/11</f>
        <v>42.090909090909093</v>
      </c>
      <c r="C51" s="288">
        <f t="shared" si="28"/>
        <v>1262.7272727272727</v>
      </c>
      <c r="D51" s="290">
        <f>SUM(D21:D31)/11</f>
        <v>43.727272727272727</v>
      </c>
      <c r="E51" s="288">
        <f t="shared" si="29"/>
        <v>1311.8181818181818</v>
      </c>
      <c r="F51" s="290">
        <f>SUM(F21:F31)/11</f>
        <v>32.909090909090907</v>
      </c>
      <c r="G51" s="288">
        <f t="shared" si="30"/>
        <v>987.27272727272725</v>
      </c>
      <c r="H51" s="290">
        <f>SUM(H21:H31)/11</f>
        <v>42.36363636363636</v>
      </c>
      <c r="I51" s="288">
        <f t="shared" si="19"/>
        <v>1270.909090909091</v>
      </c>
      <c r="J51" s="289">
        <f>SUM(J21:J31)/11</f>
        <v>41.012987012987011</v>
      </c>
      <c r="K51" s="288">
        <f t="shared" si="20"/>
        <v>1230.3896103896107</v>
      </c>
      <c r="O51" s="158"/>
      <c r="P51" s="158"/>
      <c r="Q51" s="167"/>
      <c r="R51" s="166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</row>
    <row r="52" spans="1:38" s="3" customFormat="1" ht="21.75" customHeight="1">
      <c r="A52" s="287" t="s">
        <v>88</v>
      </c>
      <c r="B52" s="291">
        <f>SUM(B21:B32)/12</f>
        <v>39.833333333333336</v>
      </c>
      <c r="C52" s="288">
        <f t="shared" si="28"/>
        <v>1195</v>
      </c>
      <c r="D52" s="290">
        <f>SUM(D21:D32)/12</f>
        <v>40.916666666666664</v>
      </c>
      <c r="E52" s="288">
        <f t="shared" si="29"/>
        <v>1227.5</v>
      </c>
      <c r="F52" s="290">
        <f>SUM(F21:F32)/12</f>
        <v>30.666666666666668</v>
      </c>
      <c r="G52" s="288">
        <f t="shared" si="30"/>
        <v>920</v>
      </c>
      <c r="H52" s="290">
        <f>SUM(H21:H32)/12</f>
        <v>40.013888888888886</v>
      </c>
      <c r="I52" s="288">
        <f t="shared" si="19"/>
        <v>1200.4166666666667</v>
      </c>
      <c r="J52" s="289">
        <f>SUM(J21:J32)/12</f>
        <v>38.678571428571423</v>
      </c>
      <c r="K52" s="288">
        <f t="shared" si="20"/>
        <v>1160.3571428571429</v>
      </c>
      <c r="O52" s="158"/>
      <c r="P52" s="158"/>
      <c r="Q52" s="167"/>
      <c r="R52" s="166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</row>
    <row r="53" spans="1:38" s="3" customFormat="1" ht="21.75" customHeight="1">
      <c r="A53" s="287" t="s">
        <v>89</v>
      </c>
      <c r="B53" s="291">
        <f>SUM(B21:B34)/14</f>
        <v>35.142857142857146</v>
      </c>
      <c r="C53" s="288">
        <f t="shared" si="28"/>
        <v>1054.2857142857144</v>
      </c>
      <c r="D53" s="290">
        <f>SUM(D21:D34)/14</f>
        <v>35.571428571428569</v>
      </c>
      <c r="E53" s="288">
        <f t="shared" si="29"/>
        <v>1067.1428571428571</v>
      </c>
      <c r="F53" s="290">
        <f>SUM(F21:F34)/14</f>
        <v>26.714285714285715</v>
      </c>
      <c r="G53" s="288">
        <f t="shared" si="30"/>
        <v>801.42857142857144</v>
      </c>
      <c r="H53" s="290">
        <f>SUM(H21:H34)/14</f>
        <v>35.214285714285708</v>
      </c>
      <c r="I53" s="288">
        <f t="shared" si="19"/>
        <v>1056.4285714285716</v>
      </c>
      <c r="J53" s="289">
        <f>SUM(J21:J34)/14</f>
        <v>34</v>
      </c>
      <c r="K53" s="288">
        <f t="shared" si="20"/>
        <v>1020.0000000000001</v>
      </c>
      <c r="O53" s="158"/>
      <c r="P53" s="158"/>
      <c r="Q53" s="167"/>
      <c r="R53" s="166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</row>
    <row r="54" spans="1:38" s="3" customFormat="1" ht="21.75" customHeight="1">
      <c r="A54" s="287" t="s">
        <v>138</v>
      </c>
      <c r="B54" s="291">
        <f>SUM(B21:B36)/16</f>
        <v>31.125</v>
      </c>
      <c r="C54" s="288">
        <f t="shared" si="28"/>
        <v>933.75</v>
      </c>
      <c r="D54" s="290">
        <f>SUM(D21:D36)/16</f>
        <v>31.375</v>
      </c>
      <c r="E54" s="288">
        <f t="shared" si="29"/>
        <v>941.25</v>
      </c>
      <c r="F54" s="290">
        <f>SUM(F21:F36)/16</f>
        <v>23.625</v>
      </c>
      <c r="G54" s="288">
        <f t="shared" si="30"/>
        <v>708.75</v>
      </c>
      <c r="H54" s="290">
        <f>SUM(H21:H36)/16</f>
        <v>31.166666666666661</v>
      </c>
      <c r="I54" s="288">
        <f t="shared" si="19"/>
        <v>935</v>
      </c>
      <c r="J54" s="289">
        <f>SUM(J21:J36)/16</f>
        <v>30.089285714285715</v>
      </c>
      <c r="K54" s="288">
        <f t="shared" si="20"/>
        <v>902.67857142857144</v>
      </c>
      <c r="L54" s="165"/>
      <c r="O54" s="158"/>
      <c r="P54" s="158"/>
      <c r="Q54" s="167"/>
      <c r="R54" s="166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</row>
    <row r="55" spans="1:38" s="3" customFormat="1" ht="21.75" customHeight="1">
      <c r="A55" s="287" t="s">
        <v>124</v>
      </c>
      <c r="B55" s="291">
        <f>SUM(B22:B36)/15</f>
        <v>28.4</v>
      </c>
      <c r="C55" s="288">
        <f t="shared" si="28"/>
        <v>852</v>
      </c>
      <c r="D55" s="290">
        <f>SUM(D22:D36)/15</f>
        <v>29.4</v>
      </c>
      <c r="E55" s="288">
        <f t="shared" si="29"/>
        <v>882</v>
      </c>
      <c r="F55" s="290">
        <f>SUM(F22:F36)/15</f>
        <v>22.4</v>
      </c>
      <c r="G55" s="288">
        <f t="shared" si="30"/>
        <v>672</v>
      </c>
      <c r="H55" s="290">
        <f>SUM(H22:H36)/15</f>
        <v>28.566666666666663</v>
      </c>
      <c r="I55" s="288">
        <f t="shared" ref="I55:I56" si="31">((5*C55)+E55)/6</f>
        <v>857</v>
      </c>
      <c r="J55" s="289">
        <f>SUM(J22:J36)/15</f>
        <v>27.68571428571429</v>
      </c>
      <c r="K55" s="288">
        <f t="shared" ref="K55:K56" si="32">((5*C55)+E55+G55)/7</f>
        <v>830.57142857142856</v>
      </c>
      <c r="O55" s="158"/>
      <c r="P55" s="158"/>
      <c r="Q55" s="167"/>
      <c r="R55" s="166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</row>
    <row r="56" spans="1:38" s="3" customFormat="1" ht="21.75" customHeight="1">
      <c r="A56" s="287" t="s">
        <v>157</v>
      </c>
      <c r="B56" s="291">
        <f>SUM(B23:B27)/5</f>
        <v>36.799999999999997</v>
      </c>
      <c r="C56" s="288">
        <f t="shared" si="28"/>
        <v>1104</v>
      </c>
      <c r="D56" s="290">
        <f>SUM(D23:D27)/5</f>
        <v>49.6</v>
      </c>
      <c r="E56" s="288">
        <f t="shared" si="29"/>
        <v>1488</v>
      </c>
      <c r="F56" s="290">
        <f>SUM(F23:F27)/5</f>
        <v>34.6</v>
      </c>
      <c r="G56" s="288">
        <f t="shared" si="30"/>
        <v>1038</v>
      </c>
      <c r="H56" s="290">
        <f>SUM(H23:H27)/5</f>
        <v>38.93333333333333</v>
      </c>
      <c r="I56" s="288">
        <f t="shared" si="31"/>
        <v>1168</v>
      </c>
      <c r="J56" s="289">
        <f>SUM(J23:J27)/5</f>
        <v>38.314285714285717</v>
      </c>
      <c r="K56" s="288">
        <f t="shared" si="32"/>
        <v>1149.4285714285713</v>
      </c>
      <c r="O56" s="158"/>
      <c r="P56" s="158"/>
      <c r="Q56" s="167"/>
      <c r="R56" s="166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</row>
    <row r="57" spans="1:38" s="3" customFormat="1" ht="21.75" customHeight="1">
      <c r="A57" s="287" t="s">
        <v>90</v>
      </c>
      <c r="B57" s="291">
        <f>SUM(B23:B28)/6</f>
        <v>36.5</v>
      </c>
      <c r="C57" s="288">
        <f t="shared" si="28"/>
        <v>1095</v>
      </c>
      <c r="D57" s="290">
        <f>SUM(D23:D28)/6</f>
        <v>46.166666666666664</v>
      </c>
      <c r="E57" s="288">
        <f t="shared" si="29"/>
        <v>1385</v>
      </c>
      <c r="F57" s="290">
        <f>SUM(F23:F28)/6</f>
        <v>32.5</v>
      </c>
      <c r="G57" s="288">
        <f t="shared" si="30"/>
        <v>975</v>
      </c>
      <c r="H57" s="290">
        <f>SUM(H23:H28)/6</f>
        <v>38.111111111111107</v>
      </c>
      <c r="I57" s="288">
        <f t="shared" si="19"/>
        <v>1143.3333333333333</v>
      </c>
      <c r="J57" s="289">
        <f>SUM(J23:J28)/6</f>
        <v>37.30952380952381</v>
      </c>
      <c r="K57" s="288">
        <f t="shared" si="20"/>
        <v>1119.2857142857142</v>
      </c>
      <c r="O57" s="158"/>
      <c r="P57" s="158"/>
      <c r="Q57" s="164"/>
      <c r="R57" s="163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</row>
    <row r="58" spans="1:38" s="3" customFormat="1" ht="21.75" customHeight="1">
      <c r="A58" s="287" t="s">
        <v>91</v>
      </c>
      <c r="B58" s="291">
        <f>SUM(B23:B30)/8</f>
        <v>37.375</v>
      </c>
      <c r="C58" s="288">
        <f t="shared" si="28"/>
        <v>1121.25</v>
      </c>
      <c r="D58" s="290">
        <f>SUM(D23:D30)/8</f>
        <v>40.75</v>
      </c>
      <c r="E58" s="288">
        <f t="shared" si="29"/>
        <v>1222.5</v>
      </c>
      <c r="F58" s="290">
        <f>SUM(F23:F30)/8</f>
        <v>29.75</v>
      </c>
      <c r="G58" s="288">
        <f t="shared" si="30"/>
        <v>892.5</v>
      </c>
      <c r="H58" s="290">
        <f>SUM(H23:H30)/8</f>
        <v>37.9375</v>
      </c>
      <c r="I58" s="288">
        <f t="shared" si="19"/>
        <v>1138.125</v>
      </c>
      <c r="J58" s="289">
        <f>SUM(J23:J30)/8</f>
        <v>36.767857142857146</v>
      </c>
      <c r="K58" s="288">
        <f t="shared" si="20"/>
        <v>1103.0357142857142</v>
      </c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</row>
    <row r="59" spans="1:38" s="3" customFormat="1" ht="21.75" customHeight="1">
      <c r="A59" s="287" t="s">
        <v>99</v>
      </c>
      <c r="B59" s="291">
        <f>SUM(B23:B31)/9</f>
        <v>36.777777777777779</v>
      </c>
      <c r="C59" s="288">
        <f t="shared" si="28"/>
        <v>1103.3333333333333</v>
      </c>
      <c r="D59" s="290">
        <f>SUM(D23:D31)/9</f>
        <v>37.777777777777779</v>
      </c>
      <c r="E59" s="288">
        <f t="shared" si="29"/>
        <v>1133.3333333333333</v>
      </c>
      <c r="F59" s="290">
        <f>SUM(F23:F31)/9</f>
        <v>27.666666666666668</v>
      </c>
      <c r="G59" s="288">
        <f t="shared" si="30"/>
        <v>830</v>
      </c>
      <c r="H59" s="290">
        <f>SUM(H23:H31)/9</f>
        <v>36.944444444444443</v>
      </c>
      <c r="I59" s="288">
        <f t="shared" si="19"/>
        <v>1108.3333333333333</v>
      </c>
      <c r="J59" s="289">
        <f>SUM(J23:J31)/9</f>
        <v>35.61904761904762</v>
      </c>
      <c r="K59" s="288">
        <f t="shared" si="20"/>
        <v>1068.5714285714284</v>
      </c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</row>
    <row r="60" spans="1:38" s="3" customFormat="1" ht="21.75" customHeight="1">
      <c r="A60" s="287" t="s">
        <v>92</v>
      </c>
      <c r="B60" s="291">
        <f>SUM(B23:B32)/10</f>
        <v>34.6</v>
      </c>
      <c r="C60" s="288">
        <f t="shared" si="28"/>
        <v>1038</v>
      </c>
      <c r="D60" s="290">
        <f>SUM(D23:D32)/10</f>
        <v>35</v>
      </c>
      <c r="E60" s="288">
        <f t="shared" si="29"/>
        <v>1050</v>
      </c>
      <c r="F60" s="290">
        <f>SUM(F23:F32)/10</f>
        <v>25.5</v>
      </c>
      <c r="G60" s="288">
        <f t="shared" si="30"/>
        <v>765</v>
      </c>
      <c r="H60" s="290">
        <f>SUM(H23:H32)/10</f>
        <v>34.666666666666671</v>
      </c>
      <c r="I60" s="288">
        <f t="shared" si="19"/>
        <v>1040</v>
      </c>
      <c r="J60" s="289">
        <f>SUM(J23:J32)/10</f>
        <v>33.357142857142861</v>
      </c>
      <c r="K60" s="288">
        <f t="shared" si="20"/>
        <v>1000.7142857142857</v>
      </c>
    </row>
    <row r="61" spans="1:38" s="3" customFormat="1" ht="21.75" customHeight="1">
      <c r="A61" s="287" t="s">
        <v>93</v>
      </c>
      <c r="B61" s="291">
        <f>SUM(B23:B34)/12</f>
        <v>30</v>
      </c>
      <c r="C61" s="288">
        <f t="shared" si="28"/>
        <v>900</v>
      </c>
      <c r="D61" s="290">
        <f>SUM(D23:D34)/12</f>
        <v>29.75</v>
      </c>
      <c r="E61" s="288">
        <f t="shared" si="29"/>
        <v>892.5</v>
      </c>
      <c r="F61" s="290">
        <f>SUM(F23:F34)/12</f>
        <v>21.75</v>
      </c>
      <c r="G61" s="288">
        <f t="shared" si="30"/>
        <v>652.5</v>
      </c>
      <c r="H61" s="290">
        <f>SUM(H23:H34)/12</f>
        <v>29.958333333333332</v>
      </c>
      <c r="I61" s="288">
        <f t="shared" si="19"/>
        <v>898.75</v>
      </c>
      <c r="J61" s="289">
        <f>SUM(J23:J34)/12</f>
        <v>28.785714285714292</v>
      </c>
      <c r="K61" s="288">
        <f t="shared" si="20"/>
        <v>863.57142857142856</v>
      </c>
    </row>
    <row r="62" spans="1:38" s="3" customFormat="1" ht="21.75" customHeight="1">
      <c r="A62" s="287" t="s">
        <v>108</v>
      </c>
      <c r="B62" s="291">
        <f>SUM(B23:B36)/14</f>
        <v>26.142857142857142</v>
      </c>
      <c r="C62" s="288">
        <f t="shared" si="28"/>
        <v>784.28571428571422</v>
      </c>
      <c r="D62" s="290">
        <f>SUM(D23:D36)/14</f>
        <v>25.785714285714285</v>
      </c>
      <c r="E62" s="288">
        <f t="shared" si="29"/>
        <v>773.57142857142856</v>
      </c>
      <c r="F62" s="290">
        <f>SUM(F23:F36)/14</f>
        <v>18.928571428571427</v>
      </c>
      <c r="G62" s="288">
        <f t="shared" si="30"/>
        <v>567.85714285714278</v>
      </c>
      <c r="H62" s="290">
        <f>SUM(H23:H36)/14</f>
        <v>26.083333333333332</v>
      </c>
      <c r="I62" s="288">
        <f t="shared" si="19"/>
        <v>782.5</v>
      </c>
      <c r="J62" s="289">
        <f>SUM(J23:J36)/14</f>
        <v>25.061224489795926</v>
      </c>
      <c r="K62" s="288">
        <f t="shared" si="20"/>
        <v>751.83673469387759</v>
      </c>
    </row>
    <row r="63" spans="1:38" s="3" customFormat="1" ht="21.75" customHeight="1">
      <c r="A63" s="287" t="s">
        <v>150</v>
      </c>
      <c r="B63" s="291">
        <f>SUM(B25:B36)/12</f>
        <v>24.083333333333332</v>
      </c>
      <c r="C63" s="288">
        <f t="shared" si="28"/>
        <v>722.5</v>
      </c>
      <c r="D63" s="290">
        <f>SUM(D25:D36)/12</f>
        <v>18.75</v>
      </c>
      <c r="E63" s="288">
        <f t="shared" si="29"/>
        <v>562.5</v>
      </c>
      <c r="F63" s="290">
        <f>SUM(F25:F36)/12</f>
        <v>14.5</v>
      </c>
      <c r="G63" s="288">
        <f t="shared" si="30"/>
        <v>435</v>
      </c>
      <c r="H63" s="290">
        <f>SUM(H25:H36)/12</f>
        <v>23.194444444444443</v>
      </c>
      <c r="I63" s="288">
        <f t="shared" ref="I63:I65" si="33">((5*C63)+E63)/6</f>
        <v>695.83333333333337</v>
      </c>
      <c r="J63" s="289">
        <f>SUM(J25:J36)/12</f>
        <v>21.952380952380953</v>
      </c>
      <c r="K63" s="288">
        <f t="shared" ref="K63:K65" si="34">((5*C63)+E63+G63)/7</f>
        <v>658.57142857142856</v>
      </c>
    </row>
    <row r="64" spans="1:38" s="3" customFormat="1" ht="21.75" customHeight="1">
      <c r="A64" s="287" t="s">
        <v>165</v>
      </c>
      <c r="B64" s="291">
        <f>SUM(B27:B31)/5</f>
        <v>36.4</v>
      </c>
      <c r="C64" s="288">
        <f t="shared" si="28"/>
        <v>1092</v>
      </c>
      <c r="D64" s="290">
        <f>SUM(D27:D31)/5</f>
        <v>24.8</v>
      </c>
      <c r="E64" s="288">
        <f t="shared" si="29"/>
        <v>744</v>
      </c>
      <c r="F64" s="290">
        <f>SUM(F27:F31)/5</f>
        <v>20.2</v>
      </c>
      <c r="G64" s="288">
        <f t="shared" si="30"/>
        <v>606</v>
      </c>
      <c r="H64" s="290">
        <f>SUM(H27:H31)/5</f>
        <v>34.466666666666669</v>
      </c>
      <c r="I64" s="288">
        <f t="shared" ref="I64" si="35">((5*C64)+E64)/6</f>
        <v>1034</v>
      </c>
      <c r="J64" s="289">
        <f>SUM(J27:J31)/5</f>
        <v>32.428571428571431</v>
      </c>
      <c r="K64" s="288">
        <f t="shared" ref="K64" si="36">((5*C64)+E64+G64)/7</f>
        <v>972.85714285714289</v>
      </c>
    </row>
    <row r="65" spans="1:11" s="3" customFormat="1" ht="21.75" customHeight="1">
      <c r="A65" s="287" t="s">
        <v>151</v>
      </c>
      <c r="B65" s="291">
        <f>SUM(B27:B32)/6</f>
        <v>32.833333333333336</v>
      </c>
      <c r="C65" s="288">
        <f t="shared" si="28"/>
        <v>985.00000000000011</v>
      </c>
      <c r="D65" s="290">
        <f>SUM(D27:D32)/6</f>
        <v>22.333333333333332</v>
      </c>
      <c r="E65" s="288">
        <f t="shared" si="29"/>
        <v>670</v>
      </c>
      <c r="F65" s="290">
        <f>SUM(F27:F32)/6</f>
        <v>17.833333333333332</v>
      </c>
      <c r="G65" s="288">
        <f t="shared" si="30"/>
        <v>535</v>
      </c>
      <c r="H65" s="290">
        <f>SUM(H27:H32)/6</f>
        <v>31.083333333333332</v>
      </c>
      <c r="I65" s="288">
        <f t="shared" si="33"/>
        <v>932.50000000000011</v>
      </c>
      <c r="J65" s="289">
        <f>SUM(J27:J32)/6</f>
        <v>29.19047619047619</v>
      </c>
      <c r="K65" s="288">
        <f t="shared" si="34"/>
        <v>875.71428571428589</v>
      </c>
    </row>
    <row r="66" spans="1:11" s="3" customFormat="1" ht="21.75" customHeight="1">
      <c r="A66" s="287" t="s">
        <v>149</v>
      </c>
      <c r="B66" s="291">
        <f>SUM(B27:B34)/8</f>
        <v>26.375</v>
      </c>
      <c r="C66" s="288">
        <f t="shared" si="28"/>
        <v>791.25</v>
      </c>
      <c r="D66" s="290">
        <f>SUM(D27:D34)/8</f>
        <v>17.625</v>
      </c>
      <c r="E66" s="288">
        <f t="shared" si="29"/>
        <v>528.75</v>
      </c>
      <c r="F66" s="290">
        <f>SUM(F27:F34)/8</f>
        <v>14.125</v>
      </c>
      <c r="G66" s="288">
        <f t="shared" si="30"/>
        <v>423.75</v>
      </c>
      <c r="H66" s="290">
        <f>SUM(H27:H34)/8</f>
        <v>24.916666666666668</v>
      </c>
      <c r="I66" s="288">
        <f t="shared" ref="I66" si="37">((5*C66)+E66)/6</f>
        <v>747.5</v>
      </c>
      <c r="J66" s="289">
        <f>SUM(J27:J34)/8</f>
        <v>23.375</v>
      </c>
      <c r="K66" s="288">
        <f t="shared" ref="K66" si="38">((5*C66)+E66+G66)/7</f>
        <v>701.25</v>
      </c>
    </row>
    <row r="67" spans="1:11" s="3" customFormat="1" ht="21.75" customHeight="1">
      <c r="A67" s="287" t="s">
        <v>152</v>
      </c>
      <c r="B67" s="291">
        <f>SUM(B27:B36)/10</f>
        <v>21.7</v>
      </c>
      <c r="C67" s="288">
        <f t="shared" si="28"/>
        <v>651</v>
      </c>
      <c r="D67" s="290">
        <f>SUM(D27:D36)/10</f>
        <v>14.5</v>
      </c>
      <c r="E67" s="288">
        <f t="shared" si="29"/>
        <v>435</v>
      </c>
      <c r="F67" s="290">
        <f>SUM(F27:F36)/10</f>
        <v>11.7</v>
      </c>
      <c r="G67" s="288">
        <f t="shared" si="30"/>
        <v>351</v>
      </c>
      <c r="H67" s="290">
        <f>SUM(H27:H36)/10</f>
        <v>20.500000000000004</v>
      </c>
      <c r="I67" s="288">
        <f t="shared" ref="I67:I69" si="39">((5*C67)+E67)/6</f>
        <v>615</v>
      </c>
      <c r="J67" s="289">
        <f>SUM(J27:J36)/10</f>
        <v>19.242857142857144</v>
      </c>
      <c r="K67" s="288">
        <f t="shared" ref="K67:K69" si="40">((5*C67)+E67+G67)/7</f>
        <v>577.28571428571433</v>
      </c>
    </row>
    <row r="68" spans="1:11" s="3" customFormat="1" ht="21.75" customHeight="1">
      <c r="A68" s="287" t="s">
        <v>156</v>
      </c>
      <c r="B68" s="291">
        <f>SUM(B28:B33)/6</f>
        <v>28.333333333333332</v>
      </c>
      <c r="C68" s="288">
        <f t="shared" si="28"/>
        <v>850</v>
      </c>
      <c r="D68" s="291">
        <f>SUM(D28:D33)/6</f>
        <v>17.666666666666668</v>
      </c>
      <c r="E68" s="288">
        <f t="shared" si="29"/>
        <v>530</v>
      </c>
      <c r="F68" s="291">
        <f>SUM(F28:F33)/6</f>
        <v>14.166666666666666</v>
      </c>
      <c r="G68" s="288">
        <f t="shared" si="30"/>
        <v>425</v>
      </c>
      <c r="H68" s="291">
        <f>SUM(H28:H33)/6</f>
        <v>26.555555555555557</v>
      </c>
      <c r="I68" s="288">
        <f t="shared" si="39"/>
        <v>796.66666666666663</v>
      </c>
      <c r="J68" s="291">
        <f>SUM(J28:J33)/6</f>
        <v>24.785714285714281</v>
      </c>
      <c r="K68" s="288">
        <f t="shared" si="40"/>
        <v>743.57142857142856</v>
      </c>
    </row>
    <row r="69" spans="1:11" s="3" customFormat="1" ht="21.75" customHeight="1">
      <c r="A69" s="287" t="s">
        <v>155</v>
      </c>
      <c r="B69" s="291">
        <f>SUM(B28:B34)/7</f>
        <v>25.142857142857142</v>
      </c>
      <c r="C69" s="288">
        <f t="shared" si="28"/>
        <v>754.28571428571422</v>
      </c>
      <c r="D69" s="290">
        <f>SUM(D28:D34)/7</f>
        <v>15.571428571428571</v>
      </c>
      <c r="E69" s="288">
        <f t="shared" si="29"/>
        <v>467.14285714285711</v>
      </c>
      <c r="F69" s="290">
        <f>SUM(F28:F34)/7</f>
        <v>12.571428571428571</v>
      </c>
      <c r="G69" s="288">
        <f t="shared" si="30"/>
        <v>377.14285714285711</v>
      </c>
      <c r="H69" s="290">
        <f>SUM(H28:H34)/7</f>
        <v>23.547619047619047</v>
      </c>
      <c r="I69" s="288">
        <f t="shared" si="39"/>
        <v>706.42857142857144</v>
      </c>
      <c r="J69" s="289">
        <f>SUM(J28:J34)/7</f>
        <v>21.979591836734691</v>
      </c>
      <c r="K69" s="288">
        <f t="shared" si="40"/>
        <v>659.38775510204073</v>
      </c>
    </row>
    <row r="70" spans="1:11" s="3" customFormat="1" ht="21.75" customHeight="1">
      <c r="A70" s="287" t="s">
        <v>158</v>
      </c>
      <c r="B70" s="291">
        <f>SUM(B28:B36)/9</f>
        <v>20.222222222222221</v>
      </c>
      <c r="C70" s="288">
        <f t="shared" si="28"/>
        <v>606.66666666666663</v>
      </c>
      <c r="D70" s="290">
        <f>SUM(D28:D36)/9</f>
        <v>12.555555555555555</v>
      </c>
      <c r="E70" s="288">
        <f t="shared" si="29"/>
        <v>376.66666666666674</v>
      </c>
      <c r="F70" s="290">
        <f>SUM(F28:F36)/9</f>
        <v>10.222222222222221</v>
      </c>
      <c r="G70" s="288">
        <f t="shared" si="30"/>
        <v>306.66666666666663</v>
      </c>
      <c r="H70" s="290">
        <f>SUM(H28:H36)/9</f>
        <v>18.944444444444446</v>
      </c>
      <c r="I70" s="288">
        <f t="shared" ref="I70" si="41">((5*C70)+E70)/6</f>
        <v>568.33333333333337</v>
      </c>
      <c r="J70" s="289">
        <f>SUM(J28:J36)/9</f>
        <v>17.698412698412696</v>
      </c>
      <c r="K70" s="288">
        <f t="shared" ref="K70" si="42">((5*C70)+E70+G70)/7</f>
        <v>530.95238095238096</v>
      </c>
    </row>
    <row r="71" spans="1:11" s="3" customFormat="1" ht="21.75" customHeight="1">
      <c r="A71" s="287" t="s">
        <v>168</v>
      </c>
      <c r="B71" s="291">
        <f>SUM(B29:B31)/3</f>
        <v>37.333333333333336</v>
      </c>
      <c r="C71" s="288">
        <f t="shared" ref="C71" si="43">IF(AND($C$7&gt;=$P$5,$C$7&lt;=$R$5),B71*$C$7*$T$5/100,IF(AND($C$7&gt;=$P$4,$C$7&lt;=$R$4),B71*$C$7*$T$4/100,IF(AND($C$7&gt;=$P$3,$C$7&lt;=$R$3),B71*$C$7*$T$3/100,IF($C$7&gt;=$P$6,B71*$C$7*$T$6/100))))</f>
        <v>1120</v>
      </c>
      <c r="D71" s="290">
        <f>SUM(D29:D31)/3</f>
        <v>21</v>
      </c>
      <c r="E71" s="288">
        <f t="shared" ref="E71" si="44">IF(AND($C$7&gt;=$P$5,$C$7&lt;=$R$5),D71*$C$7*$T$5/100,IF(AND($C$7&gt;=$P$4,$C$7&lt;=$R$4),D71*$C$7*$T$4/100,IF(AND($C$7&gt;=$P$3,$C$7&lt;=$R$3),D71*$C$7*$T$3/100,IF($C$7&gt;=$P$6,D71*$C$7*$T$6/100))))</f>
        <v>630</v>
      </c>
      <c r="F71" s="290">
        <f>SUM(F29:F31)/3</f>
        <v>18</v>
      </c>
      <c r="G71" s="288">
        <f t="shared" ref="G71" si="45">IF(AND($C$7&gt;=$P$5,$C$7&lt;=$R$5),F71*$C$7*$T$5/100,IF(AND($C$7&gt;=$P$4,$C$7&lt;=$R$4),F71*$C$7*$T$4/100,IF(AND($C$7&gt;=$P$3,$C$7&lt;=$R$3),F71*$C$7*$T$3/100,IF($C$7&gt;=$P$6,F71*$C$7*$T$6/100))))</f>
        <v>540</v>
      </c>
      <c r="H71" s="290">
        <f>SUM(H29:H31)/3</f>
        <v>34.611111111111114</v>
      </c>
      <c r="I71" s="288">
        <f t="shared" ref="I71" si="46">((5*C71)+E71)/6</f>
        <v>1038.3333333333333</v>
      </c>
      <c r="J71" s="289">
        <f>SUM(J29:J31)/3</f>
        <v>32.238095238095234</v>
      </c>
      <c r="K71" s="288">
        <f t="shared" ref="K71" si="47">((5*C71)+E71+G71)/7</f>
        <v>967.14285714285711</v>
      </c>
    </row>
    <row r="72" spans="1:11" s="3" customFormat="1" ht="21.75" customHeight="1">
      <c r="A72" s="287" t="s">
        <v>166</v>
      </c>
      <c r="B72" s="291">
        <f>SUM(B30:B31)/2</f>
        <v>35</v>
      </c>
      <c r="C72" s="288">
        <f t="shared" si="28"/>
        <v>1050</v>
      </c>
      <c r="D72" s="290">
        <f>SUM(D30:D31)/2</f>
        <v>18.5</v>
      </c>
      <c r="E72" s="288">
        <f t="shared" si="29"/>
        <v>555</v>
      </c>
      <c r="F72" s="290">
        <f>SUM(F30:F31)/2</f>
        <v>15.5</v>
      </c>
      <c r="G72" s="288">
        <f t="shared" si="30"/>
        <v>465</v>
      </c>
      <c r="H72" s="290">
        <f>SUM(H30:H31)/2</f>
        <v>32.25</v>
      </c>
      <c r="I72" s="288">
        <f t="shared" ref="I72" si="48">((5*C72)+E72)/6</f>
        <v>967.5</v>
      </c>
      <c r="J72" s="289">
        <f>SUM(J30:J31)/2</f>
        <v>29.857142857142854</v>
      </c>
      <c r="K72" s="288">
        <f t="shared" ref="K72" si="49">((5*C72)+E72+G72)/7</f>
        <v>895.71428571428567</v>
      </c>
    </row>
    <row r="73" spans="1:11" s="2" customFormat="1" ht="21.75" customHeight="1">
      <c r="A73" s="287" t="s">
        <v>101</v>
      </c>
      <c r="B73" s="291">
        <f>SUM(B30:B33)/4</f>
        <v>23.25</v>
      </c>
      <c r="C73" s="288">
        <f t="shared" si="28"/>
        <v>697.5</v>
      </c>
      <c r="D73" s="290">
        <f>SUM(D30:D33)/4</f>
        <v>12.75</v>
      </c>
      <c r="E73" s="288">
        <f t="shared" si="29"/>
        <v>382.5</v>
      </c>
      <c r="F73" s="290">
        <f>SUM(F30:F33)/4</f>
        <v>10</v>
      </c>
      <c r="G73" s="288">
        <f t="shared" si="30"/>
        <v>300</v>
      </c>
      <c r="H73" s="290">
        <f>SUM(H30:H33)/4</f>
        <v>21.5</v>
      </c>
      <c r="I73" s="288">
        <f t="shared" si="19"/>
        <v>645</v>
      </c>
      <c r="J73" s="289">
        <f>SUM(J30:J33)/4</f>
        <v>19.857142857142854</v>
      </c>
      <c r="K73" s="288">
        <f t="shared" si="20"/>
        <v>595.71428571428567</v>
      </c>
    </row>
    <row r="74" spans="1:11" s="2" customFormat="1" ht="21.75" customHeight="1">
      <c r="A74" s="287" t="s">
        <v>123</v>
      </c>
      <c r="B74" s="291">
        <f>SUM(B31:B33)/3</f>
        <v>18.333333333333332</v>
      </c>
      <c r="C74" s="288">
        <f t="shared" si="28"/>
        <v>550</v>
      </c>
      <c r="D74" s="290">
        <f>SUM(D31:D33)/3</f>
        <v>9.3333333333333339</v>
      </c>
      <c r="E74" s="288">
        <f t="shared" si="29"/>
        <v>280</v>
      </c>
      <c r="F74" s="290">
        <f>SUM(F31:F33)/3</f>
        <v>6.666666666666667</v>
      </c>
      <c r="G74" s="288">
        <f t="shared" si="30"/>
        <v>200</v>
      </c>
      <c r="H74" s="290">
        <f>SUM(H31:H33)/3</f>
        <v>16.833333333333332</v>
      </c>
      <c r="I74" s="288">
        <f t="shared" si="19"/>
        <v>505</v>
      </c>
      <c r="J74" s="289">
        <f>SUM(J31:J33)/3</f>
        <v>15.380952380952381</v>
      </c>
      <c r="K74" s="288">
        <f t="shared" si="20"/>
        <v>461.42857142857144</v>
      </c>
    </row>
    <row r="75" spans="1:11" ht="21.75" customHeight="1">
      <c r="A75" s="287" t="s">
        <v>94</v>
      </c>
      <c r="B75" s="291">
        <f>SUM(B31:B34)/4</f>
        <v>15.25</v>
      </c>
      <c r="C75" s="288">
        <f t="shared" si="28"/>
        <v>457.5</v>
      </c>
      <c r="D75" s="290">
        <f>SUM(D31:D34)/4</f>
        <v>7.75</v>
      </c>
      <c r="E75" s="288">
        <f t="shared" si="29"/>
        <v>232.5</v>
      </c>
      <c r="F75" s="290">
        <f>SUM(F31:F34)/4</f>
        <v>5.75</v>
      </c>
      <c r="G75" s="288">
        <f t="shared" si="30"/>
        <v>172.5</v>
      </c>
      <c r="H75" s="290">
        <f>SUM(H31:H34)/4</f>
        <v>14</v>
      </c>
      <c r="I75" s="288">
        <f t="shared" si="19"/>
        <v>420</v>
      </c>
      <c r="J75" s="289">
        <f>SUM(J31:J34)/4</f>
        <v>12.821428571428573</v>
      </c>
      <c r="K75" s="288">
        <f t="shared" si="20"/>
        <v>384.64285714285717</v>
      </c>
    </row>
    <row r="76" spans="1:11" ht="21.75" customHeight="1">
      <c r="A76" s="287" t="s">
        <v>95</v>
      </c>
      <c r="B76" s="291">
        <f>SUM(B31:B36)/6</f>
        <v>11.166666666666666</v>
      </c>
      <c r="C76" s="288">
        <f t="shared" si="28"/>
        <v>335</v>
      </c>
      <c r="D76" s="290">
        <f>SUM(D31:D36)/6</f>
        <v>5.833333333333333</v>
      </c>
      <c r="E76" s="288">
        <f t="shared" si="29"/>
        <v>175</v>
      </c>
      <c r="F76" s="290">
        <f>SUM(F31:F36)/6</f>
        <v>4.5</v>
      </c>
      <c r="G76" s="288">
        <f t="shared" si="30"/>
        <v>135</v>
      </c>
      <c r="H76" s="290">
        <f>SUM(H31:H36)/6</f>
        <v>10.277777777777779</v>
      </c>
      <c r="I76" s="288">
        <f t="shared" si="19"/>
        <v>308.33333333333331</v>
      </c>
      <c r="J76" s="289">
        <f>SUM(J31:J36)/6</f>
        <v>9.4523809523809543</v>
      </c>
      <c r="K76" s="288">
        <f t="shared" si="20"/>
        <v>283.57142857142856</v>
      </c>
    </row>
    <row r="77" spans="1:11" ht="21.75" customHeight="1">
      <c r="A77" s="287" t="s">
        <v>96</v>
      </c>
      <c r="B77" s="291">
        <f>SUM(B32:B36)/5</f>
        <v>7</v>
      </c>
      <c r="C77" s="288">
        <f t="shared" si="28"/>
        <v>210</v>
      </c>
      <c r="D77" s="290">
        <f>SUM(D32:D36)/5</f>
        <v>4.2</v>
      </c>
      <c r="E77" s="288">
        <f t="shared" si="29"/>
        <v>126</v>
      </c>
      <c r="F77" s="290">
        <f>SUM(F32:F36)/5</f>
        <v>3.2</v>
      </c>
      <c r="G77" s="288">
        <f t="shared" si="30"/>
        <v>96</v>
      </c>
      <c r="H77" s="290">
        <f>SUM(H32:H36)/5</f>
        <v>6.5333333333333332</v>
      </c>
      <c r="I77" s="288">
        <f t="shared" si="19"/>
        <v>196</v>
      </c>
      <c r="J77" s="289">
        <f>SUM(J32:J36)/5</f>
        <v>6.0571428571428578</v>
      </c>
      <c r="K77" s="288">
        <f t="shared" si="20"/>
        <v>181.71428571428572</v>
      </c>
    </row>
    <row r="78" spans="1:11" ht="21.75" customHeight="1" thickBot="1">
      <c r="A78" s="287" t="s">
        <v>97</v>
      </c>
      <c r="B78" s="286">
        <f>SUM(B33:B36)/4</f>
        <v>5</v>
      </c>
      <c r="C78" s="283">
        <f t="shared" si="28"/>
        <v>150</v>
      </c>
      <c r="D78" s="285">
        <f>SUM(D33:D36)/4</f>
        <v>2.75</v>
      </c>
      <c r="E78" s="283">
        <f t="shared" si="29"/>
        <v>82.5</v>
      </c>
      <c r="F78" s="285">
        <f>SUM(F33:F36)/4</f>
        <v>2.5</v>
      </c>
      <c r="G78" s="283">
        <f t="shared" si="30"/>
        <v>75</v>
      </c>
      <c r="H78" s="285">
        <f>SUM(H33:H36)/4</f>
        <v>4.625</v>
      </c>
      <c r="I78" s="283">
        <f t="shared" si="19"/>
        <v>138.75</v>
      </c>
      <c r="J78" s="284">
        <f>SUM(J33:J36)/4</f>
        <v>4.3214285714285721</v>
      </c>
      <c r="K78" s="283">
        <f t="shared" si="20"/>
        <v>129.64285714285714</v>
      </c>
    </row>
    <row r="115" spans="1:1">
      <c r="A115" s="1" t="s">
        <v>55</v>
      </c>
    </row>
    <row r="116" spans="1:1">
      <c r="A116" s="1" t="s">
        <v>0</v>
      </c>
    </row>
    <row r="117" spans="1:1">
      <c r="A117" s="1" t="s">
        <v>21</v>
      </c>
    </row>
    <row r="118" spans="1:1">
      <c r="A118" s="1" t="s">
        <v>136</v>
      </c>
    </row>
    <row r="119" spans="1:1">
      <c r="A119" s="1" t="s">
        <v>137</v>
      </c>
    </row>
  </sheetData>
  <mergeCells count="8">
    <mergeCell ref="E1:N1"/>
    <mergeCell ref="A10:K10"/>
    <mergeCell ref="B11:C11"/>
    <mergeCell ref="D11:E11"/>
    <mergeCell ref="F11:G11"/>
    <mergeCell ref="H11:I11"/>
    <mergeCell ref="J11:K11"/>
    <mergeCell ref="B3:D3"/>
  </mergeCells>
  <dataValidations count="3">
    <dataValidation type="list" allowBlank="1" showInputMessage="1" showErrorMessage="1" sqref="E8:E9">
      <formula1>$B$11:$K$11</formula1>
    </dataValidation>
    <dataValidation type="list" allowBlank="1" showInputMessage="1" showErrorMessage="1" sqref="E4:E7">
      <formula1>$A$115:$A$119</formula1>
    </dataValidation>
    <dataValidation type="list" allowBlank="1" showInputMessage="1" showErrorMessage="1" sqref="F4:F9">
      <formula1>$A$37:$A$80</formula1>
    </dataValidation>
  </dataValidations>
  <pageMargins left="0.7" right="0.7" top="0.78740157499999996" bottom="0.78740157499999996" header="0.3" footer="0.3"/>
  <pageSetup paperSize="9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77"/>
  <sheetViews>
    <sheetView zoomScale="85" zoomScaleNormal="85" workbookViewId="0">
      <selection activeCell="D3" sqref="D3"/>
    </sheetView>
  </sheetViews>
  <sheetFormatPr baseColWidth="10" defaultColWidth="14.42578125" defaultRowHeight="15" outlineLevelCol="1"/>
  <cols>
    <col min="1" max="1" width="14.42578125" style="6" customWidth="1"/>
    <col min="2" max="2" width="6" style="6" customWidth="1"/>
    <col min="3" max="4" width="8.85546875" style="76" customWidth="1"/>
    <col min="5" max="5" width="11.140625" style="76" customWidth="1"/>
    <col min="6" max="13" width="8.85546875" style="76" customWidth="1"/>
    <col min="14" max="34" width="4.5703125" style="6" customWidth="1"/>
    <col min="35" max="48" width="4.5703125" style="6" customWidth="1" outlineLevel="1"/>
    <col min="49" max="55" width="4.7109375" style="6" hidden="1" customWidth="1" outlineLevel="1"/>
    <col min="56" max="56" width="14.42578125" style="6" collapsed="1"/>
    <col min="57" max="57" width="0" style="6" hidden="1" customWidth="1"/>
    <col min="58" max="58" width="16.85546875" style="6" hidden="1" customWidth="1"/>
    <col min="59" max="61" width="0" style="6" hidden="1" customWidth="1"/>
    <col min="62" max="16384" width="14.42578125" style="6"/>
  </cols>
  <sheetData>
    <row r="1" spans="1:60" s="78" customFormat="1">
      <c r="A1" s="23"/>
      <c r="B1" s="23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</row>
    <row r="2" spans="1:60" s="80" customFormat="1" ht="61.15" customHeight="1">
      <c r="A2" s="842"/>
      <c r="B2" s="842"/>
      <c r="C2" s="842"/>
      <c r="D2" s="957" t="s">
        <v>171</v>
      </c>
      <c r="E2" s="957"/>
      <c r="F2" s="957"/>
      <c r="G2" s="957"/>
      <c r="H2" s="842"/>
      <c r="I2" s="842"/>
      <c r="J2" s="842"/>
      <c r="K2" s="842"/>
      <c r="L2" s="842"/>
      <c r="M2" s="842"/>
      <c r="N2" s="842"/>
      <c r="O2" s="842"/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842"/>
      <c r="AB2" s="842"/>
      <c r="AC2" s="842"/>
      <c r="AD2" s="842"/>
      <c r="AE2" s="842"/>
      <c r="AF2" s="842"/>
      <c r="AG2" s="842"/>
      <c r="AH2" s="842"/>
      <c r="AI2" s="842"/>
      <c r="AJ2" s="842"/>
      <c r="AK2" s="842"/>
      <c r="AL2" s="842"/>
      <c r="AM2" s="842"/>
      <c r="AN2" s="842"/>
      <c r="AO2" s="842"/>
      <c r="AP2" s="842"/>
      <c r="AQ2" s="842"/>
      <c r="AR2" s="842"/>
      <c r="AS2" s="842"/>
      <c r="AT2" s="842"/>
      <c r="AU2" s="842"/>
      <c r="AV2" s="842"/>
      <c r="AW2" s="842"/>
      <c r="AX2" s="842"/>
      <c r="AY2" s="842"/>
      <c r="AZ2" s="842"/>
      <c r="BA2" s="842"/>
      <c r="BB2" s="842"/>
      <c r="BC2" s="842"/>
      <c r="BD2" s="79"/>
      <c r="BE2" s="79"/>
      <c r="BF2" s="79"/>
      <c r="BG2" s="79"/>
      <c r="BH2" s="79"/>
    </row>
    <row r="3" spans="1:60" s="78" customFormat="1" ht="11.25" customHeight="1">
      <c r="A3" s="81"/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23"/>
      <c r="BE3" s="23"/>
      <c r="BF3" s="23"/>
      <c r="BG3" s="23"/>
      <c r="BH3" s="23"/>
    </row>
    <row r="4" spans="1:60" ht="18">
      <c r="A4" s="900" t="s">
        <v>169</v>
      </c>
      <c r="B4" s="900"/>
      <c r="C4" s="900"/>
      <c r="D4" s="900"/>
      <c r="E4" s="900"/>
      <c r="F4" s="900"/>
      <c r="G4" s="900"/>
      <c r="H4" s="900"/>
      <c r="I4" s="900"/>
      <c r="J4" s="900"/>
      <c r="K4" s="900"/>
      <c r="L4" s="900"/>
      <c r="M4" s="900"/>
      <c r="N4" s="900"/>
      <c r="O4" s="900"/>
      <c r="P4" s="900"/>
      <c r="Q4" s="900"/>
      <c r="R4" s="900"/>
      <c r="S4" s="900"/>
      <c r="T4" s="900"/>
      <c r="U4" s="900"/>
      <c r="V4" s="900"/>
      <c r="W4" s="900"/>
      <c r="X4" s="900"/>
      <c r="Y4" s="900"/>
      <c r="Z4" s="900"/>
      <c r="AA4" s="900"/>
      <c r="AB4" s="900"/>
      <c r="AC4" s="900"/>
      <c r="AD4" s="900"/>
      <c r="AE4" s="900"/>
      <c r="AF4" s="900"/>
      <c r="AG4" s="900"/>
      <c r="AH4" s="900"/>
      <c r="AI4" s="900"/>
      <c r="AJ4" s="900"/>
      <c r="AK4" s="900"/>
      <c r="AL4" s="900"/>
      <c r="AM4" s="900"/>
      <c r="AN4" s="900"/>
      <c r="AO4" s="900"/>
      <c r="AP4" s="900"/>
      <c r="AQ4" s="900"/>
      <c r="AR4" s="900"/>
      <c r="AS4" s="900"/>
      <c r="AT4" s="900"/>
      <c r="AU4" s="900"/>
      <c r="AV4" s="900"/>
      <c r="AW4" s="900"/>
      <c r="AX4" s="900"/>
      <c r="AY4" s="900"/>
      <c r="AZ4" s="900"/>
      <c r="BA4" s="900"/>
      <c r="BB4" s="900"/>
      <c r="BC4" s="900"/>
      <c r="BD4" s="900"/>
      <c r="BE4" s="900"/>
      <c r="BF4" s="900"/>
      <c r="BG4" s="900"/>
      <c r="BH4" s="900"/>
    </row>
    <row r="5" spans="1:60" s="9" customFormat="1" ht="18.75" thickBot="1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 spans="1:60" s="16" customFormat="1" ht="18.75" thickBot="1">
      <c r="A6" s="10"/>
      <c r="B6" s="84" t="s">
        <v>1</v>
      </c>
      <c r="C6" s="85"/>
      <c r="D6" s="391"/>
      <c r="E6" s="964"/>
      <c r="F6" s="965"/>
      <c r="G6" s="966"/>
      <c r="H6" s="85"/>
      <c r="I6" s="967" t="s">
        <v>2</v>
      </c>
      <c r="J6" s="968"/>
      <c r="K6" s="968"/>
      <c r="L6" s="392"/>
      <c r="M6" s="969">
        <f>B41+F41+J41</f>
        <v>0</v>
      </c>
      <c r="N6" s="969"/>
      <c r="O6" s="970"/>
      <c r="P6" s="3"/>
      <c r="Q6" s="3"/>
      <c r="R6" s="143" t="s">
        <v>110</v>
      </c>
      <c r="S6" s="144"/>
      <c r="T6" s="144"/>
      <c r="U6" s="144"/>
      <c r="V6" s="145" t="s">
        <v>113</v>
      </c>
      <c r="W6" s="7"/>
      <c r="X6" s="7"/>
      <c r="Y6" s="7"/>
      <c r="Z6" s="7"/>
      <c r="AA6" s="12"/>
      <c r="AB6" s="12"/>
      <c r="AC6" s="12"/>
      <c r="AD6" s="12"/>
      <c r="AE6" s="10"/>
      <c r="AF6" s="10"/>
      <c r="AG6" s="10"/>
      <c r="AH6" s="10"/>
      <c r="AI6" s="13"/>
      <c r="AJ6" s="13"/>
      <c r="AK6" s="13"/>
      <c r="AL6" s="13"/>
      <c r="AM6" s="10"/>
      <c r="AN6" s="903"/>
      <c r="AO6" s="903"/>
      <c r="AP6" s="903"/>
      <c r="AQ6" s="903"/>
      <c r="AR6" s="903"/>
      <c r="AS6" s="903"/>
      <c r="AT6" s="903"/>
      <c r="AU6" s="903"/>
      <c r="AV6" s="903"/>
      <c r="AW6" s="10"/>
      <c r="AX6" s="10"/>
      <c r="AY6" s="10"/>
      <c r="AZ6" s="10"/>
      <c r="BA6" s="10"/>
      <c r="BB6" s="10"/>
      <c r="BC6" s="10"/>
      <c r="BD6" s="10"/>
      <c r="BE6" s="14">
        <f>WEEKDAY(AP7,2)</f>
        <v>6</v>
      </c>
      <c r="BF6" s="15">
        <f>DAYS360(AP7,AP8)+1</f>
        <v>1</v>
      </c>
      <c r="BG6" s="10"/>
      <c r="BH6" s="10"/>
    </row>
    <row r="7" spans="1:60" s="16" customFormat="1" ht="18.75" thickBot="1">
      <c r="A7" s="10"/>
      <c r="B7" s="84" t="s">
        <v>3</v>
      </c>
      <c r="C7" s="85"/>
      <c r="D7" s="391"/>
      <c r="E7" s="964"/>
      <c r="F7" s="965"/>
      <c r="G7" s="966"/>
      <c r="H7" s="85"/>
      <c r="I7" s="958" t="s">
        <v>4</v>
      </c>
      <c r="J7" s="907"/>
      <c r="K7" s="907"/>
      <c r="L7" s="86"/>
      <c r="M7" s="904">
        <f>G9*M6</f>
        <v>0</v>
      </c>
      <c r="N7" s="904"/>
      <c r="O7" s="959"/>
      <c r="P7" s="3"/>
      <c r="Q7" s="3"/>
      <c r="R7" s="146">
        <v>1</v>
      </c>
      <c r="S7" s="147" t="s">
        <v>112</v>
      </c>
      <c r="T7" s="147">
        <v>15</v>
      </c>
      <c r="U7" s="147" t="s">
        <v>23</v>
      </c>
      <c r="V7" s="148">
        <v>110</v>
      </c>
      <c r="W7" s="10"/>
      <c r="X7" s="10"/>
      <c r="Y7" s="13"/>
      <c r="Z7" s="12"/>
      <c r="AA7" s="12"/>
      <c r="AB7" s="12"/>
      <c r="AC7" s="12"/>
      <c r="AD7" s="89"/>
      <c r="AE7" s="10"/>
      <c r="AF7" s="10"/>
      <c r="AG7" s="10"/>
      <c r="AH7" s="10"/>
      <c r="AI7" s="13"/>
      <c r="AJ7" s="13"/>
      <c r="AK7" s="13"/>
      <c r="AL7" s="13"/>
      <c r="AM7" s="10"/>
      <c r="AN7" s="18"/>
      <c r="AO7" s="18"/>
      <c r="AP7" s="19"/>
      <c r="AQ7" s="19"/>
      <c r="AR7" s="19"/>
      <c r="AS7" s="19"/>
      <c r="AT7" s="19"/>
      <c r="AU7" s="19"/>
      <c r="AV7" s="19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s="16" customFormat="1" ht="18.75" thickBot="1">
      <c r="A8" s="10"/>
      <c r="B8" s="84" t="s">
        <v>5</v>
      </c>
      <c r="C8" s="85"/>
      <c r="D8" s="391"/>
      <c r="E8" s="964"/>
      <c r="F8" s="965"/>
      <c r="G8" s="966"/>
      <c r="H8" s="85"/>
      <c r="I8" s="960" t="s">
        <v>6</v>
      </c>
      <c r="J8" s="961"/>
      <c r="K8" s="961"/>
      <c r="L8" s="388"/>
      <c r="M8" s="962">
        <f>E41+I41+M41</f>
        <v>0</v>
      </c>
      <c r="N8" s="962"/>
      <c r="O8" s="963"/>
      <c r="P8" s="3"/>
      <c r="Q8" s="3"/>
      <c r="R8" s="146">
        <v>16</v>
      </c>
      <c r="S8" s="147" t="s">
        <v>112</v>
      </c>
      <c r="T8" s="147">
        <v>24</v>
      </c>
      <c r="U8" s="147" t="s">
        <v>23</v>
      </c>
      <c r="V8" s="148">
        <v>105</v>
      </c>
      <c r="W8" s="10"/>
      <c r="X8" s="10"/>
      <c r="Y8" s="13"/>
      <c r="Z8" s="12"/>
      <c r="AA8" s="12"/>
      <c r="AB8" s="90"/>
      <c r="AC8" s="12"/>
      <c r="AD8" s="89"/>
      <c r="AE8" s="10"/>
      <c r="AF8" s="10"/>
      <c r="AG8" s="10"/>
      <c r="AH8" s="10"/>
      <c r="AI8" s="13"/>
      <c r="AJ8" s="13"/>
      <c r="AK8" s="13"/>
      <c r="AL8" s="13"/>
      <c r="AM8" s="10"/>
      <c r="AN8" s="18"/>
      <c r="AO8" s="18"/>
      <c r="AP8" s="19"/>
      <c r="AQ8" s="19"/>
      <c r="AR8" s="19"/>
      <c r="AS8" s="19"/>
      <c r="AT8" s="19"/>
      <c r="AU8" s="19"/>
      <c r="AV8" s="19"/>
      <c r="AW8" s="10"/>
      <c r="AX8" s="20"/>
      <c r="AY8" s="10"/>
      <c r="AZ8" s="10"/>
      <c r="BA8" s="10"/>
      <c r="BB8" s="10"/>
      <c r="BC8" s="10"/>
      <c r="BD8" s="10"/>
      <c r="BE8" s="10"/>
      <c r="BF8" s="17"/>
      <c r="BG8" s="10"/>
      <c r="BH8" s="10"/>
    </row>
    <row r="9" spans="1:60" s="16" customFormat="1" ht="18.75" thickBot="1">
      <c r="A9" s="10"/>
      <c r="B9" s="3" t="s">
        <v>7</v>
      </c>
      <c r="C9" s="85"/>
      <c r="D9" s="85"/>
      <c r="E9" s="85"/>
      <c r="F9" s="85"/>
      <c r="G9" s="389">
        <v>30</v>
      </c>
      <c r="H9" s="85"/>
      <c r="I9" s="967" t="s">
        <v>46</v>
      </c>
      <c r="J9" s="968"/>
      <c r="K9" s="968"/>
      <c r="L9" s="390">
        <v>0</v>
      </c>
      <c r="M9" s="971">
        <f>M8*L9</f>
        <v>0</v>
      </c>
      <c r="N9" s="971"/>
      <c r="O9" s="972"/>
      <c r="P9" s="3"/>
      <c r="Q9" s="3"/>
      <c r="R9" s="146">
        <v>25</v>
      </c>
      <c r="S9" s="147" t="s">
        <v>112</v>
      </c>
      <c r="T9" s="147">
        <v>34</v>
      </c>
      <c r="U9" s="147" t="s">
        <v>23</v>
      </c>
      <c r="V9" s="148">
        <v>100</v>
      </c>
      <c r="W9" s="10"/>
      <c r="X9" s="10"/>
      <c r="Y9" s="13"/>
      <c r="Z9" s="90"/>
      <c r="AA9" s="12"/>
      <c r="AB9" s="12"/>
      <c r="AC9" s="12"/>
      <c r="AD9" s="12"/>
      <c r="AE9" s="10"/>
      <c r="AF9" s="10"/>
      <c r="AG9" s="10"/>
      <c r="AH9" s="10"/>
      <c r="AI9" s="10"/>
      <c r="AJ9" s="10"/>
      <c r="AK9" s="10"/>
      <c r="AL9" s="10"/>
      <c r="AM9" s="10"/>
      <c r="AN9" s="18"/>
      <c r="AO9" s="18"/>
      <c r="AP9" s="18"/>
      <c r="AQ9" s="18"/>
      <c r="AR9" s="18"/>
      <c r="AS9" s="18"/>
      <c r="AT9" s="18"/>
      <c r="AU9" s="18"/>
      <c r="AV9" s="18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60" s="16" customFormat="1" ht="18.75" thickBot="1">
      <c r="A10" s="10"/>
      <c r="B10" s="3" t="s">
        <v>98</v>
      </c>
      <c r="C10" s="85"/>
      <c r="D10" s="85"/>
      <c r="E10" s="85"/>
      <c r="F10" s="85"/>
      <c r="G10" s="389">
        <v>0</v>
      </c>
      <c r="H10" s="85"/>
      <c r="I10" s="960" t="s">
        <v>47</v>
      </c>
      <c r="J10" s="961"/>
      <c r="K10" s="961"/>
      <c r="L10" s="388"/>
      <c r="M10" s="962">
        <f>M8-M9</f>
        <v>0</v>
      </c>
      <c r="N10" s="962"/>
      <c r="O10" s="963"/>
      <c r="P10" s="3"/>
      <c r="Q10" s="3"/>
      <c r="R10" s="149">
        <v>35</v>
      </c>
      <c r="S10" s="150" t="s">
        <v>112</v>
      </c>
      <c r="T10" s="150">
        <v>99</v>
      </c>
      <c r="U10" s="150" t="s">
        <v>23</v>
      </c>
      <c r="V10" s="151">
        <v>95</v>
      </c>
      <c r="W10" s="10"/>
      <c r="X10" s="10"/>
      <c r="Y10" s="10"/>
      <c r="Z10" s="12"/>
      <c r="AA10" s="12"/>
      <c r="AB10" s="12"/>
      <c r="AC10" s="12"/>
      <c r="AD10" s="12"/>
      <c r="AE10" s="10"/>
      <c r="AF10" s="10"/>
      <c r="AG10" s="10"/>
      <c r="AH10" s="10"/>
      <c r="AI10" s="10"/>
      <c r="AJ10" s="10"/>
      <c r="AK10" s="10"/>
      <c r="AL10" s="10"/>
      <c r="AM10" s="10"/>
      <c r="AN10" s="18"/>
      <c r="AO10" s="18"/>
      <c r="AP10" s="18"/>
      <c r="AQ10" s="18"/>
      <c r="AR10" s="18"/>
      <c r="AS10" s="18"/>
      <c r="AT10" s="18"/>
      <c r="AU10" s="18"/>
      <c r="AV10" s="18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1:60" s="16" customFormat="1" ht="18.75" thickBot="1">
      <c r="A11" s="10"/>
      <c r="B11" s="3"/>
      <c r="C11" s="85"/>
      <c r="D11" s="85"/>
      <c r="E11" s="85"/>
      <c r="F11" s="85"/>
      <c r="G11" s="85"/>
      <c r="H11" s="85"/>
      <c r="I11" s="973" t="s">
        <v>48</v>
      </c>
      <c r="J11" s="974"/>
      <c r="K11" s="974"/>
      <c r="L11" s="387">
        <v>0</v>
      </c>
      <c r="M11" s="975">
        <f>M10*L11</f>
        <v>0</v>
      </c>
      <c r="N11" s="975"/>
      <c r="O11" s="976"/>
      <c r="P11" s="3"/>
      <c r="Q11" s="3"/>
      <c r="R11" s="7"/>
      <c r="S11" s="7"/>
      <c r="T11" s="7"/>
      <c r="U11" s="7"/>
      <c r="V11" s="7"/>
      <c r="W11" s="7"/>
      <c r="X11" s="7"/>
      <c r="Y11" s="7"/>
      <c r="Z11" s="7"/>
      <c r="AA11" s="12"/>
      <c r="AB11" s="12"/>
      <c r="AC11" s="12"/>
      <c r="AD11" s="12"/>
      <c r="AE11" s="10"/>
      <c r="AF11" s="10"/>
      <c r="AG11" s="10"/>
      <c r="AH11" s="10"/>
      <c r="AI11" s="10"/>
      <c r="AJ11" s="10"/>
      <c r="AK11" s="10"/>
      <c r="AL11" s="10"/>
      <c r="AM11" s="10"/>
      <c r="AN11" s="18"/>
      <c r="AO11" s="18"/>
      <c r="AP11" s="18"/>
      <c r="AQ11" s="18"/>
      <c r="AR11" s="18"/>
      <c r="AS11" s="18"/>
      <c r="AT11" s="18"/>
      <c r="AU11" s="18"/>
      <c r="AV11" s="18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16" customFormat="1" ht="20.25" thickBot="1">
      <c r="A12" s="10"/>
      <c r="B12" s="21"/>
      <c r="C12" s="11"/>
      <c r="D12" s="11"/>
      <c r="E12" s="11"/>
      <c r="F12" s="11"/>
      <c r="G12" s="11"/>
      <c r="H12" s="11"/>
      <c r="I12" s="960" t="s">
        <v>49</v>
      </c>
      <c r="J12" s="961"/>
      <c r="K12" s="961"/>
      <c r="L12" s="386"/>
      <c r="M12" s="977">
        <f>M10-M11</f>
        <v>0</v>
      </c>
      <c r="N12" s="977"/>
      <c r="O12" s="978"/>
      <c r="P12" s="10"/>
      <c r="Q12" s="385"/>
      <c r="R12" s="12"/>
      <c r="S12" s="12"/>
      <c r="T12" s="12"/>
      <c r="U12" s="10"/>
      <c r="V12" s="10"/>
      <c r="W12" s="10"/>
      <c r="X12" s="10"/>
      <c r="Y12" s="13"/>
      <c r="Z12" s="12"/>
      <c r="AA12" s="12"/>
      <c r="AB12" s="12"/>
      <c r="AC12" s="12"/>
      <c r="AD12" s="12"/>
      <c r="AE12" s="10"/>
      <c r="AF12" s="10"/>
      <c r="AG12" s="10"/>
      <c r="AH12" s="10"/>
      <c r="AI12" s="10"/>
      <c r="AJ12" s="10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spans="1:60" s="1" customFormat="1" ht="15.75" thickBot="1">
      <c r="A13" s="2"/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"/>
      <c r="BE13" s="2"/>
      <c r="BF13" s="2"/>
      <c r="BG13" s="2"/>
      <c r="BH13" s="2"/>
    </row>
    <row r="14" spans="1:60" s="382" customFormat="1" ht="15.75">
      <c r="A14" s="384" t="s">
        <v>8</v>
      </c>
      <c r="B14" s="979" t="s">
        <v>9</v>
      </c>
      <c r="C14" s="980"/>
      <c r="D14" s="980"/>
      <c r="E14" s="981"/>
      <c r="F14" s="982" t="s">
        <v>10</v>
      </c>
      <c r="G14" s="980"/>
      <c r="H14" s="980"/>
      <c r="I14" s="981"/>
      <c r="J14" s="982" t="s">
        <v>11</v>
      </c>
      <c r="K14" s="980"/>
      <c r="L14" s="980"/>
      <c r="M14" s="981"/>
      <c r="N14" s="983" t="s">
        <v>50</v>
      </c>
      <c r="O14" s="984"/>
      <c r="P14" s="984"/>
      <c r="Q14" s="984"/>
      <c r="R14" s="984"/>
      <c r="S14" s="984"/>
      <c r="T14" s="985"/>
      <c r="U14" s="983" t="s">
        <v>51</v>
      </c>
      <c r="V14" s="984"/>
      <c r="W14" s="984"/>
      <c r="X14" s="984"/>
      <c r="Y14" s="984"/>
      <c r="Z14" s="984"/>
      <c r="AA14" s="985"/>
      <c r="AB14" s="983" t="s">
        <v>52</v>
      </c>
      <c r="AC14" s="984"/>
      <c r="AD14" s="984"/>
      <c r="AE14" s="984"/>
      <c r="AF14" s="984"/>
      <c r="AG14" s="984"/>
      <c r="AH14" s="985"/>
      <c r="AI14" s="983" t="s">
        <v>12</v>
      </c>
      <c r="AJ14" s="984"/>
      <c r="AK14" s="984"/>
      <c r="AL14" s="984"/>
      <c r="AM14" s="984"/>
      <c r="AN14" s="984"/>
      <c r="AO14" s="986"/>
      <c r="AP14" s="987" t="s">
        <v>13</v>
      </c>
      <c r="AQ14" s="988"/>
      <c r="AR14" s="988"/>
      <c r="AS14" s="988"/>
      <c r="AT14" s="988"/>
      <c r="AU14" s="988"/>
      <c r="AV14" s="989"/>
      <c r="AW14" s="990" t="s">
        <v>14</v>
      </c>
      <c r="AX14" s="991"/>
      <c r="AY14" s="991"/>
      <c r="AZ14" s="991"/>
      <c r="BA14" s="991"/>
      <c r="BB14" s="991"/>
      <c r="BC14" s="992"/>
      <c r="BD14" s="383"/>
      <c r="BE14" s="383"/>
      <c r="BF14" s="383"/>
      <c r="BG14" s="383"/>
      <c r="BH14" s="383"/>
    </row>
    <row r="15" spans="1:60" s="358" customFormat="1">
      <c r="A15" s="381"/>
      <c r="B15" s="380"/>
      <c r="C15" s="379" t="s">
        <v>15</v>
      </c>
      <c r="D15" s="379" t="s">
        <v>15</v>
      </c>
      <c r="E15" s="378" t="s">
        <v>15</v>
      </c>
      <c r="F15" s="380"/>
      <c r="G15" s="379" t="s">
        <v>15</v>
      </c>
      <c r="H15" s="379" t="s">
        <v>15</v>
      </c>
      <c r="I15" s="378" t="s">
        <v>15</v>
      </c>
      <c r="J15" s="380"/>
      <c r="K15" s="379" t="s">
        <v>15</v>
      </c>
      <c r="L15" s="379" t="s">
        <v>15</v>
      </c>
      <c r="M15" s="378" t="s">
        <v>15</v>
      </c>
      <c r="N15" s="377" t="s">
        <v>16</v>
      </c>
      <c r="O15" s="376" t="s">
        <v>17</v>
      </c>
      <c r="P15" s="376" t="s">
        <v>18</v>
      </c>
      <c r="Q15" s="376" t="s">
        <v>19</v>
      </c>
      <c r="R15" s="376" t="s">
        <v>20</v>
      </c>
      <c r="S15" s="376" t="s">
        <v>0</v>
      </c>
      <c r="T15" s="375" t="s">
        <v>21</v>
      </c>
      <c r="U15" s="377" t="s">
        <v>16</v>
      </c>
      <c r="V15" s="376" t="s">
        <v>17</v>
      </c>
      <c r="W15" s="376" t="s">
        <v>18</v>
      </c>
      <c r="X15" s="376" t="s">
        <v>19</v>
      </c>
      <c r="Y15" s="376" t="s">
        <v>20</v>
      </c>
      <c r="Z15" s="376" t="s">
        <v>0</v>
      </c>
      <c r="AA15" s="375" t="s">
        <v>21</v>
      </c>
      <c r="AB15" s="377" t="s">
        <v>16</v>
      </c>
      <c r="AC15" s="376" t="s">
        <v>17</v>
      </c>
      <c r="AD15" s="376" t="s">
        <v>18</v>
      </c>
      <c r="AE15" s="376" t="s">
        <v>19</v>
      </c>
      <c r="AF15" s="376" t="s">
        <v>20</v>
      </c>
      <c r="AG15" s="376" t="s">
        <v>0</v>
      </c>
      <c r="AH15" s="375" t="s">
        <v>21</v>
      </c>
      <c r="AI15" s="377" t="s">
        <v>16</v>
      </c>
      <c r="AJ15" s="376" t="s">
        <v>17</v>
      </c>
      <c r="AK15" s="376" t="s">
        <v>18</v>
      </c>
      <c r="AL15" s="376" t="s">
        <v>19</v>
      </c>
      <c r="AM15" s="376" t="s">
        <v>20</v>
      </c>
      <c r="AN15" s="376" t="s">
        <v>0</v>
      </c>
      <c r="AO15" s="714" t="s">
        <v>21</v>
      </c>
      <c r="AP15" s="720" t="s">
        <v>16</v>
      </c>
      <c r="AQ15" s="376" t="s">
        <v>17</v>
      </c>
      <c r="AR15" s="376" t="s">
        <v>18</v>
      </c>
      <c r="AS15" s="376" t="s">
        <v>19</v>
      </c>
      <c r="AT15" s="376" t="s">
        <v>20</v>
      </c>
      <c r="AU15" s="376" t="s">
        <v>0</v>
      </c>
      <c r="AV15" s="721" t="s">
        <v>21</v>
      </c>
      <c r="AW15" s="374" t="s">
        <v>16</v>
      </c>
      <c r="AX15" s="373" t="s">
        <v>17</v>
      </c>
      <c r="AY15" s="373" t="s">
        <v>18</v>
      </c>
      <c r="AZ15" s="373" t="s">
        <v>19</v>
      </c>
      <c r="BA15" s="373" t="s">
        <v>20</v>
      </c>
      <c r="BB15" s="373" t="s">
        <v>0</v>
      </c>
      <c r="BC15" s="372" t="s">
        <v>21</v>
      </c>
      <c r="BD15" s="359"/>
      <c r="BE15" s="359"/>
      <c r="BF15" s="359"/>
      <c r="BG15" s="359"/>
      <c r="BH15" s="359"/>
    </row>
    <row r="16" spans="1:60" s="358" customFormat="1" ht="15.75" thickBot="1">
      <c r="A16" s="371"/>
      <c r="B16" s="369" t="s">
        <v>22</v>
      </c>
      <c r="C16" s="365" t="s">
        <v>23</v>
      </c>
      <c r="D16" s="365" t="s">
        <v>24</v>
      </c>
      <c r="E16" s="370" t="s">
        <v>25</v>
      </c>
      <c r="F16" s="369" t="s">
        <v>22</v>
      </c>
      <c r="G16" s="365" t="s">
        <v>23</v>
      </c>
      <c r="H16" s="365" t="s">
        <v>24</v>
      </c>
      <c r="I16" s="368" t="s">
        <v>25</v>
      </c>
      <c r="J16" s="369" t="s">
        <v>22</v>
      </c>
      <c r="K16" s="365" t="s">
        <v>23</v>
      </c>
      <c r="L16" s="365" t="s">
        <v>24</v>
      </c>
      <c r="M16" s="368" t="s">
        <v>25</v>
      </c>
      <c r="N16" s="367" t="str">
        <f>IF(BE6=1,1,"")</f>
        <v/>
      </c>
      <c r="O16" s="365" t="str">
        <f>IF($BE6=2,1,IF($BE6=1,2,""))</f>
        <v/>
      </c>
      <c r="P16" s="366" t="str">
        <f>IF($BE6=3,1,IF($BE6=2,2,IF(BE6=1,3,"")))</f>
        <v/>
      </c>
      <c r="Q16" s="365" t="str">
        <f>IF($BE6=4,1,IF($BE6=3,2,IF(BE6=2,3,IF(BE6=1,4,""))))</f>
        <v/>
      </c>
      <c r="R16" s="366" t="str">
        <f>IF($BE6=5,1,IF($BE6=4,2,IF(BE6=3,3,IF(BE6=2,4,IF(BE6=1,5,"")))))</f>
        <v/>
      </c>
      <c r="S16" s="365"/>
      <c r="T16" s="364"/>
      <c r="U16" s="367"/>
      <c r="V16" s="365"/>
      <c r="W16" s="366"/>
      <c r="X16" s="365"/>
      <c r="Y16" s="366"/>
      <c r="Z16" s="365"/>
      <c r="AA16" s="364"/>
      <c r="AB16" s="367"/>
      <c r="AC16" s="365"/>
      <c r="AD16" s="366"/>
      <c r="AE16" s="365"/>
      <c r="AF16" s="366"/>
      <c r="AG16" s="365"/>
      <c r="AH16" s="364"/>
      <c r="AI16" s="367"/>
      <c r="AJ16" s="365"/>
      <c r="AK16" s="366"/>
      <c r="AL16" s="365"/>
      <c r="AM16" s="366"/>
      <c r="AN16" s="365"/>
      <c r="AO16" s="715"/>
      <c r="AP16" s="722"/>
      <c r="AQ16" s="365"/>
      <c r="AR16" s="366"/>
      <c r="AS16" s="365"/>
      <c r="AT16" s="366"/>
      <c r="AU16" s="365"/>
      <c r="AV16" s="723"/>
      <c r="AW16" s="363"/>
      <c r="AX16" s="361"/>
      <c r="AY16" s="362"/>
      <c r="AZ16" s="361"/>
      <c r="BA16" s="362"/>
      <c r="BB16" s="361"/>
      <c r="BC16" s="360"/>
      <c r="BD16" s="359"/>
      <c r="BE16" s="359"/>
      <c r="BF16" s="359"/>
      <c r="BG16" s="359"/>
      <c r="BH16" s="359"/>
    </row>
    <row r="17" spans="1:60" s="1" customFormat="1" ht="15.75">
      <c r="A17" s="348" t="s">
        <v>120</v>
      </c>
      <c r="B17" s="345">
        <f t="shared" ref="B17:B30" si="0">SUM(N17:R17,U17:Y17,AB17:AF17,AI17:AM17,AP17:AT17,AW17:BA17)</f>
        <v>0</v>
      </c>
      <c r="C17" s="344">
        <f>'Preise MOREHHKombi'!B13</f>
        <v>2</v>
      </c>
      <c r="D17" s="355">
        <f>IF(AND($G$9&gt;=$R$9,$G$9&lt;=$T$9),C17*$G$9*$V$9/100,IF(AND($G$9&gt;=$R$8,$G$9&lt;=$T$8),C17*$G$9*$V$8/100,IF(AND($G$9&gt;=$R$7,$G$9&lt;=$T$7),C17*$G$9*$V$7/100,IF($G$9&gt;=$R$10,C17*$G$9*$V$10/100))))</f>
        <v>60</v>
      </c>
      <c r="E17" s="347">
        <f t="shared" ref="E17:E39" si="1">B17*D17*(100+$G$10)/100</f>
        <v>0</v>
      </c>
      <c r="F17" s="357">
        <f t="shared" ref="F17:F40" si="2">SUM(S17,Z17,AG17,AN17,AU17,BB17)</f>
        <v>0</v>
      </c>
      <c r="G17" s="344">
        <f>'Preise MOREHHKombi'!D13</f>
        <v>2</v>
      </c>
      <c r="H17" s="355">
        <f>IF(AND($G$9&gt;=$R$9,$G$9&lt;=$T$9),G17*$G$9*$V$9/100,IF(AND($G$9&gt;=$R$8,$G$9&lt;=$T$8),G17*$G$9*$V$8/100,IF(AND($G$9&gt;=$R$7,$G$9&lt;=$T$7),G17*$G$9*$V$7/100,IF($G$9&gt;=$R$10,G17*$G$9*$V$10/100))))</f>
        <v>60</v>
      </c>
      <c r="I17" s="342">
        <f t="shared" ref="I17:I21" si="3">F17*H17*(100+$G$10)/100</f>
        <v>0</v>
      </c>
      <c r="J17" s="356">
        <f t="shared" ref="J17:J40" si="4">SUM(T17,AA17,AH17,AO17,AV17,BC17)</f>
        <v>0</v>
      </c>
      <c r="K17" s="344">
        <f>'Preise MOREHHKombi'!F13</f>
        <v>2</v>
      </c>
      <c r="L17" s="343">
        <f>IF(AND($G$9&gt;=$R$9,$G$9&lt;=$T$9),K17*$G$9*$V$9/100,IF(AND($G$9&gt;=$R$8,$G$9&lt;=$T$8),K17*$G$9*$V$8/100,IF(AND($G$9&gt;=$R$7,$G$9&lt;=$T$7),K17*$G$9*$V$7/100,IF($G$9&gt;=$R$10,K17*$G$9*$V$10/100))))</f>
        <v>60</v>
      </c>
      <c r="M17" s="342">
        <f t="shared" ref="M17:M21" si="5">J17*L17*(100+$G$10)/100</f>
        <v>0</v>
      </c>
      <c r="N17" s="354"/>
      <c r="O17" s="353"/>
      <c r="P17" s="353"/>
      <c r="Q17" s="353"/>
      <c r="R17" s="353"/>
      <c r="S17" s="729"/>
      <c r="T17" s="729"/>
      <c r="U17" s="354"/>
      <c r="V17" s="353"/>
      <c r="W17" s="353"/>
      <c r="X17" s="353"/>
      <c r="Y17" s="353"/>
      <c r="Z17" s="729"/>
      <c r="AA17" s="729"/>
      <c r="AB17" s="354"/>
      <c r="AC17" s="353"/>
      <c r="AD17" s="353"/>
      <c r="AE17" s="353"/>
      <c r="AF17" s="353"/>
      <c r="AG17" s="729"/>
      <c r="AH17" s="729"/>
      <c r="AI17" s="354"/>
      <c r="AJ17" s="353"/>
      <c r="AK17" s="353"/>
      <c r="AL17" s="353"/>
      <c r="AM17" s="353"/>
      <c r="AN17" s="729"/>
      <c r="AO17" s="729"/>
      <c r="AP17" s="724"/>
      <c r="AQ17" s="353"/>
      <c r="AR17" s="353"/>
      <c r="AS17" s="353"/>
      <c r="AT17" s="353"/>
      <c r="AU17" s="729"/>
      <c r="AV17" s="729"/>
      <c r="AW17" s="716"/>
      <c r="AX17" s="351"/>
      <c r="AY17" s="351"/>
      <c r="AZ17" s="351"/>
      <c r="BA17" s="351"/>
      <c r="BB17" s="350"/>
      <c r="BC17" s="349"/>
      <c r="BD17" s="2"/>
      <c r="BE17" s="2"/>
      <c r="BF17" s="4">
        <f>IF($AJ7&lt;6000,0,0.025)</f>
        <v>0</v>
      </c>
      <c r="BG17" s="2"/>
      <c r="BH17" s="2"/>
    </row>
    <row r="18" spans="1:60" s="1" customFormat="1" ht="15.75">
      <c r="A18" s="348" t="s">
        <v>119</v>
      </c>
      <c r="B18" s="345">
        <f t="shared" si="0"/>
        <v>0</v>
      </c>
      <c r="C18" s="344">
        <f>'Preise MOREHHKombi'!B14</f>
        <v>2</v>
      </c>
      <c r="D18" s="395">
        <f t="shared" ref="D18:D40" si="6">IF(AND($G$9&gt;=$R$9,$G$9&lt;=$T$9),C18*$G$9*$V$9/100,IF(AND($G$9&gt;=$R$8,$G$9&lt;=$T$8),C18*$G$9*$V$8/100,IF(AND($G$9&gt;=$R$7,$G$9&lt;=$T$7),C18*$G$9*$V$7/100,IF($G$9&gt;=$R$10,C18*$G$9*$V$10/100))))</f>
        <v>60</v>
      </c>
      <c r="E18" s="347">
        <f t="shared" si="1"/>
        <v>0</v>
      </c>
      <c r="F18" s="396">
        <f t="shared" si="2"/>
        <v>0</v>
      </c>
      <c r="G18" s="344">
        <f>'Preise MOREHHKombi'!D14</f>
        <v>2</v>
      </c>
      <c r="H18" s="395">
        <f t="shared" ref="H18:H40" si="7">IF(AND($G$9&gt;=$R$9,$G$9&lt;=$T$9),G18*$G$9*$V$9/100,IF(AND($G$9&gt;=$R$8,$G$9&lt;=$T$8),G18*$G$9*$V$8/100,IF(AND($G$9&gt;=$R$7,$G$9&lt;=$T$7),G18*$G$9*$V$7/100,IF($G$9&gt;=$R$10,G18*$G$9*$V$10/100))))</f>
        <v>60</v>
      </c>
      <c r="I18" s="342">
        <f t="shared" si="3"/>
        <v>0</v>
      </c>
      <c r="J18" s="394">
        <f t="shared" si="4"/>
        <v>0</v>
      </c>
      <c r="K18" s="344">
        <f>'Preise MOREHHKombi'!F14</f>
        <v>2</v>
      </c>
      <c r="L18" s="343">
        <f t="shared" ref="L18:L40" si="8">IF(AND($G$9&gt;=$R$9,$G$9&lt;=$T$9),K18*$G$9*$V$9/100,IF(AND($G$9&gt;=$R$8,$G$9&lt;=$T$8),K18*$G$9*$V$8/100,IF(AND($G$9&gt;=$R$7,$G$9&lt;=$T$7),K18*$G$9*$V$7/100,IF($G$9&gt;=$R$10,K18*$G$9*$V$10/100))))</f>
        <v>60</v>
      </c>
      <c r="M18" s="342">
        <f t="shared" si="5"/>
        <v>0</v>
      </c>
      <c r="N18" s="397"/>
      <c r="O18" s="398"/>
      <c r="P18" s="398"/>
      <c r="Q18" s="398"/>
      <c r="R18" s="398"/>
      <c r="S18" s="527"/>
      <c r="T18" s="527"/>
      <c r="U18" s="397"/>
      <c r="V18" s="398"/>
      <c r="W18" s="398"/>
      <c r="X18" s="398"/>
      <c r="Y18" s="398"/>
      <c r="Z18" s="527"/>
      <c r="AA18" s="527"/>
      <c r="AB18" s="397"/>
      <c r="AC18" s="398"/>
      <c r="AD18" s="398"/>
      <c r="AE18" s="398"/>
      <c r="AF18" s="398"/>
      <c r="AG18" s="527"/>
      <c r="AH18" s="527"/>
      <c r="AI18" s="397"/>
      <c r="AJ18" s="398"/>
      <c r="AK18" s="398"/>
      <c r="AL18" s="398"/>
      <c r="AM18" s="398"/>
      <c r="AN18" s="527"/>
      <c r="AO18" s="527"/>
      <c r="AP18" s="725"/>
      <c r="AQ18" s="398"/>
      <c r="AR18" s="398"/>
      <c r="AS18" s="398"/>
      <c r="AT18" s="398"/>
      <c r="AU18" s="527"/>
      <c r="AV18" s="527"/>
      <c r="AW18" s="526"/>
      <c r="AX18" s="400"/>
      <c r="AY18" s="400"/>
      <c r="AZ18" s="400"/>
      <c r="BA18" s="400"/>
      <c r="BB18" s="401"/>
      <c r="BC18" s="402"/>
      <c r="BD18" s="2"/>
      <c r="BE18" s="2"/>
      <c r="BF18" s="4"/>
      <c r="BG18" s="2"/>
      <c r="BH18" s="2"/>
    </row>
    <row r="19" spans="1:60" s="1" customFormat="1" ht="15.75">
      <c r="A19" s="348" t="s">
        <v>118</v>
      </c>
      <c r="B19" s="345">
        <f t="shared" si="0"/>
        <v>0</v>
      </c>
      <c r="C19" s="344">
        <f>'Preise MOREHHKombi'!B15</f>
        <v>2</v>
      </c>
      <c r="D19" s="395">
        <f t="shared" si="6"/>
        <v>60</v>
      </c>
      <c r="E19" s="347">
        <f t="shared" si="1"/>
        <v>0</v>
      </c>
      <c r="F19" s="396">
        <f t="shared" si="2"/>
        <v>0</v>
      </c>
      <c r="G19" s="344">
        <f>'Preise MOREHHKombi'!D15</f>
        <v>2</v>
      </c>
      <c r="H19" s="395">
        <f t="shared" si="7"/>
        <v>60</v>
      </c>
      <c r="I19" s="342">
        <f t="shared" si="3"/>
        <v>0</v>
      </c>
      <c r="J19" s="394">
        <f t="shared" si="4"/>
        <v>0</v>
      </c>
      <c r="K19" s="344">
        <f>'Preise MOREHHKombi'!F15</f>
        <v>2</v>
      </c>
      <c r="L19" s="343">
        <f t="shared" si="8"/>
        <v>60</v>
      </c>
      <c r="M19" s="342">
        <f t="shared" si="5"/>
        <v>0</v>
      </c>
      <c r="N19" s="397"/>
      <c r="O19" s="398"/>
      <c r="P19" s="398"/>
      <c r="Q19" s="398"/>
      <c r="R19" s="398"/>
      <c r="S19" s="527"/>
      <c r="T19" s="527"/>
      <c r="U19" s="397"/>
      <c r="V19" s="398"/>
      <c r="W19" s="398"/>
      <c r="X19" s="398"/>
      <c r="Y19" s="398"/>
      <c r="Z19" s="527"/>
      <c r="AA19" s="527"/>
      <c r="AB19" s="397"/>
      <c r="AC19" s="398"/>
      <c r="AD19" s="398"/>
      <c r="AE19" s="398"/>
      <c r="AF19" s="398"/>
      <c r="AG19" s="527"/>
      <c r="AH19" s="527"/>
      <c r="AI19" s="397"/>
      <c r="AJ19" s="398"/>
      <c r="AK19" s="398"/>
      <c r="AL19" s="398"/>
      <c r="AM19" s="398"/>
      <c r="AN19" s="527"/>
      <c r="AO19" s="527"/>
      <c r="AP19" s="725"/>
      <c r="AQ19" s="398"/>
      <c r="AR19" s="398"/>
      <c r="AS19" s="398"/>
      <c r="AT19" s="398"/>
      <c r="AU19" s="527"/>
      <c r="AV19" s="527"/>
      <c r="AW19" s="526"/>
      <c r="AX19" s="400"/>
      <c r="AY19" s="400"/>
      <c r="AZ19" s="400"/>
      <c r="BA19" s="400"/>
      <c r="BB19" s="401"/>
      <c r="BC19" s="402"/>
      <c r="BD19" s="2"/>
      <c r="BE19" s="2"/>
      <c r="BF19" s="4"/>
      <c r="BG19" s="2"/>
      <c r="BH19" s="2"/>
    </row>
    <row r="20" spans="1:60" s="1" customFormat="1" ht="15.75">
      <c r="A20" s="348" t="s">
        <v>117</v>
      </c>
      <c r="B20" s="345">
        <f t="shared" si="0"/>
        <v>0</v>
      </c>
      <c r="C20" s="344">
        <f>'Preise MOREHHKombi'!B16</f>
        <v>2</v>
      </c>
      <c r="D20" s="395">
        <f t="shared" si="6"/>
        <v>60</v>
      </c>
      <c r="E20" s="347">
        <f t="shared" si="1"/>
        <v>0</v>
      </c>
      <c r="F20" s="396">
        <f t="shared" si="2"/>
        <v>0</v>
      </c>
      <c r="G20" s="344">
        <f>'Preise MOREHHKombi'!D16</f>
        <v>2</v>
      </c>
      <c r="H20" s="395">
        <f t="shared" si="7"/>
        <v>60</v>
      </c>
      <c r="I20" s="342">
        <f t="shared" si="3"/>
        <v>0</v>
      </c>
      <c r="J20" s="394">
        <f t="shared" si="4"/>
        <v>0</v>
      </c>
      <c r="K20" s="344">
        <f>'Preise MOREHHKombi'!F16</f>
        <v>2</v>
      </c>
      <c r="L20" s="343">
        <f t="shared" si="8"/>
        <v>60</v>
      </c>
      <c r="M20" s="342">
        <f t="shared" si="5"/>
        <v>0</v>
      </c>
      <c r="N20" s="397"/>
      <c r="O20" s="398"/>
      <c r="P20" s="398"/>
      <c r="Q20" s="398"/>
      <c r="R20" s="398"/>
      <c r="S20" s="527"/>
      <c r="T20" s="527"/>
      <c r="U20" s="397"/>
      <c r="V20" s="398"/>
      <c r="W20" s="398"/>
      <c r="X20" s="398"/>
      <c r="Y20" s="398"/>
      <c r="Z20" s="527"/>
      <c r="AA20" s="527"/>
      <c r="AB20" s="397"/>
      <c r="AC20" s="398"/>
      <c r="AD20" s="398"/>
      <c r="AE20" s="398"/>
      <c r="AF20" s="398"/>
      <c r="AG20" s="527"/>
      <c r="AH20" s="527"/>
      <c r="AI20" s="397"/>
      <c r="AJ20" s="398"/>
      <c r="AK20" s="398"/>
      <c r="AL20" s="398"/>
      <c r="AM20" s="398"/>
      <c r="AN20" s="527"/>
      <c r="AO20" s="527"/>
      <c r="AP20" s="725"/>
      <c r="AQ20" s="398"/>
      <c r="AR20" s="398"/>
      <c r="AS20" s="398"/>
      <c r="AT20" s="398"/>
      <c r="AU20" s="527"/>
      <c r="AV20" s="527"/>
      <c r="AW20" s="526"/>
      <c r="AX20" s="400"/>
      <c r="AY20" s="400"/>
      <c r="AZ20" s="400"/>
      <c r="BA20" s="400"/>
      <c r="BB20" s="401"/>
      <c r="BC20" s="402"/>
      <c r="BD20" s="2"/>
      <c r="BE20" s="2"/>
      <c r="BF20" s="4"/>
      <c r="BG20" s="2"/>
      <c r="BH20" s="2"/>
    </row>
    <row r="21" spans="1:60" s="1" customFormat="1" ht="15.75">
      <c r="A21" s="712" t="s">
        <v>116</v>
      </c>
      <c r="B21" s="345">
        <f t="shared" si="0"/>
        <v>0</v>
      </c>
      <c r="C21" s="344">
        <f>'Preise MOREHHKombi'!B17</f>
        <v>2</v>
      </c>
      <c r="D21" s="395">
        <f t="shared" si="6"/>
        <v>60</v>
      </c>
      <c r="E21" s="347">
        <f t="shared" si="1"/>
        <v>0</v>
      </c>
      <c r="F21" s="396">
        <f t="shared" si="2"/>
        <v>0</v>
      </c>
      <c r="G21" s="344">
        <f>'Preise MOREHHKombi'!D17</f>
        <v>2</v>
      </c>
      <c r="H21" s="395">
        <f t="shared" si="7"/>
        <v>60</v>
      </c>
      <c r="I21" s="342">
        <f t="shared" si="3"/>
        <v>0</v>
      </c>
      <c r="J21" s="394">
        <f t="shared" si="4"/>
        <v>0</v>
      </c>
      <c r="K21" s="344">
        <f>'Preise MOREHHKombi'!F17</f>
        <v>2</v>
      </c>
      <c r="L21" s="343">
        <f t="shared" si="8"/>
        <v>60</v>
      </c>
      <c r="M21" s="342">
        <f t="shared" si="5"/>
        <v>0</v>
      </c>
      <c r="N21" s="397"/>
      <c r="O21" s="398"/>
      <c r="P21" s="398"/>
      <c r="Q21" s="398"/>
      <c r="R21" s="398"/>
      <c r="S21" s="527"/>
      <c r="T21" s="527"/>
      <c r="U21" s="397"/>
      <c r="V21" s="398"/>
      <c r="W21" s="398"/>
      <c r="X21" s="398"/>
      <c r="Y21" s="398"/>
      <c r="Z21" s="527"/>
      <c r="AA21" s="527"/>
      <c r="AB21" s="397"/>
      <c r="AC21" s="398"/>
      <c r="AD21" s="398"/>
      <c r="AE21" s="398"/>
      <c r="AF21" s="398"/>
      <c r="AG21" s="527"/>
      <c r="AH21" s="527"/>
      <c r="AI21" s="397"/>
      <c r="AJ21" s="398"/>
      <c r="AK21" s="398"/>
      <c r="AL21" s="398"/>
      <c r="AM21" s="398"/>
      <c r="AN21" s="527"/>
      <c r="AO21" s="527"/>
      <c r="AP21" s="725"/>
      <c r="AQ21" s="398"/>
      <c r="AR21" s="398"/>
      <c r="AS21" s="398"/>
      <c r="AT21" s="398"/>
      <c r="AU21" s="527"/>
      <c r="AV21" s="527"/>
      <c r="AW21" s="526"/>
      <c r="AX21" s="400"/>
      <c r="AY21" s="400"/>
      <c r="AZ21" s="400"/>
      <c r="BA21" s="400"/>
      <c r="BB21" s="401"/>
      <c r="BC21" s="402"/>
      <c r="BD21" s="2"/>
      <c r="BE21" s="2"/>
      <c r="BF21" s="4"/>
      <c r="BG21" s="2"/>
      <c r="BH21" s="2"/>
    </row>
    <row r="22" spans="1:60" s="1" customFormat="1" ht="15.75">
      <c r="A22" s="712" t="s">
        <v>26</v>
      </c>
      <c r="B22" s="345">
        <f t="shared" si="0"/>
        <v>0</v>
      </c>
      <c r="C22" s="344">
        <f>'Preise MOREHHKombi'!B18</f>
        <v>18</v>
      </c>
      <c r="D22" s="343">
        <f t="shared" si="6"/>
        <v>540</v>
      </c>
      <c r="E22" s="347">
        <f t="shared" si="1"/>
        <v>0</v>
      </c>
      <c r="F22" s="346">
        <f t="shared" si="2"/>
        <v>0</v>
      </c>
      <c r="G22" s="344">
        <f>'Preise MOREHHKombi'!D18</f>
        <v>4</v>
      </c>
      <c r="H22" s="343">
        <f t="shared" si="7"/>
        <v>120</v>
      </c>
      <c r="I22" s="342">
        <f t="shared" ref="I22" si="9">F22*H22*(100+$G$10)/100</f>
        <v>0</v>
      </c>
      <c r="J22" s="345">
        <f t="shared" ref="J22" si="10">SUM(T22,AA22,AH22,AO22,AV22,BC22)</f>
        <v>0</v>
      </c>
      <c r="K22" s="344">
        <f>'Preise MOREHHKombi'!F18</f>
        <v>5</v>
      </c>
      <c r="L22" s="343">
        <f t="shared" si="8"/>
        <v>150</v>
      </c>
      <c r="M22" s="342">
        <f t="shared" ref="M22" si="11">J22*L22*(100+$G$10)/100</f>
        <v>0</v>
      </c>
      <c r="N22" s="341"/>
      <c r="O22" s="340"/>
      <c r="P22" s="340"/>
      <c r="Q22" s="340"/>
      <c r="R22" s="340"/>
      <c r="S22" s="492"/>
      <c r="T22" s="492"/>
      <c r="U22" s="341"/>
      <c r="V22" s="340"/>
      <c r="W22" s="340"/>
      <c r="X22" s="340"/>
      <c r="Y22" s="340"/>
      <c r="Z22" s="492"/>
      <c r="AA22" s="492"/>
      <c r="AB22" s="341"/>
      <c r="AC22" s="340"/>
      <c r="AD22" s="340"/>
      <c r="AE22" s="340"/>
      <c r="AF22" s="340"/>
      <c r="AG22" s="492"/>
      <c r="AH22" s="492"/>
      <c r="AI22" s="341"/>
      <c r="AJ22" s="340"/>
      <c r="AK22" s="340"/>
      <c r="AL22" s="340"/>
      <c r="AM22" s="340"/>
      <c r="AN22" s="492"/>
      <c r="AO22" s="492"/>
      <c r="AP22" s="726"/>
      <c r="AQ22" s="340"/>
      <c r="AR22" s="340"/>
      <c r="AS22" s="340"/>
      <c r="AT22" s="340"/>
      <c r="AU22" s="492"/>
      <c r="AV22" s="492"/>
      <c r="AW22" s="493"/>
      <c r="AX22" s="51"/>
      <c r="AY22" s="51"/>
      <c r="AZ22" s="51"/>
      <c r="BA22" s="51"/>
      <c r="BB22" s="52"/>
      <c r="BC22" s="338"/>
      <c r="BD22" s="2"/>
      <c r="BE22" s="2"/>
      <c r="BF22" s="4">
        <f>IF($AJ6&lt;9000,0,0.025)</f>
        <v>0</v>
      </c>
      <c r="BG22" s="2"/>
      <c r="BH22" s="2"/>
    </row>
    <row r="23" spans="1:60" s="1" customFormat="1" ht="15.75">
      <c r="A23" s="713" t="s">
        <v>27</v>
      </c>
      <c r="B23" s="345">
        <f t="shared" si="0"/>
        <v>0</v>
      </c>
      <c r="C23" s="344">
        <f>'Preise MOREHHKombi'!B19</f>
        <v>60</v>
      </c>
      <c r="D23" s="343">
        <f t="shared" si="6"/>
        <v>1800</v>
      </c>
      <c r="E23" s="347">
        <f t="shared" si="1"/>
        <v>0</v>
      </c>
      <c r="F23" s="346">
        <f t="shared" si="2"/>
        <v>0</v>
      </c>
      <c r="G23" s="344">
        <f>'Preise MOREHHKombi'!D19</f>
        <v>15</v>
      </c>
      <c r="H23" s="343">
        <f t="shared" si="7"/>
        <v>450</v>
      </c>
      <c r="I23" s="342">
        <f t="shared" ref="I23:I40" si="12">F23*H23*(100+$G$10)/100</f>
        <v>0</v>
      </c>
      <c r="J23" s="345">
        <f t="shared" si="4"/>
        <v>0</v>
      </c>
      <c r="K23" s="344">
        <f>'Preise MOREHHKombi'!F19</f>
        <v>7</v>
      </c>
      <c r="L23" s="343">
        <f t="shared" si="8"/>
        <v>210</v>
      </c>
      <c r="M23" s="342">
        <f t="shared" ref="M23:M40" si="13">J23*L23*(100+$G$10)/100</f>
        <v>0</v>
      </c>
      <c r="N23" s="341"/>
      <c r="O23" s="340"/>
      <c r="P23" s="340"/>
      <c r="Q23" s="340"/>
      <c r="R23" s="340"/>
      <c r="S23" s="492"/>
      <c r="T23" s="492"/>
      <c r="U23" s="341"/>
      <c r="V23" s="340"/>
      <c r="W23" s="340"/>
      <c r="X23" s="340"/>
      <c r="Y23" s="340"/>
      <c r="Z23" s="492"/>
      <c r="AA23" s="492"/>
      <c r="AB23" s="341"/>
      <c r="AC23" s="340"/>
      <c r="AD23" s="340"/>
      <c r="AE23" s="340"/>
      <c r="AF23" s="340"/>
      <c r="AG23" s="492"/>
      <c r="AH23" s="492"/>
      <c r="AI23" s="341"/>
      <c r="AJ23" s="340"/>
      <c r="AK23" s="340"/>
      <c r="AL23" s="340"/>
      <c r="AM23" s="340"/>
      <c r="AN23" s="492"/>
      <c r="AO23" s="492"/>
      <c r="AP23" s="726"/>
      <c r="AQ23" s="340"/>
      <c r="AR23" s="340"/>
      <c r="AS23" s="340"/>
      <c r="AT23" s="340"/>
      <c r="AU23" s="492"/>
      <c r="AV23" s="492"/>
      <c r="AW23" s="493"/>
      <c r="AX23" s="51"/>
      <c r="AY23" s="51"/>
      <c r="AZ23" s="51"/>
      <c r="BA23" s="51"/>
      <c r="BB23" s="52"/>
      <c r="BC23" s="338"/>
      <c r="BD23" s="2"/>
      <c r="BE23" s="2"/>
      <c r="BF23" s="4">
        <f>IF($AJ7&lt;9000,0,0.025)</f>
        <v>0</v>
      </c>
      <c r="BG23" s="2"/>
      <c r="BH23" s="2"/>
    </row>
    <row r="24" spans="1:60" s="1" customFormat="1" ht="15.75">
      <c r="A24" s="713" t="s">
        <v>28</v>
      </c>
      <c r="B24" s="345">
        <f t="shared" si="0"/>
        <v>0</v>
      </c>
      <c r="C24" s="344">
        <f>'Preise MOREHHKombi'!B20</f>
        <v>85</v>
      </c>
      <c r="D24" s="343">
        <f t="shared" si="6"/>
        <v>2550</v>
      </c>
      <c r="E24" s="347">
        <f t="shared" si="1"/>
        <v>0</v>
      </c>
      <c r="F24" s="346">
        <f t="shared" si="2"/>
        <v>0</v>
      </c>
      <c r="G24" s="344">
        <f>'Preise MOREHHKombi'!D20</f>
        <v>46</v>
      </c>
      <c r="H24" s="343">
        <f t="shared" si="7"/>
        <v>1380</v>
      </c>
      <c r="I24" s="342">
        <f t="shared" si="12"/>
        <v>0</v>
      </c>
      <c r="J24" s="345">
        <f t="shared" si="4"/>
        <v>0</v>
      </c>
      <c r="K24" s="344">
        <f>'Preise MOREHHKombi'!F20</f>
        <v>14</v>
      </c>
      <c r="L24" s="343">
        <f t="shared" si="8"/>
        <v>420</v>
      </c>
      <c r="M24" s="342">
        <f t="shared" si="13"/>
        <v>0</v>
      </c>
      <c r="N24" s="341"/>
      <c r="O24" s="340"/>
      <c r="P24" s="340"/>
      <c r="Q24" s="340"/>
      <c r="R24" s="340"/>
      <c r="S24" s="492"/>
      <c r="T24" s="492"/>
      <c r="U24" s="341"/>
      <c r="V24" s="340"/>
      <c r="W24" s="340"/>
      <c r="X24" s="340"/>
      <c r="Y24" s="340"/>
      <c r="Z24" s="492"/>
      <c r="AA24" s="492"/>
      <c r="AB24" s="341"/>
      <c r="AC24" s="340"/>
      <c r="AD24" s="340"/>
      <c r="AE24" s="340"/>
      <c r="AF24" s="340"/>
      <c r="AG24" s="492"/>
      <c r="AH24" s="492"/>
      <c r="AI24" s="341"/>
      <c r="AJ24" s="340"/>
      <c r="AK24" s="340"/>
      <c r="AL24" s="340"/>
      <c r="AM24" s="340"/>
      <c r="AN24" s="492"/>
      <c r="AO24" s="492"/>
      <c r="AP24" s="726"/>
      <c r="AQ24" s="340"/>
      <c r="AR24" s="340"/>
      <c r="AS24" s="340"/>
      <c r="AT24" s="340"/>
      <c r="AU24" s="492"/>
      <c r="AV24" s="492"/>
      <c r="AW24" s="493"/>
      <c r="AX24" s="51"/>
      <c r="AY24" s="51"/>
      <c r="AZ24" s="51"/>
      <c r="BA24" s="51"/>
      <c r="BB24" s="52"/>
      <c r="BC24" s="338"/>
      <c r="BD24" s="2"/>
      <c r="BE24" s="2"/>
      <c r="BF24" s="4">
        <f>IF($AJ7&lt;12000,0,0.05)</f>
        <v>0</v>
      </c>
      <c r="BG24" s="2"/>
      <c r="BH24" s="2"/>
    </row>
    <row r="25" spans="1:60" s="1" customFormat="1" ht="15.75">
      <c r="A25" s="713" t="s">
        <v>29</v>
      </c>
      <c r="B25" s="345">
        <f t="shared" si="0"/>
        <v>0</v>
      </c>
      <c r="C25" s="344">
        <f>'Preise MOREHHKombi'!B21</f>
        <v>72</v>
      </c>
      <c r="D25" s="343">
        <f t="shared" si="6"/>
        <v>2160</v>
      </c>
      <c r="E25" s="347">
        <f t="shared" si="1"/>
        <v>0</v>
      </c>
      <c r="F25" s="346">
        <f t="shared" si="2"/>
        <v>0</v>
      </c>
      <c r="G25" s="344">
        <f>'Preise MOREHHKombi'!D21</f>
        <v>61</v>
      </c>
      <c r="H25" s="343">
        <f t="shared" si="7"/>
        <v>1830</v>
      </c>
      <c r="I25" s="342">
        <f t="shared" si="12"/>
        <v>0</v>
      </c>
      <c r="J25" s="345">
        <f t="shared" si="4"/>
        <v>0</v>
      </c>
      <c r="K25" s="344">
        <f>'Preise MOREHHKombi'!F21</f>
        <v>42</v>
      </c>
      <c r="L25" s="343">
        <f t="shared" si="8"/>
        <v>1260</v>
      </c>
      <c r="M25" s="342">
        <f t="shared" si="13"/>
        <v>0</v>
      </c>
      <c r="N25" s="341"/>
      <c r="O25" s="340"/>
      <c r="P25" s="340"/>
      <c r="Q25" s="340"/>
      <c r="R25" s="340"/>
      <c r="S25" s="492"/>
      <c r="T25" s="492"/>
      <c r="U25" s="341"/>
      <c r="V25" s="340"/>
      <c r="W25" s="340"/>
      <c r="X25" s="340"/>
      <c r="Y25" s="340"/>
      <c r="Z25" s="492"/>
      <c r="AA25" s="492"/>
      <c r="AB25" s="341"/>
      <c r="AC25" s="340"/>
      <c r="AD25" s="340"/>
      <c r="AE25" s="340"/>
      <c r="AF25" s="340"/>
      <c r="AG25" s="492"/>
      <c r="AH25" s="492"/>
      <c r="AI25" s="341"/>
      <c r="AJ25" s="340"/>
      <c r="AK25" s="340"/>
      <c r="AL25" s="340"/>
      <c r="AM25" s="340"/>
      <c r="AN25" s="492"/>
      <c r="AO25" s="492"/>
      <c r="AP25" s="726"/>
      <c r="AQ25" s="340"/>
      <c r="AR25" s="340"/>
      <c r="AS25" s="340"/>
      <c r="AT25" s="340"/>
      <c r="AU25" s="492"/>
      <c r="AV25" s="492"/>
      <c r="AW25" s="493"/>
      <c r="AX25" s="51"/>
      <c r="AY25" s="51"/>
      <c r="AZ25" s="51"/>
      <c r="BA25" s="51"/>
      <c r="BB25" s="52"/>
      <c r="BC25" s="338"/>
      <c r="BD25" s="2"/>
      <c r="BE25" s="2"/>
      <c r="BF25" s="2">
        <f>SUM(BF17:BF24)</f>
        <v>0</v>
      </c>
      <c r="BG25" s="55">
        <f>AI8</f>
        <v>0</v>
      </c>
      <c r="BH25" s="2">
        <f>BG25*(1-BF25)</f>
        <v>0</v>
      </c>
    </row>
    <row r="26" spans="1:60" s="1" customFormat="1" ht="15.75">
      <c r="A26" s="713" t="s">
        <v>30</v>
      </c>
      <c r="B26" s="345">
        <f t="shared" si="0"/>
        <v>0</v>
      </c>
      <c r="C26" s="344">
        <f>'Preise MOREHHKombi'!B22</f>
        <v>60</v>
      </c>
      <c r="D26" s="343">
        <f t="shared" si="6"/>
        <v>1800</v>
      </c>
      <c r="E26" s="347">
        <f t="shared" si="1"/>
        <v>0</v>
      </c>
      <c r="F26" s="346">
        <f t="shared" si="2"/>
        <v>0</v>
      </c>
      <c r="G26" s="344">
        <f>'Preise MOREHHKombi'!D22</f>
        <v>80</v>
      </c>
      <c r="H26" s="343">
        <f t="shared" si="7"/>
        <v>2400</v>
      </c>
      <c r="I26" s="342">
        <f t="shared" si="12"/>
        <v>0</v>
      </c>
      <c r="J26" s="345">
        <f t="shared" si="4"/>
        <v>0</v>
      </c>
      <c r="K26" s="344">
        <f>'Preise MOREHHKombi'!F22</f>
        <v>71</v>
      </c>
      <c r="L26" s="343">
        <f t="shared" si="8"/>
        <v>2130</v>
      </c>
      <c r="M26" s="342">
        <f t="shared" si="13"/>
        <v>0</v>
      </c>
      <c r="N26" s="341"/>
      <c r="O26" s="340"/>
      <c r="P26" s="340"/>
      <c r="Q26" s="340"/>
      <c r="R26" s="340"/>
      <c r="S26" s="492"/>
      <c r="T26" s="492"/>
      <c r="U26" s="341"/>
      <c r="V26" s="340"/>
      <c r="W26" s="340"/>
      <c r="X26" s="340"/>
      <c r="Y26" s="340"/>
      <c r="Z26" s="492"/>
      <c r="AA26" s="492"/>
      <c r="AB26" s="341"/>
      <c r="AC26" s="340"/>
      <c r="AD26" s="340"/>
      <c r="AE26" s="340"/>
      <c r="AF26" s="340"/>
      <c r="AG26" s="492"/>
      <c r="AH26" s="492"/>
      <c r="AI26" s="341"/>
      <c r="AJ26" s="340"/>
      <c r="AK26" s="340"/>
      <c r="AL26" s="340"/>
      <c r="AM26" s="340"/>
      <c r="AN26" s="492"/>
      <c r="AO26" s="492"/>
      <c r="AP26" s="726"/>
      <c r="AQ26" s="340"/>
      <c r="AR26" s="340"/>
      <c r="AS26" s="340"/>
      <c r="AT26" s="340"/>
      <c r="AU26" s="492"/>
      <c r="AV26" s="492"/>
      <c r="AW26" s="493"/>
      <c r="AX26" s="51"/>
      <c r="AY26" s="51"/>
      <c r="AZ26" s="51"/>
      <c r="BA26" s="51"/>
      <c r="BB26" s="52"/>
      <c r="BC26" s="338"/>
      <c r="BD26" s="2"/>
      <c r="BE26" s="2"/>
      <c r="BF26" s="2"/>
      <c r="BG26" s="2"/>
      <c r="BH26" s="2"/>
    </row>
    <row r="27" spans="1:60" s="1" customFormat="1" ht="15.75">
      <c r="A27" s="713" t="s">
        <v>31</v>
      </c>
      <c r="B27" s="345">
        <f t="shared" si="0"/>
        <v>0</v>
      </c>
      <c r="C27" s="344">
        <f>'Preise MOREHHKombi'!B23</f>
        <v>40</v>
      </c>
      <c r="D27" s="343">
        <f t="shared" si="6"/>
        <v>1200</v>
      </c>
      <c r="E27" s="347">
        <f t="shared" si="1"/>
        <v>0</v>
      </c>
      <c r="F27" s="346">
        <f t="shared" si="2"/>
        <v>0</v>
      </c>
      <c r="G27" s="344">
        <f>'Preise MOREHHKombi'!D23</f>
        <v>86</v>
      </c>
      <c r="H27" s="343">
        <f t="shared" si="7"/>
        <v>2580</v>
      </c>
      <c r="I27" s="342">
        <f t="shared" si="12"/>
        <v>0</v>
      </c>
      <c r="J27" s="345">
        <f t="shared" si="4"/>
        <v>0</v>
      </c>
      <c r="K27" s="344">
        <f>'Preise MOREHHKombi'!F23</f>
        <v>51</v>
      </c>
      <c r="L27" s="343">
        <f t="shared" si="8"/>
        <v>1530</v>
      </c>
      <c r="M27" s="342">
        <f t="shared" si="13"/>
        <v>0</v>
      </c>
      <c r="N27" s="341"/>
      <c r="O27" s="340"/>
      <c r="P27" s="340"/>
      <c r="Q27" s="340"/>
      <c r="R27" s="340"/>
      <c r="S27" s="492"/>
      <c r="T27" s="492"/>
      <c r="U27" s="341"/>
      <c r="V27" s="340"/>
      <c r="W27" s="340"/>
      <c r="X27" s="340"/>
      <c r="Y27" s="340"/>
      <c r="Z27" s="492"/>
      <c r="AA27" s="492"/>
      <c r="AB27" s="341"/>
      <c r="AC27" s="340"/>
      <c r="AD27" s="340"/>
      <c r="AE27" s="340"/>
      <c r="AF27" s="340"/>
      <c r="AG27" s="492"/>
      <c r="AH27" s="492"/>
      <c r="AI27" s="341"/>
      <c r="AJ27" s="340"/>
      <c r="AK27" s="340"/>
      <c r="AL27" s="340"/>
      <c r="AM27" s="340"/>
      <c r="AN27" s="492"/>
      <c r="AO27" s="492"/>
      <c r="AP27" s="726"/>
      <c r="AQ27" s="340"/>
      <c r="AR27" s="340"/>
      <c r="AS27" s="340"/>
      <c r="AT27" s="340"/>
      <c r="AU27" s="492"/>
      <c r="AV27" s="492"/>
      <c r="AW27" s="493"/>
      <c r="AX27" s="51"/>
      <c r="AY27" s="51"/>
      <c r="AZ27" s="51"/>
      <c r="BA27" s="51"/>
      <c r="BB27" s="52"/>
      <c r="BC27" s="338"/>
      <c r="BD27" s="2"/>
      <c r="BE27" s="2"/>
      <c r="BF27" s="2"/>
      <c r="BG27" s="2"/>
      <c r="BH27" s="2"/>
    </row>
    <row r="28" spans="1:60" s="1" customFormat="1" ht="15.75">
      <c r="A28" s="712" t="s">
        <v>32</v>
      </c>
      <c r="B28" s="345">
        <f t="shared" si="0"/>
        <v>0</v>
      </c>
      <c r="C28" s="344">
        <f>'Preise MOREHHKombi'!B24</f>
        <v>37</v>
      </c>
      <c r="D28" s="343">
        <f t="shared" si="6"/>
        <v>1110</v>
      </c>
      <c r="E28" s="347">
        <f t="shared" si="1"/>
        <v>0</v>
      </c>
      <c r="F28" s="346">
        <f t="shared" si="2"/>
        <v>0</v>
      </c>
      <c r="G28" s="344">
        <f>'Preise MOREHHKombi'!D24</f>
        <v>50</v>
      </c>
      <c r="H28" s="343">
        <f t="shared" si="7"/>
        <v>1500</v>
      </c>
      <c r="I28" s="342">
        <f t="shared" si="12"/>
        <v>0</v>
      </c>
      <c r="J28" s="345">
        <f t="shared" si="4"/>
        <v>0</v>
      </c>
      <c r="K28" s="344">
        <f>'Preise MOREHHKombi'!F24</f>
        <v>40</v>
      </c>
      <c r="L28" s="343">
        <f t="shared" si="8"/>
        <v>1200</v>
      </c>
      <c r="M28" s="342">
        <f t="shared" si="13"/>
        <v>0</v>
      </c>
      <c r="N28" s="341"/>
      <c r="O28" s="340"/>
      <c r="P28" s="340"/>
      <c r="Q28" s="340"/>
      <c r="R28" s="340"/>
      <c r="S28" s="492"/>
      <c r="T28" s="492"/>
      <c r="U28" s="341"/>
      <c r="V28" s="340"/>
      <c r="W28" s="340"/>
      <c r="X28" s="340"/>
      <c r="Y28" s="340"/>
      <c r="Z28" s="492"/>
      <c r="AA28" s="492"/>
      <c r="AB28" s="341"/>
      <c r="AC28" s="340"/>
      <c r="AD28" s="340"/>
      <c r="AE28" s="340"/>
      <c r="AF28" s="340"/>
      <c r="AG28" s="492"/>
      <c r="AH28" s="492"/>
      <c r="AI28" s="341"/>
      <c r="AJ28" s="340"/>
      <c r="AK28" s="340"/>
      <c r="AL28" s="340"/>
      <c r="AM28" s="340"/>
      <c r="AN28" s="492"/>
      <c r="AO28" s="492"/>
      <c r="AP28" s="726"/>
      <c r="AQ28" s="340"/>
      <c r="AR28" s="340"/>
      <c r="AS28" s="340"/>
      <c r="AT28" s="340"/>
      <c r="AU28" s="492"/>
      <c r="AV28" s="492"/>
      <c r="AW28" s="493"/>
      <c r="AX28" s="51"/>
      <c r="AY28" s="51"/>
      <c r="AZ28" s="51"/>
      <c r="BA28" s="51"/>
      <c r="BB28" s="52"/>
      <c r="BC28" s="338"/>
      <c r="BD28" s="2"/>
      <c r="BE28" s="2"/>
      <c r="BF28" s="2"/>
      <c r="BG28" s="2"/>
      <c r="BH28" s="2"/>
    </row>
    <row r="29" spans="1:60" s="1" customFormat="1" ht="15.75">
      <c r="A29" s="713" t="s">
        <v>33</v>
      </c>
      <c r="B29" s="345">
        <f t="shared" si="0"/>
        <v>0</v>
      </c>
      <c r="C29" s="344">
        <f>'Preise MOREHHKombi'!B25</f>
        <v>37</v>
      </c>
      <c r="D29" s="343">
        <f t="shared" si="6"/>
        <v>1110</v>
      </c>
      <c r="E29" s="347">
        <f t="shared" si="1"/>
        <v>0</v>
      </c>
      <c r="F29" s="346">
        <f t="shared" si="2"/>
        <v>0</v>
      </c>
      <c r="G29" s="344">
        <f>'Preise MOREHHKombi'!D25</f>
        <v>46</v>
      </c>
      <c r="H29" s="343">
        <f t="shared" si="7"/>
        <v>1380</v>
      </c>
      <c r="I29" s="342">
        <f t="shared" si="12"/>
        <v>0</v>
      </c>
      <c r="J29" s="345">
        <f t="shared" si="4"/>
        <v>0</v>
      </c>
      <c r="K29" s="344">
        <f>'Preise MOREHHKombi'!F25</f>
        <v>31</v>
      </c>
      <c r="L29" s="343">
        <f t="shared" si="8"/>
        <v>930</v>
      </c>
      <c r="M29" s="342">
        <f t="shared" si="13"/>
        <v>0</v>
      </c>
      <c r="N29" s="341"/>
      <c r="O29" s="340"/>
      <c r="P29" s="340"/>
      <c r="Q29" s="340"/>
      <c r="R29" s="340"/>
      <c r="S29" s="492"/>
      <c r="T29" s="492"/>
      <c r="U29" s="341"/>
      <c r="V29" s="340"/>
      <c r="W29" s="340"/>
      <c r="X29" s="340"/>
      <c r="Y29" s="340"/>
      <c r="Z29" s="492"/>
      <c r="AA29" s="492"/>
      <c r="AB29" s="341"/>
      <c r="AC29" s="340"/>
      <c r="AD29" s="340"/>
      <c r="AE29" s="340"/>
      <c r="AF29" s="340"/>
      <c r="AG29" s="492"/>
      <c r="AH29" s="492"/>
      <c r="AI29" s="341"/>
      <c r="AJ29" s="340"/>
      <c r="AK29" s="340"/>
      <c r="AL29" s="340"/>
      <c r="AM29" s="340"/>
      <c r="AN29" s="492"/>
      <c r="AO29" s="492"/>
      <c r="AP29" s="726"/>
      <c r="AQ29" s="340"/>
      <c r="AR29" s="340"/>
      <c r="AS29" s="340"/>
      <c r="AT29" s="340"/>
      <c r="AU29" s="492"/>
      <c r="AV29" s="492"/>
      <c r="AW29" s="493"/>
      <c r="AX29" s="51"/>
      <c r="AY29" s="51"/>
      <c r="AZ29" s="51"/>
      <c r="BA29" s="51"/>
      <c r="BB29" s="52"/>
      <c r="BC29" s="338"/>
      <c r="BD29" s="2"/>
      <c r="BE29" s="2"/>
      <c r="BF29" s="2"/>
      <c r="BG29" s="2"/>
      <c r="BH29" s="2"/>
    </row>
    <row r="30" spans="1:60" s="1" customFormat="1" ht="15.75">
      <c r="A30" s="713" t="s">
        <v>34</v>
      </c>
      <c r="B30" s="345">
        <f t="shared" si="0"/>
        <v>0</v>
      </c>
      <c r="C30" s="344">
        <f>'Preise MOREHHKombi'!B26</f>
        <v>35</v>
      </c>
      <c r="D30" s="343">
        <f t="shared" si="6"/>
        <v>1050</v>
      </c>
      <c r="E30" s="347">
        <f t="shared" si="1"/>
        <v>0</v>
      </c>
      <c r="F30" s="346">
        <f t="shared" si="2"/>
        <v>0</v>
      </c>
      <c r="G30" s="344">
        <f>'Preise MOREHHKombi'!D26</f>
        <v>34</v>
      </c>
      <c r="H30" s="343">
        <f t="shared" si="7"/>
        <v>1020</v>
      </c>
      <c r="I30" s="342">
        <f t="shared" si="12"/>
        <v>0</v>
      </c>
      <c r="J30" s="345">
        <f t="shared" si="4"/>
        <v>0</v>
      </c>
      <c r="K30" s="344">
        <f>'Preise MOREHHKombi'!F26</f>
        <v>26</v>
      </c>
      <c r="L30" s="343">
        <f t="shared" si="8"/>
        <v>780</v>
      </c>
      <c r="M30" s="342">
        <f t="shared" si="13"/>
        <v>0</v>
      </c>
      <c r="N30" s="341"/>
      <c r="O30" s="340"/>
      <c r="P30" s="340"/>
      <c r="Q30" s="340"/>
      <c r="R30" s="340"/>
      <c r="S30" s="492"/>
      <c r="T30" s="492"/>
      <c r="U30" s="341"/>
      <c r="V30" s="340"/>
      <c r="W30" s="340"/>
      <c r="X30" s="340"/>
      <c r="Y30" s="340"/>
      <c r="Z30" s="492"/>
      <c r="AA30" s="492"/>
      <c r="AB30" s="341"/>
      <c r="AC30" s="340"/>
      <c r="AD30" s="340"/>
      <c r="AE30" s="340"/>
      <c r="AF30" s="340"/>
      <c r="AG30" s="492"/>
      <c r="AH30" s="492"/>
      <c r="AI30" s="341"/>
      <c r="AJ30" s="340"/>
      <c r="AK30" s="340"/>
      <c r="AL30" s="340"/>
      <c r="AM30" s="340"/>
      <c r="AN30" s="492"/>
      <c r="AO30" s="492"/>
      <c r="AP30" s="726"/>
      <c r="AQ30" s="340"/>
      <c r="AR30" s="340"/>
      <c r="AS30" s="340"/>
      <c r="AT30" s="340"/>
      <c r="AU30" s="492"/>
      <c r="AV30" s="492"/>
      <c r="AW30" s="493"/>
      <c r="AX30" s="51"/>
      <c r="AY30" s="51"/>
      <c r="AZ30" s="51"/>
      <c r="BA30" s="51"/>
      <c r="BB30" s="52"/>
      <c r="BC30" s="338"/>
      <c r="BD30" s="2"/>
      <c r="BE30" s="2"/>
      <c r="BF30" s="2"/>
      <c r="BG30" s="2"/>
      <c r="BH30" s="2"/>
    </row>
    <row r="31" spans="1:60" s="1" customFormat="1" ht="15.75">
      <c r="A31" s="348" t="s">
        <v>35</v>
      </c>
      <c r="B31" s="345">
        <f t="shared" ref="B31:B40" si="14">SUM(N31:R31,U31:Y31,AB31:AF31,AI31:AM31,AP31:AT31,AW31:BA31)</f>
        <v>0</v>
      </c>
      <c r="C31" s="344">
        <f>'Preise MOREHHKombi'!B27</f>
        <v>35</v>
      </c>
      <c r="D31" s="343">
        <f t="shared" si="6"/>
        <v>1050</v>
      </c>
      <c r="E31" s="347">
        <f t="shared" si="1"/>
        <v>0</v>
      </c>
      <c r="F31" s="346">
        <f t="shared" si="2"/>
        <v>0</v>
      </c>
      <c r="G31" s="344">
        <f>'Preise MOREHHKombi'!D27</f>
        <v>32</v>
      </c>
      <c r="H31" s="343">
        <f t="shared" si="7"/>
        <v>960</v>
      </c>
      <c r="I31" s="342">
        <f t="shared" si="12"/>
        <v>0</v>
      </c>
      <c r="J31" s="345">
        <f t="shared" si="4"/>
        <v>0</v>
      </c>
      <c r="K31" s="344">
        <f>'Preise MOREHHKombi'!F27</f>
        <v>25</v>
      </c>
      <c r="L31" s="343">
        <f t="shared" si="8"/>
        <v>750</v>
      </c>
      <c r="M31" s="342">
        <f t="shared" si="13"/>
        <v>0</v>
      </c>
      <c r="N31" s="341"/>
      <c r="O31" s="340"/>
      <c r="P31" s="340"/>
      <c r="Q31" s="340"/>
      <c r="R31" s="340"/>
      <c r="S31" s="492"/>
      <c r="T31" s="492"/>
      <c r="U31" s="341"/>
      <c r="V31" s="340"/>
      <c r="W31" s="340"/>
      <c r="X31" s="340"/>
      <c r="Y31" s="340"/>
      <c r="Z31" s="492"/>
      <c r="AA31" s="492"/>
      <c r="AB31" s="341"/>
      <c r="AC31" s="340"/>
      <c r="AD31" s="340"/>
      <c r="AE31" s="340"/>
      <c r="AF31" s="340"/>
      <c r="AG31" s="492"/>
      <c r="AH31" s="492"/>
      <c r="AI31" s="341"/>
      <c r="AJ31" s="340"/>
      <c r="AK31" s="340"/>
      <c r="AL31" s="340"/>
      <c r="AM31" s="340"/>
      <c r="AN31" s="492"/>
      <c r="AO31" s="492"/>
      <c r="AP31" s="726"/>
      <c r="AQ31" s="340"/>
      <c r="AR31" s="340"/>
      <c r="AS31" s="340"/>
      <c r="AT31" s="340"/>
      <c r="AU31" s="492"/>
      <c r="AV31" s="492"/>
      <c r="AW31" s="493"/>
      <c r="AX31" s="51"/>
      <c r="AY31" s="51"/>
      <c r="AZ31" s="51"/>
      <c r="BA31" s="51"/>
      <c r="BB31" s="52"/>
      <c r="BC31" s="338"/>
      <c r="BD31" s="2"/>
      <c r="BE31" s="2"/>
      <c r="BF31" s="2"/>
      <c r="BG31" s="2"/>
      <c r="BH31" s="2"/>
    </row>
    <row r="32" spans="1:60" s="1" customFormat="1" ht="15.75">
      <c r="A32" s="348" t="s">
        <v>36</v>
      </c>
      <c r="B32" s="345">
        <f t="shared" si="14"/>
        <v>0</v>
      </c>
      <c r="C32" s="344">
        <f>'Preise MOREHHKombi'!B28</f>
        <v>35</v>
      </c>
      <c r="D32" s="343">
        <f t="shared" si="6"/>
        <v>1050</v>
      </c>
      <c r="E32" s="347">
        <f t="shared" si="1"/>
        <v>0</v>
      </c>
      <c r="F32" s="346">
        <f t="shared" si="2"/>
        <v>0</v>
      </c>
      <c r="G32" s="344">
        <f>'Preise MOREHHKombi'!D28</f>
        <v>29</v>
      </c>
      <c r="H32" s="343">
        <f t="shared" si="7"/>
        <v>870</v>
      </c>
      <c r="I32" s="342">
        <f t="shared" si="12"/>
        <v>0</v>
      </c>
      <c r="J32" s="345">
        <f t="shared" si="4"/>
        <v>0</v>
      </c>
      <c r="K32" s="344">
        <f>'Preise MOREHHKombi'!F28</f>
        <v>22</v>
      </c>
      <c r="L32" s="343">
        <f t="shared" si="8"/>
        <v>660</v>
      </c>
      <c r="M32" s="342">
        <f t="shared" si="13"/>
        <v>0</v>
      </c>
      <c r="N32" s="341"/>
      <c r="O32" s="340"/>
      <c r="P32" s="340"/>
      <c r="Q32" s="340"/>
      <c r="R32" s="340"/>
      <c r="S32" s="492"/>
      <c r="T32" s="492"/>
      <c r="U32" s="341"/>
      <c r="V32" s="340"/>
      <c r="W32" s="340"/>
      <c r="X32" s="340"/>
      <c r="Y32" s="340"/>
      <c r="Z32" s="492"/>
      <c r="AA32" s="492"/>
      <c r="AB32" s="341"/>
      <c r="AC32" s="340"/>
      <c r="AD32" s="340"/>
      <c r="AE32" s="340"/>
      <c r="AF32" s="340"/>
      <c r="AG32" s="492"/>
      <c r="AH32" s="492"/>
      <c r="AI32" s="341"/>
      <c r="AJ32" s="340"/>
      <c r="AK32" s="340"/>
      <c r="AL32" s="340"/>
      <c r="AM32" s="340"/>
      <c r="AN32" s="492"/>
      <c r="AO32" s="492"/>
      <c r="AP32" s="726"/>
      <c r="AQ32" s="340"/>
      <c r="AR32" s="340"/>
      <c r="AS32" s="340"/>
      <c r="AT32" s="340"/>
      <c r="AU32" s="492"/>
      <c r="AV32" s="492"/>
      <c r="AW32" s="493"/>
      <c r="AX32" s="51"/>
      <c r="AY32" s="51"/>
      <c r="AZ32" s="51"/>
      <c r="BA32" s="51"/>
      <c r="BB32" s="52"/>
      <c r="BC32" s="338"/>
      <c r="BD32" s="2"/>
      <c r="BE32" s="2"/>
      <c r="BF32" s="2"/>
      <c r="BG32" s="2"/>
      <c r="BH32" s="2"/>
    </row>
    <row r="33" spans="1:60" s="1" customFormat="1" ht="15.75">
      <c r="A33" s="348" t="s">
        <v>37</v>
      </c>
      <c r="B33" s="345">
        <f t="shared" si="14"/>
        <v>0</v>
      </c>
      <c r="C33" s="344">
        <f>'Preise MOREHHKombi'!B29</f>
        <v>42</v>
      </c>
      <c r="D33" s="343">
        <f t="shared" si="6"/>
        <v>1260</v>
      </c>
      <c r="E33" s="347">
        <f t="shared" si="1"/>
        <v>0</v>
      </c>
      <c r="F33" s="346">
        <f t="shared" si="2"/>
        <v>0</v>
      </c>
      <c r="G33" s="344">
        <f>'Preise MOREHHKombi'!D29</f>
        <v>26</v>
      </c>
      <c r="H33" s="343">
        <f t="shared" si="7"/>
        <v>780</v>
      </c>
      <c r="I33" s="342">
        <f t="shared" si="12"/>
        <v>0</v>
      </c>
      <c r="J33" s="345">
        <f t="shared" si="4"/>
        <v>0</v>
      </c>
      <c r="K33" s="344">
        <f>'Preise MOREHHKombi'!F29</f>
        <v>23</v>
      </c>
      <c r="L33" s="343">
        <f t="shared" si="8"/>
        <v>690</v>
      </c>
      <c r="M33" s="342">
        <f t="shared" si="13"/>
        <v>0</v>
      </c>
      <c r="N33" s="341"/>
      <c r="O33" s="340"/>
      <c r="P33" s="340"/>
      <c r="Q33" s="340"/>
      <c r="R33" s="340"/>
      <c r="S33" s="492"/>
      <c r="T33" s="492"/>
      <c r="U33" s="341"/>
      <c r="V33" s="340"/>
      <c r="W33" s="340"/>
      <c r="X33" s="340"/>
      <c r="Y33" s="340"/>
      <c r="Z33" s="492"/>
      <c r="AA33" s="492"/>
      <c r="AB33" s="341"/>
      <c r="AC33" s="340"/>
      <c r="AD33" s="340"/>
      <c r="AE33" s="340"/>
      <c r="AF33" s="340"/>
      <c r="AG33" s="492"/>
      <c r="AH33" s="492"/>
      <c r="AI33" s="341"/>
      <c r="AJ33" s="340"/>
      <c r="AK33" s="340"/>
      <c r="AL33" s="340"/>
      <c r="AM33" s="340"/>
      <c r="AN33" s="492"/>
      <c r="AO33" s="492"/>
      <c r="AP33" s="726"/>
      <c r="AQ33" s="340"/>
      <c r="AR33" s="340"/>
      <c r="AS33" s="340"/>
      <c r="AT33" s="340"/>
      <c r="AU33" s="492"/>
      <c r="AV33" s="492"/>
      <c r="AW33" s="493"/>
      <c r="AX33" s="51"/>
      <c r="AY33" s="51"/>
      <c r="AZ33" s="51"/>
      <c r="BA33" s="51"/>
      <c r="BB33" s="52"/>
      <c r="BC33" s="338"/>
      <c r="BD33" s="2"/>
      <c r="BE33" s="2"/>
      <c r="BF33" s="2"/>
      <c r="BG33" s="2"/>
      <c r="BH33" s="2"/>
    </row>
    <row r="34" spans="1:60" s="1" customFormat="1" ht="15.75">
      <c r="A34" s="348" t="s">
        <v>38</v>
      </c>
      <c r="B34" s="345">
        <f t="shared" si="14"/>
        <v>0</v>
      </c>
      <c r="C34" s="344">
        <f>'Preise MOREHHKombi'!B30</f>
        <v>38</v>
      </c>
      <c r="D34" s="343">
        <f t="shared" si="6"/>
        <v>1140</v>
      </c>
      <c r="E34" s="347">
        <f t="shared" si="1"/>
        <v>0</v>
      </c>
      <c r="F34" s="346">
        <f t="shared" si="2"/>
        <v>0</v>
      </c>
      <c r="G34" s="344">
        <f>'Preise MOREHHKombi'!D30</f>
        <v>23</v>
      </c>
      <c r="H34" s="343">
        <f t="shared" si="7"/>
        <v>690</v>
      </c>
      <c r="I34" s="342">
        <f t="shared" si="12"/>
        <v>0</v>
      </c>
      <c r="J34" s="345">
        <f t="shared" si="4"/>
        <v>0</v>
      </c>
      <c r="K34" s="344">
        <f>'Preise MOREHHKombi'!F30</f>
        <v>20</v>
      </c>
      <c r="L34" s="343">
        <f t="shared" si="8"/>
        <v>600</v>
      </c>
      <c r="M34" s="342">
        <f t="shared" si="13"/>
        <v>0</v>
      </c>
      <c r="N34" s="341"/>
      <c r="O34" s="340"/>
      <c r="P34" s="340"/>
      <c r="Q34" s="340"/>
      <c r="R34" s="340"/>
      <c r="S34" s="492"/>
      <c r="T34" s="492"/>
      <c r="U34" s="341"/>
      <c r="V34" s="340"/>
      <c r="W34" s="340"/>
      <c r="X34" s="340"/>
      <c r="Y34" s="340"/>
      <c r="Z34" s="492"/>
      <c r="AA34" s="492"/>
      <c r="AB34" s="341"/>
      <c r="AC34" s="340"/>
      <c r="AD34" s="340"/>
      <c r="AE34" s="340"/>
      <c r="AF34" s="340"/>
      <c r="AG34" s="492"/>
      <c r="AH34" s="492"/>
      <c r="AI34" s="341"/>
      <c r="AJ34" s="340"/>
      <c r="AK34" s="340"/>
      <c r="AL34" s="340"/>
      <c r="AM34" s="340"/>
      <c r="AN34" s="492"/>
      <c r="AO34" s="492"/>
      <c r="AP34" s="726"/>
      <c r="AQ34" s="340"/>
      <c r="AR34" s="340"/>
      <c r="AS34" s="340"/>
      <c r="AT34" s="340"/>
      <c r="AU34" s="492"/>
      <c r="AV34" s="492"/>
      <c r="AW34" s="493"/>
      <c r="AX34" s="51"/>
      <c r="AY34" s="51"/>
      <c r="AZ34" s="51"/>
      <c r="BA34" s="51"/>
      <c r="BB34" s="52"/>
      <c r="BC34" s="338"/>
      <c r="BD34" s="2"/>
      <c r="BE34" s="2"/>
      <c r="BF34" s="2"/>
      <c r="BG34" s="2"/>
      <c r="BH34" s="2"/>
    </row>
    <row r="35" spans="1:60" s="1" customFormat="1" ht="15.75">
      <c r="A35" s="348" t="s">
        <v>39</v>
      </c>
      <c r="B35" s="345">
        <f t="shared" si="14"/>
        <v>0</v>
      </c>
      <c r="C35" s="344">
        <f>'Preise MOREHHKombi'!B31</f>
        <v>32</v>
      </c>
      <c r="D35" s="343">
        <f t="shared" si="6"/>
        <v>960</v>
      </c>
      <c r="E35" s="347">
        <f t="shared" si="1"/>
        <v>0</v>
      </c>
      <c r="F35" s="346">
        <f t="shared" si="2"/>
        <v>0</v>
      </c>
      <c r="G35" s="344">
        <f>'Preise MOREHHKombi'!D31</f>
        <v>14</v>
      </c>
      <c r="H35" s="343">
        <f t="shared" si="7"/>
        <v>420</v>
      </c>
      <c r="I35" s="342">
        <f t="shared" si="12"/>
        <v>0</v>
      </c>
      <c r="J35" s="345">
        <f t="shared" si="4"/>
        <v>0</v>
      </c>
      <c r="K35" s="344">
        <f>'Preise MOREHHKombi'!F31</f>
        <v>11</v>
      </c>
      <c r="L35" s="343">
        <f t="shared" si="8"/>
        <v>330</v>
      </c>
      <c r="M35" s="342">
        <f t="shared" si="13"/>
        <v>0</v>
      </c>
      <c r="N35" s="341"/>
      <c r="O35" s="340"/>
      <c r="P35" s="340"/>
      <c r="Q35" s="340"/>
      <c r="R35" s="340"/>
      <c r="S35" s="492"/>
      <c r="T35" s="492"/>
      <c r="U35" s="341"/>
      <c r="V35" s="340"/>
      <c r="W35" s="340"/>
      <c r="X35" s="340"/>
      <c r="Y35" s="340"/>
      <c r="Z35" s="492"/>
      <c r="AA35" s="492"/>
      <c r="AB35" s="341"/>
      <c r="AC35" s="340"/>
      <c r="AD35" s="340"/>
      <c r="AE35" s="340"/>
      <c r="AF35" s="340"/>
      <c r="AG35" s="492"/>
      <c r="AH35" s="492"/>
      <c r="AI35" s="341"/>
      <c r="AJ35" s="340"/>
      <c r="AK35" s="340"/>
      <c r="AL35" s="340"/>
      <c r="AM35" s="340"/>
      <c r="AN35" s="492"/>
      <c r="AO35" s="492"/>
      <c r="AP35" s="726"/>
      <c r="AQ35" s="340"/>
      <c r="AR35" s="340"/>
      <c r="AS35" s="340"/>
      <c r="AT35" s="340"/>
      <c r="AU35" s="492"/>
      <c r="AV35" s="492"/>
      <c r="AW35" s="493"/>
      <c r="AX35" s="51"/>
      <c r="AY35" s="51"/>
      <c r="AZ35" s="51"/>
      <c r="BA35" s="51"/>
      <c r="BB35" s="52"/>
      <c r="BC35" s="338"/>
      <c r="BD35" s="2"/>
      <c r="BE35" s="2"/>
      <c r="BF35" s="2"/>
      <c r="BG35" s="2"/>
      <c r="BH35" s="2"/>
    </row>
    <row r="36" spans="1:60" s="1" customFormat="1" ht="15.75">
      <c r="A36" s="348" t="s">
        <v>40</v>
      </c>
      <c r="B36" s="345">
        <f t="shared" si="14"/>
        <v>0</v>
      </c>
      <c r="C36" s="344">
        <f>'Preise MOREHHKombi'!B32</f>
        <v>15</v>
      </c>
      <c r="D36" s="343">
        <f t="shared" si="6"/>
        <v>450</v>
      </c>
      <c r="E36" s="347">
        <f t="shared" si="1"/>
        <v>0</v>
      </c>
      <c r="F36" s="346">
        <f t="shared" si="2"/>
        <v>0</v>
      </c>
      <c r="G36" s="344">
        <f>'Preise MOREHHKombi'!D32</f>
        <v>10</v>
      </c>
      <c r="H36" s="343">
        <f t="shared" si="7"/>
        <v>300</v>
      </c>
      <c r="I36" s="342">
        <f t="shared" si="12"/>
        <v>0</v>
      </c>
      <c r="J36" s="345">
        <f t="shared" si="4"/>
        <v>0</v>
      </c>
      <c r="K36" s="344">
        <f>'Preise MOREHHKombi'!F32</f>
        <v>6</v>
      </c>
      <c r="L36" s="343">
        <f t="shared" si="8"/>
        <v>180</v>
      </c>
      <c r="M36" s="342">
        <f t="shared" si="13"/>
        <v>0</v>
      </c>
      <c r="N36" s="341"/>
      <c r="O36" s="340"/>
      <c r="P36" s="340"/>
      <c r="Q36" s="340"/>
      <c r="R36" s="340"/>
      <c r="S36" s="492"/>
      <c r="T36" s="492"/>
      <c r="U36" s="341"/>
      <c r="V36" s="340"/>
      <c r="W36" s="340"/>
      <c r="X36" s="340"/>
      <c r="Y36" s="340"/>
      <c r="Z36" s="492"/>
      <c r="AA36" s="492"/>
      <c r="AB36" s="341"/>
      <c r="AC36" s="340"/>
      <c r="AD36" s="340"/>
      <c r="AE36" s="340"/>
      <c r="AF36" s="340"/>
      <c r="AG36" s="492"/>
      <c r="AH36" s="492"/>
      <c r="AI36" s="341"/>
      <c r="AJ36" s="340"/>
      <c r="AK36" s="340"/>
      <c r="AL36" s="340"/>
      <c r="AM36" s="340"/>
      <c r="AN36" s="492"/>
      <c r="AO36" s="492"/>
      <c r="AP36" s="726"/>
      <c r="AQ36" s="340"/>
      <c r="AR36" s="340"/>
      <c r="AS36" s="340"/>
      <c r="AT36" s="340"/>
      <c r="AU36" s="492"/>
      <c r="AV36" s="492"/>
      <c r="AW36" s="493"/>
      <c r="AX36" s="51"/>
      <c r="AY36" s="51"/>
      <c r="AZ36" s="51"/>
      <c r="BA36" s="51"/>
      <c r="BB36" s="52"/>
      <c r="BC36" s="338"/>
      <c r="BD36" s="2"/>
      <c r="BE36" s="2"/>
      <c r="BF36" s="2"/>
      <c r="BG36" s="2"/>
      <c r="BH36" s="2"/>
    </row>
    <row r="37" spans="1:60" s="1" customFormat="1" ht="15.75">
      <c r="A37" s="348" t="s">
        <v>41</v>
      </c>
      <c r="B37" s="345">
        <f t="shared" si="14"/>
        <v>0</v>
      </c>
      <c r="C37" s="344">
        <f>'Preise MOREHHKombi'!B33</f>
        <v>8</v>
      </c>
      <c r="D37" s="343">
        <f t="shared" si="6"/>
        <v>240</v>
      </c>
      <c r="E37" s="347">
        <f t="shared" si="1"/>
        <v>0</v>
      </c>
      <c r="F37" s="346">
        <f t="shared" si="2"/>
        <v>0</v>
      </c>
      <c r="G37" s="344">
        <f>'Preise MOREHHKombi'!D33</f>
        <v>4</v>
      </c>
      <c r="H37" s="343">
        <f t="shared" si="7"/>
        <v>120</v>
      </c>
      <c r="I37" s="342">
        <f t="shared" si="12"/>
        <v>0</v>
      </c>
      <c r="J37" s="345">
        <f t="shared" si="4"/>
        <v>0</v>
      </c>
      <c r="K37" s="344">
        <f>'Preise MOREHHKombi'!F33</f>
        <v>3</v>
      </c>
      <c r="L37" s="343">
        <f t="shared" si="8"/>
        <v>90</v>
      </c>
      <c r="M37" s="342">
        <f t="shared" si="13"/>
        <v>0</v>
      </c>
      <c r="N37" s="341"/>
      <c r="O37" s="340"/>
      <c r="P37" s="340"/>
      <c r="Q37" s="340"/>
      <c r="R37" s="340"/>
      <c r="S37" s="492"/>
      <c r="T37" s="492"/>
      <c r="U37" s="341"/>
      <c r="V37" s="340"/>
      <c r="W37" s="340"/>
      <c r="X37" s="340"/>
      <c r="Y37" s="340"/>
      <c r="Z37" s="492"/>
      <c r="AA37" s="492"/>
      <c r="AB37" s="341"/>
      <c r="AC37" s="340"/>
      <c r="AD37" s="340"/>
      <c r="AE37" s="340"/>
      <c r="AF37" s="340"/>
      <c r="AG37" s="492"/>
      <c r="AH37" s="492"/>
      <c r="AI37" s="341"/>
      <c r="AJ37" s="340"/>
      <c r="AK37" s="340"/>
      <c r="AL37" s="340"/>
      <c r="AM37" s="340"/>
      <c r="AN37" s="492"/>
      <c r="AO37" s="492"/>
      <c r="AP37" s="726"/>
      <c r="AQ37" s="340"/>
      <c r="AR37" s="340"/>
      <c r="AS37" s="340"/>
      <c r="AT37" s="340"/>
      <c r="AU37" s="492"/>
      <c r="AV37" s="492"/>
      <c r="AW37" s="493"/>
      <c r="AX37" s="51"/>
      <c r="AY37" s="51"/>
      <c r="AZ37" s="51"/>
      <c r="BA37" s="51"/>
      <c r="BB37" s="52"/>
      <c r="BC37" s="338"/>
      <c r="BD37" s="2"/>
      <c r="BE37" s="2"/>
      <c r="BF37" s="2"/>
      <c r="BG37" s="2"/>
      <c r="BH37" s="2"/>
    </row>
    <row r="38" spans="1:60" s="1" customFormat="1" ht="15.75">
      <c r="A38" s="348" t="s">
        <v>42</v>
      </c>
      <c r="B38" s="345">
        <f t="shared" si="14"/>
        <v>0</v>
      </c>
      <c r="C38" s="344">
        <f>'Preise MOREHHKombi'!B34</f>
        <v>6</v>
      </c>
      <c r="D38" s="343">
        <f t="shared" si="6"/>
        <v>180</v>
      </c>
      <c r="E38" s="347">
        <f t="shared" si="1"/>
        <v>0</v>
      </c>
      <c r="F38" s="346">
        <f t="shared" si="2"/>
        <v>0</v>
      </c>
      <c r="G38" s="344">
        <f>'Preise MOREHHKombi'!D34</f>
        <v>3</v>
      </c>
      <c r="H38" s="343">
        <f t="shared" si="7"/>
        <v>90</v>
      </c>
      <c r="I38" s="342">
        <f t="shared" si="12"/>
        <v>0</v>
      </c>
      <c r="J38" s="345">
        <f t="shared" si="4"/>
        <v>0</v>
      </c>
      <c r="K38" s="344">
        <f>'Preise MOREHHKombi'!F34</f>
        <v>3</v>
      </c>
      <c r="L38" s="343">
        <f t="shared" si="8"/>
        <v>90</v>
      </c>
      <c r="M38" s="342">
        <f t="shared" si="13"/>
        <v>0</v>
      </c>
      <c r="N38" s="341"/>
      <c r="O38" s="340"/>
      <c r="P38" s="340"/>
      <c r="Q38" s="340"/>
      <c r="R38" s="340"/>
      <c r="S38" s="492"/>
      <c r="T38" s="492"/>
      <c r="U38" s="341"/>
      <c r="V38" s="340"/>
      <c r="W38" s="340"/>
      <c r="X38" s="340"/>
      <c r="Y38" s="340"/>
      <c r="Z38" s="492"/>
      <c r="AA38" s="492"/>
      <c r="AB38" s="341"/>
      <c r="AC38" s="340"/>
      <c r="AD38" s="340"/>
      <c r="AE38" s="340"/>
      <c r="AF38" s="340"/>
      <c r="AG38" s="492"/>
      <c r="AH38" s="492"/>
      <c r="AI38" s="341"/>
      <c r="AJ38" s="340"/>
      <c r="AK38" s="340"/>
      <c r="AL38" s="340"/>
      <c r="AM38" s="340"/>
      <c r="AN38" s="492"/>
      <c r="AO38" s="492"/>
      <c r="AP38" s="726"/>
      <c r="AQ38" s="340"/>
      <c r="AR38" s="340"/>
      <c r="AS38" s="340"/>
      <c r="AT38" s="340"/>
      <c r="AU38" s="492"/>
      <c r="AV38" s="492"/>
      <c r="AW38" s="493"/>
      <c r="AX38" s="51"/>
      <c r="AY38" s="51"/>
      <c r="AZ38" s="51"/>
      <c r="BA38" s="51"/>
      <c r="BB38" s="52"/>
      <c r="BC38" s="338"/>
      <c r="BD38" s="2"/>
      <c r="BE38" s="2"/>
      <c r="BF38" s="2"/>
      <c r="BG38" s="2"/>
      <c r="BH38" s="2"/>
    </row>
    <row r="39" spans="1:60" s="1" customFormat="1" ht="15.75">
      <c r="A39" s="348" t="s">
        <v>43</v>
      </c>
      <c r="B39" s="345">
        <f t="shared" si="14"/>
        <v>0</v>
      </c>
      <c r="C39" s="344">
        <f>'Preise MOREHHKombi'!B35</f>
        <v>3</v>
      </c>
      <c r="D39" s="343">
        <f t="shared" si="6"/>
        <v>90</v>
      </c>
      <c r="E39" s="347">
        <f t="shared" si="1"/>
        <v>0</v>
      </c>
      <c r="F39" s="346">
        <f t="shared" si="2"/>
        <v>0</v>
      </c>
      <c r="G39" s="344">
        <f>'Preise MOREHHKombi'!D35</f>
        <v>2</v>
      </c>
      <c r="H39" s="343">
        <f t="shared" si="7"/>
        <v>60</v>
      </c>
      <c r="I39" s="342">
        <f t="shared" si="12"/>
        <v>0</v>
      </c>
      <c r="J39" s="345">
        <f t="shared" si="4"/>
        <v>0</v>
      </c>
      <c r="K39" s="344">
        <f>'Preise MOREHHKombi'!F35</f>
        <v>2</v>
      </c>
      <c r="L39" s="343">
        <f t="shared" si="8"/>
        <v>60</v>
      </c>
      <c r="M39" s="342">
        <f t="shared" si="13"/>
        <v>0</v>
      </c>
      <c r="N39" s="341"/>
      <c r="O39" s="340"/>
      <c r="P39" s="340"/>
      <c r="Q39" s="340"/>
      <c r="R39" s="340"/>
      <c r="S39" s="492"/>
      <c r="T39" s="492"/>
      <c r="U39" s="341"/>
      <c r="V39" s="340"/>
      <c r="W39" s="340"/>
      <c r="X39" s="340"/>
      <c r="Y39" s="340"/>
      <c r="Z39" s="492"/>
      <c r="AA39" s="492"/>
      <c r="AB39" s="341"/>
      <c r="AC39" s="340"/>
      <c r="AD39" s="340"/>
      <c r="AE39" s="340"/>
      <c r="AF39" s="340"/>
      <c r="AG39" s="492"/>
      <c r="AH39" s="492"/>
      <c r="AI39" s="341"/>
      <c r="AJ39" s="340"/>
      <c r="AK39" s="340"/>
      <c r="AL39" s="340"/>
      <c r="AM39" s="340"/>
      <c r="AN39" s="492"/>
      <c r="AO39" s="492"/>
      <c r="AP39" s="726"/>
      <c r="AQ39" s="340"/>
      <c r="AR39" s="340"/>
      <c r="AS39" s="340"/>
      <c r="AT39" s="340"/>
      <c r="AU39" s="492"/>
      <c r="AV39" s="492"/>
      <c r="AW39" s="493"/>
      <c r="AX39" s="51"/>
      <c r="AY39" s="51"/>
      <c r="AZ39" s="51"/>
      <c r="BA39" s="51"/>
      <c r="BB39" s="52"/>
      <c r="BC39" s="338"/>
      <c r="BD39" s="2"/>
      <c r="BE39" s="2"/>
      <c r="BF39" s="2"/>
      <c r="BG39" s="2"/>
      <c r="BH39" s="2"/>
    </row>
    <row r="40" spans="1:60" s="1" customFormat="1" ht="16.5" thickBot="1">
      <c r="A40" s="337" t="s">
        <v>44</v>
      </c>
      <c r="B40" s="334">
        <f t="shared" si="14"/>
        <v>0</v>
      </c>
      <c r="C40" s="333">
        <f>'Preise MOREHHKombi'!B36</f>
        <v>3</v>
      </c>
      <c r="D40" s="332">
        <f t="shared" si="6"/>
        <v>90</v>
      </c>
      <c r="E40" s="336">
        <f>B40*D40*(100+$G$10)/100</f>
        <v>0</v>
      </c>
      <c r="F40" s="335">
        <f t="shared" si="2"/>
        <v>0</v>
      </c>
      <c r="G40" s="333">
        <f>'Preise MOREHHKombi'!D36</f>
        <v>2</v>
      </c>
      <c r="H40" s="332">
        <f t="shared" si="7"/>
        <v>60</v>
      </c>
      <c r="I40" s="331">
        <f t="shared" si="12"/>
        <v>0</v>
      </c>
      <c r="J40" s="334">
        <f t="shared" si="4"/>
        <v>0</v>
      </c>
      <c r="K40" s="333">
        <f>'Preise MOREHHKombi'!F36</f>
        <v>2</v>
      </c>
      <c r="L40" s="332">
        <f t="shared" si="8"/>
        <v>60</v>
      </c>
      <c r="M40" s="331">
        <f t="shared" si="13"/>
        <v>0</v>
      </c>
      <c r="N40" s="330"/>
      <c r="O40" s="329"/>
      <c r="P40" s="329"/>
      <c r="Q40" s="329"/>
      <c r="R40" s="329"/>
      <c r="S40" s="730"/>
      <c r="T40" s="730"/>
      <c r="U40" s="330"/>
      <c r="V40" s="329"/>
      <c r="W40" s="329"/>
      <c r="X40" s="329"/>
      <c r="Y40" s="329"/>
      <c r="Z40" s="730"/>
      <c r="AA40" s="730"/>
      <c r="AB40" s="330"/>
      <c r="AC40" s="329"/>
      <c r="AD40" s="329"/>
      <c r="AE40" s="329"/>
      <c r="AF40" s="329"/>
      <c r="AG40" s="730"/>
      <c r="AH40" s="730"/>
      <c r="AI40" s="330"/>
      <c r="AJ40" s="329"/>
      <c r="AK40" s="329"/>
      <c r="AL40" s="329"/>
      <c r="AM40" s="329"/>
      <c r="AN40" s="730"/>
      <c r="AO40" s="730"/>
      <c r="AP40" s="727"/>
      <c r="AQ40" s="728"/>
      <c r="AR40" s="728"/>
      <c r="AS40" s="728"/>
      <c r="AT40" s="728"/>
      <c r="AU40" s="730"/>
      <c r="AV40" s="730"/>
      <c r="AW40" s="717"/>
      <c r="AX40" s="327"/>
      <c r="AY40" s="327"/>
      <c r="AZ40" s="327"/>
      <c r="BA40" s="327"/>
      <c r="BB40" s="326"/>
      <c r="BC40" s="325"/>
      <c r="BD40" s="2"/>
      <c r="BE40" s="2"/>
      <c r="BF40" s="2"/>
      <c r="BG40" s="2"/>
      <c r="BH40" s="2"/>
    </row>
    <row r="41" spans="1:60" s="312" customFormat="1" ht="16.5" thickBot="1">
      <c r="A41" s="324" t="s">
        <v>45</v>
      </c>
      <c r="B41" s="323">
        <f>SUM(B17:B40)</f>
        <v>0</v>
      </c>
      <c r="C41" s="322"/>
      <c r="D41" s="321"/>
      <c r="E41" s="320">
        <f>SUM(E17:E40)</f>
        <v>0</v>
      </c>
      <c r="F41" s="323">
        <f>SUM(F17:F40)</f>
        <v>0</v>
      </c>
      <c r="G41" s="322"/>
      <c r="H41" s="321"/>
      <c r="I41" s="320">
        <f>SUM(I17:I40)</f>
        <v>0</v>
      </c>
      <c r="J41" s="323">
        <f>SUM(J17:J40)</f>
        <v>0</v>
      </c>
      <c r="K41" s="322"/>
      <c r="L41" s="321"/>
      <c r="M41" s="320">
        <f t="shared" ref="M41:BC41" si="15">SUM(M17:M40)</f>
        <v>0</v>
      </c>
      <c r="N41" s="319">
        <f t="shared" si="15"/>
        <v>0</v>
      </c>
      <c r="O41" s="318">
        <f t="shared" si="15"/>
        <v>0</v>
      </c>
      <c r="P41" s="318">
        <f t="shared" si="15"/>
        <v>0</v>
      </c>
      <c r="Q41" s="318">
        <f t="shared" si="15"/>
        <v>0</v>
      </c>
      <c r="R41" s="318">
        <f t="shared" si="15"/>
        <v>0</v>
      </c>
      <c r="S41" s="318">
        <f t="shared" si="15"/>
        <v>0</v>
      </c>
      <c r="T41" s="317">
        <f t="shared" si="15"/>
        <v>0</v>
      </c>
      <c r="U41" s="319">
        <f t="shared" si="15"/>
        <v>0</v>
      </c>
      <c r="V41" s="318">
        <f t="shared" si="15"/>
        <v>0</v>
      </c>
      <c r="W41" s="318">
        <f t="shared" si="15"/>
        <v>0</v>
      </c>
      <c r="X41" s="318">
        <f t="shared" si="15"/>
        <v>0</v>
      </c>
      <c r="Y41" s="318">
        <f t="shared" si="15"/>
        <v>0</v>
      </c>
      <c r="Z41" s="318">
        <f t="shared" si="15"/>
        <v>0</v>
      </c>
      <c r="AA41" s="317">
        <f t="shared" si="15"/>
        <v>0</v>
      </c>
      <c r="AB41" s="319">
        <f t="shared" si="15"/>
        <v>0</v>
      </c>
      <c r="AC41" s="318">
        <f t="shared" si="15"/>
        <v>0</v>
      </c>
      <c r="AD41" s="318">
        <f t="shared" si="15"/>
        <v>0</v>
      </c>
      <c r="AE41" s="318">
        <f t="shared" si="15"/>
        <v>0</v>
      </c>
      <c r="AF41" s="318">
        <f t="shared" si="15"/>
        <v>0</v>
      </c>
      <c r="AG41" s="318">
        <f t="shared" si="15"/>
        <v>0</v>
      </c>
      <c r="AH41" s="317">
        <f t="shared" si="15"/>
        <v>0</v>
      </c>
      <c r="AI41" s="319">
        <f t="shared" si="15"/>
        <v>0</v>
      </c>
      <c r="AJ41" s="318">
        <f t="shared" si="15"/>
        <v>0</v>
      </c>
      <c r="AK41" s="318">
        <f t="shared" si="15"/>
        <v>0</v>
      </c>
      <c r="AL41" s="318">
        <f t="shared" si="15"/>
        <v>0</v>
      </c>
      <c r="AM41" s="318">
        <f t="shared" si="15"/>
        <v>0</v>
      </c>
      <c r="AN41" s="318">
        <f t="shared" si="15"/>
        <v>0</v>
      </c>
      <c r="AO41" s="317">
        <f t="shared" si="15"/>
        <v>0</v>
      </c>
      <c r="AP41" s="718">
        <f t="shared" si="15"/>
        <v>0</v>
      </c>
      <c r="AQ41" s="719">
        <f t="shared" si="15"/>
        <v>0</v>
      </c>
      <c r="AR41" s="719">
        <f t="shared" si="15"/>
        <v>0</v>
      </c>
      <c r="AS41" s="719">
        <f t="shared" si="15"/>
        <v>0</v>
      </c>
      <c r="AT41" s="719">
        <f t="shared" si="15"/>
        <v>0</v>
      </c>
      <c r="AU41" s="719">
        <f t="shared" si="15"/>
        <v>0</v>
      </c>
      <c r="AV41" s="317">
        <f t="shared" si="15"/>
        <v>0</v>
      </c>
      <c r="AW41" s="316">
        <f t="shared" si="15"/>
        <v>0</v>
      </c>
      <c r="AX41" s="315">
        <f t="shared" si="15"/>
        <v>0</v>
      </c>
      <c r="AY41" s="315">
        <f t="shared" si="15"/>
        <v>0</v>
      </c>
      <c r="AZ41" s="315">
        <f t="shared" si="15"/>
        <v>0</v>
      </c>
      <c r="BA41" s="315">
        <f t="shared" si="15"/>
        <v>0</v>
      </c>
      <c r="BB41" s="315">
        <f t="shared" si="15"/>
        <v>0</v>
      </c>
      <c r="BC41" s="314">
        <f t="shared" si="15"/>
        <v>0</v>
      </c>
      <c r="BD41" s="313"/>
      <c r="BE41" s="313"/>
      <c r="BF41" s="313"/>
      <c r="BG41" s="313"/>
      <c r="BH41" s="313"/>
    </row>
    <row r="42" spans="1:60" s="1" customFormat="1"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</row>
    <row r="43" spans="1:60" s="1" customFormat="1"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</row>
    <row r="44" spans="1:60" s="1" customFormat="1"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</row>
    <row r="45" spans="1:60" s="1" customForma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</row>
    <row r="46" spans="1:60" s="1" customFormat="1"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</row>
    <row r="47" spans="1:60" s="1" customFormat="1"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</row>
    <row r="48" spans="1:60" s="1" customFormat="1"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</row>
    <row r="49" spans="3:55" s="1" customFormat="1"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</row>
    <row r="50" spans="3:55" s="1" customFormat="1"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</row>
    <row r="51" spans="3:55" s="1" customFormat="1"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</row>
    <row r="52" spans="3:55" s="1" customFormat="1"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</row>
    <row r="53" spans="3:55" s="1" customFormat="1"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</row>
    <row r="54" spans="3:55" s="1" customFormat="1"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</row>
    <row r="55" spans="3:55" s="1" customFormat="1"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</row>
    <row r="56" spans="3:55" s="1" customFormat="1"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spans="3:55" s="1" customFormat="1"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3:55" s="1" customFormat="1"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3:55" s="1" customFormat="1"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</row>
    <row r="60" spans="3:55" s="1" customFormat="1"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spans="3:55" s="1" customFormat="1"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spans="3:55" s="1" customFormat="1"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spans="3:55" s="1" customFormat="1"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spans="3:55" s="1" customFormat="1"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spans="3:13" s="1" customFormat="1"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spans="3:13" s="1" customFormat="1"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spans="3:13" s="1" customFormat="1"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spans="3:13" s="1" customFormat="1"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spans="3:13" s="1" customFormat="1"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spans="3:13" s="1" customFormat="1"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3:13" s="1" customFormat="1"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spans="3:13" s="1" customFormat="1"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spans="3:13" s="1" customFormat="1"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spans="3:13" s="1" customFormat="1"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spans="3:13" s="1" customFormat="1"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spans="3:13" s="1" customFormat="1"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spans="3:13" s="1" customFormat="1"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</sheetData>
  <mergeCells count="29">
    <mergeCell ref="U14:AA14"/>
    <mergeCell ref="AB14:AH14"/>
    <mergeCell ref="AI14:AO14"/>
    <mergeCell ref="AP14:AV14"/>
    <mergeCell ref="AW14:BC14"/>
    <mergeCell ref="I12:K12"/>
    <mergeCell ref="M12:O12"/>
    <mergeCell ref="B14:E14"/>
    <mergeCell ref="F14:I14"/>
    <mergeCell ref="J14:M14"/>
    <mergeCell ref="N14:T14"/>
    <mergeCell ref="I9:K9"/>
    <mergeCell ref="M9:O9"/>
    <mergeCell ref="I10:K10"/>
    <mergeCell ref="M10:O10"/>
    <mergeCell ref="I11:K11"/>
    <mergeCell ref="M11:O11"/>
    <mergeCell ref="D2:G2"/>
    <mergeCell ref="I7:K7"/>
    <mergeCell ref="M7:O7"/>
    <mergeCell ref="I8:K8"/>
    <mergeCell ref="M8:O8"/>
    <mergeCell ref="E7:G7"/>
    <mergeCell ref="E8:G8"/>
    <mergeCell ref="A4:BH4"/>
    <mergeCell ref="I6:K6"/>
    <mergeCell ref="M6:O6"/>
    <mergeCell ref="AN6:AV6"/>
    <mergeCell ref="E6:G6"/>
  </mergeCells>
  <pageMargins left="0.70866141732283472" right="0.70866141732283472" top="0.78740157480314965" bottom="0.78740157480314965" header="0.31496062992125984" footer="0.31496062992125984"/>
  <pageSetup paperSize="9" scale="4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19"/>
  <sheetViews>
    <sheetView view="pageBreakPreview" zoomScale="85" zoomScaleNormal="85" zoomScaleSheetLayoutView="85" workbookViewId="0">
      <pane ySplit="12" topLeftCell="A56" activePane="bottomLeft" state="frozen"/>
      <selection activeCell="A4" sqref="A4:BH4"/>
      <selection pane="bottomLeft" sqref="A1:T78"/>
    </sheetView>
  </sheetViews>
  <sheetFormatPr baseColWidth="10" defaultColWidth="11.42578125" defaultRowHeight="15"/>
  <cols>
    <col min="1" max="1" width="20.85546875" style="1" bestFit="1" customWidth="1"/>
    <col min="2" max="2" width="18.7109375" style="99" customWidth="1"/>
    <col min="3" max="4" width="18.7109375" style="96" customWidth="1"/>
    <col min="5" max="5" width="15.85546875" style="96" customWidth="1"/>
    <col min="6" max="6" width="18.140625" style="96" customWidth="1"/>
    <col min="7" max="7" width="19" style="96" customWidth="1"/>
    <col min="8" max="8" width="18.5703125" style="96" customWidth="1"/>
    <col min="9" max="9" width="18.140625" style="96" customWidth="1"/>
    <col min="10" max="10" width="19.5703125" style="96" customWidth="1"/>
    <col min="11" max="11" width="15.85546875" style="96" customWidth="1"/>
    <col min="12" max="12" width="12.85546875" style="1" customWidth="1"/>
    <col min="13" max="13" width="20.42578125" style="1" customWidth="1"/>
    <col min="14" max="14" width="10.5703125" style="1" customWidth="1"/>
    <col min="15" max="15" width="3.85546875" style="1" customWidth="1"/>
    <col min="16" max="16" width="3.5703125" style="1" customWidth="1"/>
    <col min="17" max="17" width="2.42578125" style="1" customWidth="1"/>
    <col min="18" max="18" width="3.140625" style="1" customWidth="1"/>
    <col min="19" max="19" width="10.42578125" style="1" customWidth="1"/>
    <col min="20" max="16384" width="11.42578125" style="1"/>
  </cols>
  <sheetData>
    <row r="1" spans="1:61" ht="39" customHeight="1" thickBot="1">
      <c r="A1" s="533" t="s">
        <v>169</v>
      </c>
      <c r="B1" s="533"/>
      <c r="C1" s="533"/>
      <c r="D1" s="533"/>
      <c r="E1" s="859" t="s">
        <v>132</v>
      </c>
      <c r="F1" s="859"/>
      <c r="G1" s="859"/>
      <c r="H1" s="859"/>
      <c r="I1" s="859"/>
      <c r="J1" s="859"/>
      <c r="K1" s="859"/>
      <c r="L1" s="859"/>
      <c r="M1" s="859"/>
      <c r="N1" s="859"/>
      <c r="O1" s="533"/>
      <c r="P1" s="993" t="s">
        <v>161</v>
      </c>
      <c r="Q1" s="993"/>
      <c r="R1" s="993"/>
      <c r="S1" s="993"/>
      <c r="T1" s="99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2"/>
      <c r="BI1" s="532"/>
    </row>
    <row r="2" spans="1:61" ht="23.25">
      <c r="E2" s="563" t="s">
        <v>125</v>
      </c>
      <c r="F2" s="549"/>
      <c r="G2" s="549"/>
      <c r="H2" s="549"/>
      <c r="I2" s="549"/>
      <c r="J2" s="549"/>
      <c r="K2" s="549"/>
      <c r="L2" s="549"/>
      <c r="M2" s="549"/>
      <c r="N2" s="550"/>
      <c r="P2" s="565" t="s">
        <v>110</v>
      </c>
      <c r="Q2" s="565"/>
      <c r="R2" s="565"/>
      <c r="S2" s="565"/>
      <c r="T2" s="565" t="s">
        <v>113</v>
      </c>
    </row>
    <row r="3" spans="1:61" s="91" customFormat="1" ht="57.6" customHeight="1">
      <c r="A3" s="545"/>
      <c r="B3" s="955" t="s">
        <v>146</v>
      </c>
      <c r="C3" s="955"/>
      <c r="D3" s="956"/>
      <c r="E3" s="542" t="s">
        <v>129</v>
      </c>
      <c r="F3" s="543" t="s">
        <v>153</v>
      </c>
      <c r="G3" s="543" t="s">
        <v>126</v>
      </c>
      <c r="H3" s="548" t="s">
        <v>128</v>
      </c>
      <c r="I3" s="543" t="s">
        <v>127</v>
      </c>
      <c r="J3" s="543" t="s">
        <v>130</v>
      </c>
      <c r="K3" s="543" t="s">
        <v>131</v>
      </c>
      <c r="L3" s="543" t="s">
        <v>135</v>
      </c>
      <c r="M3" s="543" t="s">
        <v>133</v>
      </c>
      <c r="N3" s="544" t="s">
        <v>134</v>
      </c>
      <c r="P3" s="566">
        <v>1</v>
      </c>
      <c r="Q3" s="566" t="s">
        <v>112</v>
      </c>
      <c r="R3" s="566">
        <v>15</v>
      </c>
      <c r="S3" s="566" t="s">
        <v>111</v>
      </c>
      <c r="T3" s="566">
        <v>110</v>
      </c>
    </row>
    <row r="4" spans="1:61" s="2" customFormat="1" ht="15.75">
      <c r="B4" s="955"/>
      <c r="C4" s="955"/>
      <c r="D4" s="956"/>
      <c r="E4" s="541" t="s">
        <v>55</v>
      </c>
      <c r="F4" s="539" t="s">
        <v>79</v>
      </c>
      <c r="G4" s="539"/>
      <c r="H4" s="540">
        <f>IF($E$4=$J$11,VLOOKUP($F$4,$A$37:$K$78,11,0),IF($E$4=$H$11,VLOOKUP($F$4,$A$37:$K$78,9,0),IF($E$4=$F$11,VLOOKUP($F$4,$A$37:$K$78,7,0),IF($E$4=$D$11,VLOOKUP($F$4,$A$37:$K$78,5,0),IF($E$4=$B$11,VLOOKUP($F$4,$A$37:$K$78,3,0))))))</f>
        <v>1740</v>
      </c>
      <c r="I4" s="540">
        <f>H4*G4</f>
        <v>0</v>
      </c>
      <c r="J4" s="551"/>
      <c r="K4" s="551"/>
      <c r="L4" s="540">
        <f>(I4-(I4*J4))-(I4-(I4*J4))*K4</f>
        <v>0</v>
      </c>
      <c r="M4" s="556" t="e">
        <f>1-L4/I4</f>
        <v>#DIV/0!</v>
      </c>
      <c r="N4" s="557" t="e">
        <f>(1-M4)*100</f>
        <v>#DIV/0!</v>
      </c>
      <c r="P4" s="566">
        <v>16</v>
      </c>
      <c r="Q4" s="566" t="s">
        <v>112</v>
      </c>
      <c r="R4" s="566">
        <v>24</v>
      </c>
      <c r="S4" s="566" t="s">
        <v>111</v>
      </c>
      <c r="T4" s="566">
        <v>105</v>
      </c>
    </row>
    <row r="5" spans="1:61" s="2" customFormat="1" ht="15.75">
      <c r="B5" s="955"/>
      <c r="C5" s="955"/>
      <c r="D5" s="956"/>
      <c r="E5" s="541" t="s">
        <v>55</v>
      </c>
      <c r="F5" s="539" t="s">
        <v>79</v>
      </c>
      <c r="G5" s="539"/>
      <c r="H5" s="540">
        <f>IF($E$5=$J$11,VLOOKUP($F$5,$A$37:$K$78,11,0),IF($E$5=$H$11,VLOOKUP($F$5,$A$37:$K$78,9,0),IF($E$5=$F$11,VLOOKUP($F$5,$A$37:$K$78,7,0),IF($E$5=$D$11,VLOOKUP($F$5,$A$37:$K$78,5,0),IF($E$5=$B$11,VLOOKUP($F$5,$A$37:$K$78,3,0))))))</f>
        <v>1740</v>
      </c>
      <c r="I5" s="540">
        <f t="shared" ref="I5:I7" si="0">H5*G5</f>
        <v>0</v>
      </c>
      <c r="J5" s="551"/>
      <c r="K5" s="552"/>
      <c r="L5" s="540">
        <f t="shared" ref="L5:L7" si="1">(I5-(I5*J5))-(I5-(I5*J5))*K5</f>
        <v>0</v>
      </c>
      <c r="M5" s="556" t="e">
        <f t="shared" ref="M5:M7" si="2">1-L5/I5</f>
        <v>#DIV/0!</v>
      </c>
      <c r="N5" s="557" t="e">
        <f t="shared" ref="N5:N7" si="3">(1-M5)*100</f>
        <v>#DIV/0!</v>
      </c>
      <c r="P5" s="566">
        <v>25</v>
      </c>
      <c r="Q5" s="566" t="s">
        <v>112</v>
      </c>
      <c r="R5" s="566">
        <v>34</v>
      </c>
      <c r="S5" s="566" t="s">
        <v>111</v>
      </c>
      <c r="T5" s="566">
        <v>100</v>
      </c>
    </row>
    <row r="6" spans="1:61" s="2" customFormat="1" ht="16.5" thickBot="1">
      <c r="B6" s="846"/>
      <c r="C6" s="846"/>
      <c r="D6" s="847"/>
      <c r="E6" s="541" t="s">
        <v>55</v>
      </c>
      <c r="F6" s="539" t="s">
        <v>79</v>
      </c>
      <c r="G6" s="539"/>
      <c r="H6" s="540">
        <f>IF($E$6=$J$11,VLOOKUP($F$6,$A$37:$K$78,11,0),IF($E$6=$H$11,VLOOKUP($F$6,$A$37:$K$78,9,0),IF($E$6=$F$11,VLOOKUP($F$6,$A$37:$K$78,7,0),IF($E$6=$D$11,VLOOKUP($F$6,$A$37:$K$78,5,0),IF($E$6=$B$11,VLOOKUP($F$6,$A$37:$K$78,3,0))))))</f>
        <v>1740</v>
      </c>
      <c r="I6" s="540">
        <f t="shared" ref="I6" si="4">H6*G6</f>
        <v>0</v>
      </c>
      <c r="J6" s="551"/>
      <c r="K6" s="552"/>
      <c r="L6" s="540">
        <f t="shared" ref="L6" si="5">(I6-(I6*J6))-(I6-(I6*J6))*K6</f>
        <v>0</v>
      </c>
      <c r="M6" s="556" t="e">
        <f t="shared" ref="M6" si="6">1-L6/I6</f>
        <v>#DIV/0!</v>
      </c>
      <c r="N6" s="557" t="e">
        <f t="shared" ref="N6" si="7">(1-M6)*100</f>
        <v>#DIV/0!</v>
      </c>
      <c r="P6" s="566">
        <v>35</v>
      </c>
      <c r="Q6" s="566" t="s">
        <v>112</v>
      </c>
      <c r="R6" s="566">
        <v>99</v>
      </c>
      <c r="S6" s="566" t="s">
        <v>111</v>
      </c>
      <c r="T6" s="566">
        <v>95</v>
      </c>
    </row>
    <row r="7" spans="1:61" s="2" customFormat="1" ht="18.75" thickBot="1">
      <c r="A7" s="92" t="s">
        <v>53</v>
      </c>
      <c r="B7" s="97"/>
      <c r="C7" s="710">
        <v>30</v>
      </c>
      <c r="D7" s="95"/>
      <c r="E7" s="848" t="s">
        <v>55</v>
      </c>
      <c r="F7" s="849" t="s">
        <v>79</v>
      </c>
      <c r="G7" s="849"/>
      <c r="H7" s="850">
        <f>IF($E$7=$J$11,VLOOKUP($F$7,$A$37:$K$78,11,0),IF($E$7=$H$11,VLOOKUP($F$7,$A$37:$K$78,9,0),IF($E$7=$F$11,VLOOKUP($F$7,$A$37:$K$78,7,0),IF($E$7=$D$11,VLOOKUP($F$7,$A$37:$K$78,5,0),IF($E$7=$B$11,VLOOKUP($F$7,$A$37:$K$78,3,0))))))</f>
        <v>1740</v>
      </c>
      <c r="I7" s="850">
        <f t="shared" si="0"/>
        <v>0</v>
      </c>
      <c r="J7" s="851"/>
      <c r="K7" s="852"/>
      <c r="L7" s="850">
        <f t="shared" si="1"/>
        <v>0</v>
      </c>
      <c r="M7" s="853" t="e">
        <f t="shared" si="2"/>
        <v>#DIV/0!</v>
      </c>
      <c r="N7" s="854" t="e">
        <f t="shared" si="3"/>
        <v>#DIV/0!</v>
      </c>
    </row>
    <row r="8" spans="1:61" s="2" customFormat="1" ht="18">
      <c r="A8" s="92"/>
      <c r="B8" s="97"/>
      <c r="C8" s="561"/>
      <c r="D8" s="95"/>
      <c r="E8" s="182"/>
      <c r="F8" s="182"/>
      <c r="G8" s="182"/>
      <c r="H8" s="554"/>
      <c r="I8" s="554"/>
      <c r="J8" s="558"/>
      <c r="K8" s="559"/>
      <c r="L8" s="554">
        <f>SUM(L4:L7)</f>
        <v>0</v>
      </c>
      <c r="M8" s="555"/>
      <c r="N8" s="560"/>
      <c r="O8" s="147"/>
      <c r="Q8" s="147"/>
    </row>
    <row r="9" spans="1:61" s="2" customFormat="1" ht="18">
      <c r="A9" s="92" t="s">
        <v>164</v>
      </c>
      <c r="B9" s="97"/>
      <c r="C9" s="561"/>
      <c r="D9" s="95"/>
      <c r="E9" s="182"/>
      <c r="F9" s="182"/>
      <c r="G9" s="182"/>
      <c r="H9" s="554"/>
      <c r="I9" s="554"/>
      <c r="J9" s="558"/>
      <c r="K9" s="559"/>
      <c r="L9" s="554"/>
      <c r="M9" s="147"/>
      <c r="N9" s="147"/>
      <c r="O9" s="147"/>
      <c r="P9" s="147"/>
      <c r="Q9" s="147"/>
    </row>
    <row r="10" spans="1:61" s="2" customFormat="1" ht="18">
      <c r="A10" s="994" t="s">
        <v>54</v>
      </c>
      <c r="B10" s="994"/>
      <c r="C10" s="994"/>
      <c r="D10" s="994"/>
      <c r="E10" s="994"/>
      <c r="F10" s="994"/>
      <c r="G10" s="994"/>
      <c r="H10" s="994"/>
      <c r="I10" s="994"/>
      <c r="J10" s="994"/>
      <c r="K10" s="994"/>
    </row>
    <row r="11" spans="1:61" s="3" customFormat="1" ht="19.899999999999999" customHeight="1">
      <c r="A11" s="655"/>
      <c r="B11" s="995" t="s">
        <v>55</v>
      </c>
      <c r="C11" s="995"/>
      <c r="D11" s="996" t="s">
        <v>0</v>
      </c>
      <c r="E11" s="996"/>
      <c r="F11" s="996" t="s">
        <v>21</v>
      </c>
      <c r="G11" s="996"/>
      <c r="H11" s="996" t="s">
        <v>56</v>
      </c>
      <c r="I11" s="996"/>
      <c r="J11" s="996" t="s">
        <v>57</v>
      </c>
      <c r="K11" s="996"/>
    </row>
    <row r="12" spans="1:61" s="2" customFormat="1" ht="21.6" customHeight="1">
      <c r="A12" s="656" t="s">
        <v>58</v>
      </c>
      <c r="B12" s="657" t="s">
        <v>121</v>
      </c>
      <c r="C12" s="657" t="s">
        <v>59</v>
      </c>
      <c r="D12" s="657" t="s">
        <v>121</v>
      </c>
      <c r="E12" s="657" t="s">
        <v>59</v>
      </c>
      <c r="F12" s="657" t="s">
        <v>121</v>
      </c>
      <c r="G12" s="657" t="s">
        <v>59</v>
      </c>
      <c r="H12" s="657" t="s">
        <v>121</v>
      </c>
      <c r="I12" s="657" t="s">
        <v>59</v>
      </c>
      <c r="J12" s="657" t="s">
        <v>121</v>
      </c>
      <c r="K12" s="657" t="s">
        <v>59</v>
      </c>
    </row>
    <row r="13" spans="1:61" s="2" customFormat="1" ht="18">
      <c r="A13" s="658" t="s">
        <v>103</v>
      </c>
      <c r="B13" s="659"/>
      <c r="C13" s="660">
        <f t="shared" ref="C13:C38" si="8">IF(AND($C$7&gt;=$P$5,$C$7&lt;=$R$5),B13*$C$7*$T$5/100,IF(AND($C$7&gt;=$P$4,$C$7&lt;=$R$4),B13*$C$7*$T$4/100,IF(AND($C$7&gt;=$P$3,$C$7&lt;=$R$3),B13*$C$7*$T$3/100,IF($C$7&gt;=$P$6,B13*$C$7*$T$6/100))))</f>
        <v>0</v>
      </c>
      <c r="D13" s="660"/>
      <c r="E13" s="660">
        <f t="shared" ref="E13:E38" si="9">IF(AND($C$7&gt;=$P$5,$C$7&lt;=$R$5),D13*$C$7*$T$5/100,IF(AND($C$7&gt;=$P$4,$C$7&lt;=$R$4),D13*$C$7*$T$4/100,IF(AND($C$7&gt;=$P$3,$C$7&lt;=$R$3),D13*$C$7*$T$3/100,IF($C$7&gt;=$P$6,D13*$C$7*$T$6/100))))</f>
        <v>0</v>
      </c>
      <c r="F13" s="660"/>
      <c r="G13" s="660">
        <f t="shared" ref="G13:G38" si="10">IF(AND($C$7&gt;=$P$5,$C$7&lt;=$R$5),F13*$C$7*$T$5/100,IF(AND($C$7&gt;=$P$4,$C$7&lt;=$R$4),F13*$C$7*$T$4/100,IF(AND($C$7&gt;=$P$3,$C$7&lt;=$R$3),F13*$C$7*$T$3/100,IF($C$7&gt;=$P$6,F13*$C$7*$T$6/100))))</f>
        <v>0</v>
      </c>
      <c r="H13" s="660">
        <f t="shared" ref="H13:H36" si="11">((B13*5)+D13)/6</f>
        <v>0</v>
      </c>
      <c r="I13" s="660">
        <f t="shared" ref="I13:I36" si="12">IF(AND($C$7&gt;=$P$5,$C$7&lt;=$R$5),H13*$C$7*$T$5/100,IF(AND($C$7&gt;=$P$4,$C$7&lt;=$R$4),H13*$C$7*$T$4/100,IF(AND($C$7&gt;=$P$3,$C$7&lt;=$R$3),H13*$C$7*$T$3/100,IF($C$7&gt;=$P$6,H13*$C$7*$T$6/100))))</f>
        <v>0</v>
      </c>
      <c r="J13" s="660">
        <f t="shared" ref="J13:J36" si="13">((B13*5)+D13+F13)/7</f>
        <v>0</v>
      </c>
      <c r="K13" s="660">
        <f t="shared" ref="K13:K36" si="14">IF(AND($C$7&gt;=$P$5,$C$7&lt;=$R$5),J13*$C$7*$T$5/100,IF(AND($C$7&gt;=$P$4,$C$7&lt;=$R$4),J13*$C$7*$T$4/100,IF(AND($C$7&gt;=$P$3,$C$7&lt;=$R$3),J13*$C$7*$T$3/100,IF($C$7&gt;=$P$6,J13*$C$7*$T$6/100))))</f>
        <v>0</v>
      </c>
    </row>
    <row r="14" spans="1:61" s="2" customFormat="1" ht="18">
      <c r="A14" s="658" t="s">
        <v>107</v>
      </c>
      <c r="B14" s="659"/>
      <c r="C14" s="660">
        <f t="shared" si="8"/>
        <v>0</v>
      </c>
      <c r="D14" s="660"/>
      <c r="E14" s="660">
        <f t="shared" si="9"/>
        <v>0</v>
      </c>
      <c r="F14" s="660"/>
      <c r="G14" s="660">
        <f t="shared" si="10"/>
        <v>0</v>
      </c>
      <c r="H14" s="660">
        <f t="shared" si="11"/>
        <v>0</v>
      </c>
      <c r="I14" s="660">
        <f t="shared" si="12"/>
        <v>0</v>
      </c>
      <c r="J14" s="660">
        <f t="shared" si="13"/>
        <v>0</v>
      </c>
      <c r="K14" s="660">
        <f t="shared" si="14"/>
        <v>0</v>
      </c>
    </row>
    <row r="15" spans="1:61" s="2" customFormat="1" ht="18">
      <c r="A15" s="658" t="s">
        <v>106</v>
      </c>
      <c r="B15" s="659"/>
      <c r="C15" s="660">
        <f t="shared" si="8"/>
        <v>0</v>
      </c>
      <c r="D15" s="660"/>
      <c r="E15" s="660">
        <f t="shared" si="9"/>
        <v>0</v>
      </c>
      <c r="F15" s="660"/>
      <c r="G15" s="660">
        <f t="shared" si="10"/>
        <v>0</v>
      </c>
      <c r="H15" s="660">
        <f t="shared" si="11"/>
        <v>0</v>
      </c>
      <c r="I15" s="660">
        <f t="shared" si="12"/>
        <v>0</v>
      </c>
      <c r="J15" s="660">
        <f t="shared" si="13"/>
        <v>0</v>
      </c>
      <c r="K15" s="660">
        <f t="shared" si="14"/>
        <v>0</v>
      </c>
    </row>
    <row r="16" spans="1:61" s="2" customFormat="1" ht="18">
      <c r="A16" s="658" t="s">
        <v>105</v>
      </c>
      <c r="B16" s="659"/>
      <c r="C16" s="660">
        <f t="shared" si="8"/>
        <v>0</v>
      </c>
      <c r="D16" s="660"/>
      <c r="E16" s="660">
        <f t="shared" si="9"/>
        <v>0</v>
      </c>
      <c r="F16" s="660"/>
      <c r="G16" s="660">
        <f t="shared" si="10"/>
        <v>0</v>
      </c>
      <c r="H16" s="660">
        <f t="shared" si="11"/>
        <v>0</v>
      </c>
      <c r="I16" s="660">
        <f t="shared" si="12"/>
        <v>0</v>
      </c>
      <c r="J16" s="660">
        <f t="shared" si="13"/>
        <v>0</v>
      </c>
      <c r="K16" s="660">
        <f t="shared" si="14"/>
        <v>0</v>
      </c>
    </row>
    <row r="17" spans="1:38" s="2" customFormat="1" ht="18">
      <c r="A17" s="658" t="s">
        <v>104</v>
      </c>
      <c r="B17" s="659"/>
      <c r="C17" s="660">
        <f t="shared" si="8"/>
        <v>0</v>
      </c>
      <c r="D17" s="660"/>
      <c r="E17" s="660">
        <f t="shared" si="9"/>
        <v>0</v>
      </c>
      <c r="F17" s="660"/>
      <c r="G17" s="660">
        <f t="shared" si="10"/>
        <v>0</v>
      </c>
      <c r="H17" s="660">
        <f t="shared" si="11"/>
        <v>0</v>
      </c>
      <c r="I17" s="660">
        <f t="shared" si="12"/>
        <v>0</v>
      </c>
      <c r="J17" s="660">
        <f t="shared" si="13"/>
        <v>0</v>
      </c>
      <c r="K17" s="660">
        <f t="shared" si="14"/>
        <v>0</v>
      </c>
    </row>
    <row r="18" spans="1:38" s="2" customFormat="1" ht="18">
      <c r="A18" s="658" t="s">
        <v>60</v>
      </c>
      <c r="B18" s="659">
        <v>21</v>
      </c>
      <c r="C18" s="660">
        <f t="shared" si="8"/>
        <v>630</v>
      </c>
      <c r="D18" s="660">
        <v>5</v>
      </c>
      <c r="E18" s="660">
        <f t="shared" si="9"/>
        <v>150</v>
      </c>
      <c r="F18" s="660">
        <v>4.5</v>
      </c>
      <c r="G18" s="660">
        <f t="shared" si="10"/>
        <v>135</v>
      </c>
      <c r="H18" s="660">
        <f t="shared" si="11"/>
        <v>18.333333333333332</v>
      </c>
      <c r="I18" s="660">
        <f t="shared" si="12"/>
        <v>550</v>
      </c>
      <c r="J18" s="660">
        <f t="shared" si="13"/>
        <v>16.357142857142858</v>
      </c>
      <c r="K18" s="660">
        <f t="shared" si="14"/>
        <v>490.71428571428572</v>
      </c>
    </row>
    <row r="19" spans="1:38" s="2" customFormat="1" ht="18">
      <c r="A19" s="658" t="s">
        <v>61</v>
      </c>
      <c r="B19" s="659">
        <v>72</v>
      </c>
      <c r="C19" s="660">
        <f t="shared" si="8"/>
        <v>2160</v>
      </c>
      <c r="D19" s="660">
        <v>18</v>
      </c>
      <c r="E19" s="660">
        <f t="shared" si="9"/>
        <v>540</v>
      </c>
      <c r="F19" s="660">
        <v>8</v>
      </c>
      <c r="G19" s="660">
        <f t="shared" si="10"/>
        <v>240</v>
      </c>
      <c r="H19" s="660">
        <f t="shared" si="11"/>
        <v>63</v>
      </c>
      <c r="I19" s="660">
        <f t="shared" si="12"/>
        <v>1890</v>
      </c>
      <c r="J19" s="660">
        <f t="shared" si="13"/>
        <v>55.142857142857146</v>
      </c>
      <c r="K19" s="660">
        <f t="shared" si="14"/>
        <v>1654.2857142857144</v>
      </c>
    </row>
    <row r="20" spans="1:38" s="2" customFormat="1" ht="18">
      <c r="A20" s="658" t="s">
        <v>62</v>
      </c>
      <c r="B20" s="659">
        <v>103</v>
      </c>
      <c r="C20" s="660">
        <f t="shared" si="8"/>
        <v>3090</v>
      </c>
      <c r="D20" s="660">
        <v>55</v>
      </c>
      <c r="E20" s="660">
        <f t="shared" si="9"/>
        <v>1650</v>
      </c>
      <c r="F20" s="660">
        <v>16</v>
      </c>
      <c r="G20" s="660">
        <f t="shared" si="10"/>
        <v>480</v>
      </c>
      <c r="H20" s="660">
        <f t="shared" si="11"/>
        <v>95</v>
      </c>
      <c r="I20" s="660">
        <f t="shared" si="12"/>
        <v>2850</v>
      </c>
      <c r="J20" s="660">
        <f t="shared" si="13"/>
        <v>83.714285714285708</v>
      </c>
      <c r="K20" s="660">
        <f t="shared" si="14"/>
        <v>2511.4285714285711</v>
      </c>
    </row>
    <row r="21" spans="1:38" s="2" customFormat="1" ht="18">
      <c r="A21" s="658" t="s">
        <v>63</v>
      </c>
      <c r="B21" s="659">
        <v>87</v>
      </c>
      <c r="C21" s="660">
        <f t="shared" si="8"/>
        <v>2610</v>
      </c>
      <c r="D21" s="660">
        <v>72</v>
      </c>
      <c r="E21" s="660">
        <f t="shared" si="9"/>
        <v>2160</v>
      </c>
      <c r="F21" s="660">
        <v>49</v>
      </c>
      <c r="G21" s="660">
        <f t="shared" si="10"/>
        <v>1470</v>
      </c>
      <c r="H21" s="660">
        <f t="shared" si="11"/>
        <v>84.5</v>
      </c>
      <c r="I21" s="660">
        <f t="shared" si="12"/>
        <v>2535</v>
      </c>
      <c r="J21" s="660">
        <f t="shared" si="13"/>
        <v>79.428571428571431</v>
      </c>
      <c r="K21" s="660">
        <f t="shared" si="14"/>
        <v>2382.8571428571431</v>
      </c>
    </row>
    <row r="22" spans="1:38" s="2" customFormat="1" ht="18">
      <c r="A22" s="658" t="s">
        <v>64</v>
      </c>
      <c r="B22" s="659">
        <v>72</v>
      </c>
      <c r="C22" s="660">
        <f t="shared" si="8"/>
        <v>2160</v>
      </c>
      <c r="D22" s="660">
        <v>95</v>
      </c>
      <c r="E22" s="660">
        <f t="shared" si="9"/>
        <v>2850</v>
      </c>
      <c r="F22" s="660">
        <v>83</v>
      </c>
      <c r="G22" s="660">
        <f t="shared" si="10"/>
        <v>2490</v>
      </c>
      <c r="H22" s="660">
        <f t="shared" si="11"/>
        <v>75.833333333333329</v>
      </c>
      <c r="I22" s="660">
        <f t="shared" si="12"/>
        <v>2275</v>
      </c>
      <c r="J22" s="660">
        <f t="shared" si="13"/>
        <v>76.857142857142861</v>
      </c>
      <c r="K22" s="660">
        <f t="shared" si="14"/>
        <v>2305.7142857142858</v>
      </c>
    </row>
    <row r="23" spans="1:38" s="2" customFormat="1" ht="18">
      <c r="A23" s="658" t="s">
        <v>65</v>
      </c>
      <c r="B23" s="659">
        <v>48</v>
      </c>
      <c r="C23" s="660">
        <f t="shared" si="8"/>
        <v>1440</v>
      </c>
      <c r="D23" s="660">
        <v>101</v>
      </c>
      <c r="E23" s="660">
        <f t="shared" si="9"/>
        <v>3030</v>
      </c>
      <c r="F23" s="660">
        <v>59</v>
      </c>
      <c r="G23" s="660">
        <f t="shared" si="10"/>
        <v>1770</v>
      </c>
      <c r="H23" s="660">
        <f t="shared" si="11"/>
        <v>56.833333333333336</v>
      </c>
      <c r="I23" s="660">
        <f t="shared" si="12"/>
        <v>1705</v>
      </c>
      <c r="J23" s="660">
        <f t="shared" si="13"/>
        <v>57.142857142857146</v>
      </c>
      <c r="K23" s="660">
        <f t="shared" si="14"/>
        <v>1714.2857142857144</v>
      </c>
    </row>
    <row r="24" spans="1:38" s="2" customFormat="1" ht="18">
      <c r="A24" s="658" t="s">
        <v>66</v>
      </c>
      <c r="B24" s="659">
        <v>45</v>
      </c>
      <c r="C24" s="660">
        <f t="shared" si="8"/>
        <v>1350</v>
      </c>
      <c r="D24" s="660">
        <v>59</v>
      </c>
      <c r="E24" s="660">
        <f t="shared" si="9"/>
        <v>1770</v>
      </c>
      <c r="F24" s="660">
        <v>47</v>
      </c>
      <c r="G24" s="660">
        <f t="shared" si="10"/>
        <v>1410</v>
      </c>
      <c r="H24" s="660">
        <f t="shared" si="11"/>
        <v>47.333333333333336</v>
      </c>
      <c r="I24" s="660">
        <f t="shared" si="12"/>
        <v>1420</v>
      </c>
      <c r="J24" s="660">
        <f t="shared" si="13"/>
        <v>47.285714285714285</v>
      </c>
      <c r="K24" s="660">
        <f t="shared" si="14"/>
        <v>1418.5714285714284</v>
      </c>
    </row>
    <row r="25" spans="1:38" s="2" customFormat="1" ht="18">
      <c r="A25" s="658" t="s">
        <v>67</v>
      </c>
      <c r="B25" s="659">
        <v>45</v>
      </c>
      <c r="C25" s="660">
        <f t="shared" si="8"/>
        <v>1350</v>
      </c>
      <c r="D25" s="660">
        <v>54</v>
      </c>
      <c r="E25" s="660">
        <f t="shared" si="9"/>
        <v>1620</v>
      </c>
      <c r="F25" s="660">
        <v>36</v>
      </c>
      <c r="G25" s="660">
        <f t="shared" si="10"/>
        <v>1080</v>
      </c>
      <c r="H25" s="660">
        <f t="shared" si="11"/>
        <v>46.5</v>
      </c>
      <c r="I25" s="660">
        <f t="shared" si="12"/>
        <v>1395</v>
      </c>
      <c r="J25" s="660">
        <f t="shared" si="13"/>
        <v>45</v>
      </c>
      <c r="K25" s="660">
        <f t="shared" si="14"/>
        <v>1350</v>
      </c>
    </row>
    <row r="26" spans="1:38" s="2" customFormat="1" ht="18">
      <c r="A26" s="658" t="s">
        <v>68</v>
      </c>
      <c r="B26" s="659">
        <v>43</v>
      </c>
      <c r="C26" s="660">
        <f t="shared" si="8"/>
        <v>1290</v>
      </c>
      <c r="D26" s="660">
        <v>40</v>
      </c>
      <c r="E26" s="660">
        <f t="shared" si="9"/>
        <v>1200</v>
      </c>
      <c r="F26" s="660">
        <v>30</v>
      </c>
      <c r="G26" s="660">
        <f t="shared" si="10"/>
        <v>900</v>
      </c>
      <c r="H26" s="660">
        <f t="shared" si="11"/>
        <v>42.5</v>
      </c>
      <c r="I26" s="660">
        <f t="shared" si="12"/>
        <v>1275</v>
      </c>
      <c r="J26" s="660">
        <f t="shared" si="13"/>
        <v>40.714285714285715</v>
      </c>
      <c r="K26" s="660">
        <f t="shared" si="14"/>
        <v>1221.4285714285716</v>
      </c>
    </row>
    <row r="27" spans="1:38" s="2" customFormat="1" ht="18">
      <c r="A27" s="658" t="s">
        <v>69</v>
      </c>
      <c r="B27" s="659">
        <v>43</v>
      </c>
      <c r="C27" s="660">
        <f t="shared" si="8"/>
        <v>1290</v>
      </c>
      <c r="D27" s="660">
        <v>38</v>
      </c>
      <c r="E27" s="660">
        <f t="shared" si="9"/>
        <v>1140</v>
      </c>
      <c r="F27" s="660">
        <v>29</v>
      </c>
      <c r="G27" s="660">
        <f t="shared" si="10"/>
        <v>870</v>
      </c>
      <c r="H27" s="660">
        <f t="shared" si="11"/>
        <v>42.166666666666664</v>
      </c>
      <c r="I27" s="660">
        <f t="shared" si="12"/>
        <v>1265</v>
      </c>
      <c r="J27" s="660">
        <f t="shared" si="13"/>
        <v>40.285714285714285</v>
      </c>
      <c r="K27" s="660">
        <f t="shared" si="14"/>
        <v>1208.5714285714284</v>
      </c>
    </row>
    <row r="28" spans="1:38" s="2" customFormat="1" ht="18">
      <c r="A28" s="658" t="s">
        <v>70</v>
      </c>
      <c r="B28" s="659">
        <v>43</v>
      </c>
      <c r="C28" s="660">
        <f t="shared" si="8"/>
        <v>1290</v>
      </c>
      <c r="D28" s="660">
        <v>34</v>
      </c>
      <c r="E28" s="660">
        <f t="shared" si="9"/>
        <v>1020</v>
      </c>
      <c r="F28" s="660">
        <v>26</v>
      </c>
      <c r="G28" s="660">
        <f t="shared" si="10"/>
        <v>780</v>
      </c>
      <c r="H28" s="660">
        <f t="shared" si="11"/>
        <v>41.5</v>
      </c>
      <c r="I28" s="660">
        <f t="shared" si="12"/>
        <v>1245</v>
      </c>
      <c r="J28" s="660">
        <f t="shared" si="13"/>
        <v>39.285714285714285</v>
      </c>
      <c r="K28" s="660">
        <f t="shared" si="14"/>
        <v>1178.5714285714284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spans="1:38" s="2" customFormat="1" ht="18">
      <c r="A29" s="658" t="s">
        <v>71</v>
      </c>
      <c r="B29" s="659">
        <v>50</v>
      </c>
      <c r="C29" s="660">
        <f t="shared" si="8"/>
        <v>1500</v>
      </c>
      <c r="D29" s="660">
        <v>31</v>
      </c>
      <c r="E29" s="660">
        <f t="shared" si="9"/>
        <v>930</v>
      </c>
      <c r="F29" s="660">
        <v>26</v>
      </c>
      <c r="G29" s="660">
        <f t="shared" si="10"/>
        <v>780</v>
      </c>
      <c r="H29" s="660">
        <f t="shared" si="11"/>
        <v>46.833333333333336</v>
      </c>
      <c r="I29" s="660">
        <f t="shared" si="12"/>
        <v>1405</v>
      </c>
      <c r="J29" s="660">
        <f t="shared" si="13"/>
        <v>43.857142857142854</v>
      </c>
      <c r="K29" s="660">
        <f t="shared" si="14"/>
        <v>1315.7142857142856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spans="1:38" s="2" customFormat="1" ht="18">
      <c r="A30" s="658" t="s">
        <v>72</v>
      </c>
      <c r="B30" s="659">
        <v>45</v>
      </c>
      <c r="C30" s="660">
        <f t="shared" si="8"/>
        <v>1350</v>
      </c>
      <c r="D30" s="660">
        <v>27</v>
      </c>
      <c r="E30" s="660">
        <f t="shared" si="9"/>
        <v>810</v>
      </c>
      <c r="F30" s="660">
        <v>23</v>
      </c>
      <c r="G30" s="660">
        <f t="shared" si="10"/>
        <v>690</v>
      </c>
      <c r="H30" s="660">
        <f t="shared" si="11"/>
        <v>42</v>
      </c>
      <c r="I30" s="660">
        <f t="shared" si="12"/>
        <v>1260</v>
      </c>
      <c r="J30" s="660">
        <f t="shared" si="13"/>
        <v>39.285714285714285</v>
      </c>
      <c r="K30" s="660">
        <f t="shared" si="14"/>
        <v>1178.5714285714284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1:38" s="2" customFormat="1" ht="18">
      <c r="A31" s="658" t="s">
        <v>73</v>
      </c>
      <c r="B31" s="659">
        <v>38</v>
      </c>
      <c r="C31" s="660">
        <f t="shared" si="8"/>
        <v>1140</v>
      </c>
      <c r="D31" s="660">
        <v>16</v>
      </c>
      <c r="E31" s="660">
        <f t="shared" si="9"/>
        <v>480</v>
      </c>
      <c r="F31" s="660">
        <v>13</v>
      </c>
      <c r="G31" s="660">
        <f t="shared" si="10"/>
        <v>390</v>
      </c>
      <c r="H31" s="660">
        <f t="shared" si="11"/>
        <v>34.333333333333336</v>
      </c>
      <c r="I31" s="660">
        <f t="shared" si="12"/>
        <v>1030</v>
      </c>
      <c r="J31" s="660">
        <f t="shared" si="13"/>
        <v>31.285714285714285</v>
      </c>
      <c r="K31" s="660">
        <f t="shared" si="14"/>
        <v>938.57142857142856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s="2" customFormat="1" ht="18">
      <c r="A32" s="658" t="s">
        <v>74</v>
      </c>
      <c r="B32" s="659"/>
      <c r="C32" s="660">
        <f t="shared" si="8"/>
        <v>0</v>
      </c>
      <c r="D32" s="660"/>
      <c r="E32" s="660">
        <f t="shared" si="9"/>
        <v>0</v>
      </c>
      <c r="F32" s="660"/>
      <c r="G32" s="660">
        <f t="shared" si="10"/>
        <v>0</v>
      </c>
      <c r="H32" s="660">
        <f t="shared" si="11"/>
        <v>0</v>
      </c>
      <c r="I32" s="660">
        <f t="shared" si="12"/>
        <v>0</v>
      </c>
      <c r="J32" s="660">
        <f t="shared" si="13"/>
        <v>0</v>
      </c>
      <c r="K32" s="660">
        <f t="shared" si="14"/>
        <v>0</v>
      </c>
      <c r="O32" s="22"/>
      <c r="P32" s="22"/>
      <c r="Q32" s="167"/>
      <c r="R32" s="166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s="2" customFormat="1" ht="18">
      <c r="A33" s="658" t="s">
        <v>75</v>
      </c>
      <c r="B33" s="659"/>
      <c r="C33" s="660">
        <f t="shared" si="8"/>
        <v>0</v>
      </c>
      <c r="D33" s="660"/>
      <c r="E33" s="660">
        <f t="shared" si="9"/>
        <v>0</v>
      </c>
      <c r="F33" s="660"/>
      <c r="G33" s="660">
        <f t="shared" si="10"/>
        <v>0</v>
      </c>
      <c r="H33" s="660">
        <f t="shared" si="11"/>
        <v>0</v>
      </c>
      <c r="I33" s="660">
        <f t="shared" si="12"/>
        <v>0</v>
      </c>
      <c r="J33" s="660">
        <f t="shared" si="13"/>
        <v>0</v>
      </c>
      <c r="K33" s="660">
        <f t="shared" si="14"/>
        <v>0</v>
      </c>
      <c r="O33" s="22"/>
      <c r="P33" s="22"/>
      <c r="Q33" s="167"/>
      <c r="R33" s="166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s="2" customFormat="1" ht="18">
      <c r="A34" s="658" t="s">
        <v>76</v>
      </c>
      <c r="B34" s="659"/>
      <c r="C34" s="660">
        <f t="shared" si="8"/>
        <v>0</v>
      </c>
      <c r="D34" s="660"/>
      <c r="E34" s="660">
        <f t="shared" si="9"/>
        <v>0</v>
      </c>
      <c r="F34" s="660"/>
      <c r="G34" s="660">
        <f t="shared" si="10"/>
        <v>0</v>
      </c>
      <c r="H34" s="660">
        <f t="shared" si="11"/>
        <v>0</v>
      </c>
      <c r="I34" s="660">
        <f t="shared" si="12"/>
        <v>0</v>
      </c>
      <c r="J34" s="660">
        <f t="shared" si="13"/>
        <v>0</v>
      </c>
      <c r="K34" s="660">
        <f t="shared" si="14"/>
        <v>0</v>
      </c>
      <c r="O34" s="22"/>
      <c r="P34" s="22"/>
      <c r="Q34" s="167"/>
      <c r="R34" s="166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s="2" customFormat="1" ht="18">
      <c r="A35" s="658" t="s">
        <v>77</v>
      </c>
      <c r="B35" s="659"/>
      <c r="C35" s="660">
        <f t="shared" si="8"/>
        <v>0</v>
      </c>
      <c r="D35" s="660"/>
      <c r="E35" s="660">
        <f t="shared" si="9"/>
        <v>0</v>
      </c>
      <c r="F35" s="660"/>
      <c r="G35" s="660">
        <f t="shared" si="10"/>
        <v>0</v>
      </c>
      <c r="H35" s="660">
        <f t="shared" si="11"/>
        <v>0</v>
      </c>
      <c r="I35" s="660">
        <f t="shared" si="12"/>
        <v>0</v>
      </c>
      <c r="J35" s="660">
        <f t="shared" si="13"/>
        <v>0</v>
      </c>
      <c r="K35" s="660">
        <f t="shared" si="14"/>
        <v>0</v>
      </c>
      <c r="O35" s="22"/>
      <c r="P35" s="22"/>
      <c r="Q35" s="167"/>
      <c r="R35" s="166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s="2" customFormat="1" ht="18">
      <c r="A36" s="658" t="s">
        <v>78</v>
      </c>
      <c r="B36" s="659"/>
      <c r="C36" s="660">
        <f t="shared" si="8"/>
        <v>0</v>
      </c>
      <c r="D36" s="660"/>
      <c r="E36" s="660">
        <f t="shared" si="9"/>
        <v>0</v>
      </c>
      <c r="F36" s="660"/>
      <c r="G36" s="660">
        <f t="shared" si="10"/>
        <v>0</v>
      </c>
      <c r="H36" s="660">
        <f t="shared" si="11"/>
        <v>0</v>
      </c>
      <c r="I36" s="660">
        <f t="shared" si="12"/>
        <v>0</v>
      </c>
      <c r="J36" s="660">
        <f t="shared" si="13"/>
        <v>0</v>
      </c>
      <c r="K36" s="660">
        <f t="shared" si="14"/>
        <v>0</v>
      </c>
      <c r="O36" s="22"/>
      <c r="P36" s="22"/>
      <c r="Q36" s="167"/>
      <c r="R36" s="166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s="3" customFormat="1" ht="27.75" customHeight="1">
      <c r="A37" s="661" t="s">
        <v>79</v>
      </c>
      <c r="B37" s="662">
        <f>SUM(B19:B30)/12</f>
        <v>58</v>
      </c>
      <c r="C37" s="662">
        <f t="shared" si="8"/>
        <v>1740</v>
      </c>
      <c r="D37" s="662">
        <f>SUM(D19:D30)/12</f>
        <v>52</v>
      </c>
      <c r="E37" s="662">
        <f t="shared" si="9"/>
        <v>1560</v>
      </c>
      <c r="F37" s="662">
        <f>SUM(F19:F30)/12</f>
        <v>36</v>
      </c>
      <c r="G37" s="662">
        <f t="shared" si="10"/>
        <v>1080</v>
      </c>
      <c r="H37" s="662">
        <f>SUM(H19:H30)/12</f>
        <v>57</v>
      </c>
      <c r="I37" s="662">
        <f t="shared" ref="I37:I59" si="15">((5*C37)+E37)/6</f>
        <v>1710</v>
      </c>
      <c r="J37" s="662">
        <f>SUM(J19:J30)/12</f>
        <v>54.000000000000007</v>
      </c>
      <c r="K37" s="662">
        <f t="shared" ref="K37:K59" si="16">((5*C37)+E37+G37)/7</f>
        <v>1620</v>
      </c>
      <c r="O37" s="158"/>
      <c r="P37" s="158"/>
      <c r="Q37" s="167"/>
      <c r="R37" s="166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</row>
    <row r="38" spans="1:38" s="3" customFormat="1" ht="21.75" customHeight="1">
      <c r="A38" s="655" t="s">
        <v>80</v>
      </c>
      <c r="B38" s="659">
        <f>SUM(B18:B22)/5</f>
        <v>71</v>
      </c>
      <c r="C38" s="660">
        <f t="shared" si="8"/>
        <v>2130</v>
      </c>
      <c r="D38" s="660">
        <f>SUM(D18:D22)/5</f>
        <v>49</v>
      </c>
      <c r="E38" s="660">
        <f t="shared" si="9"/>
        <v>1470</v>
      </c>
      <c r="F38" s="660">
        <f>SUM(F18:F22)/5</f>
        <v>32.1</v>
      </c>
      <c r="G38" s="660">
        <f t="shared" si="10"/>
        <v>963</v>
      </c>
      <c r="H38" s="660">
        <f>SUM(H18:H22)/5</f>
        <v>67.333333333333329</v>
      </c>
      <c r="I38" s="660">
        <f t="shared" si="15"/>
        <v>2020</v>
      </c>
      <c r="J38" s="660">
        <f>SUM(J18:J22)/5</f>
        <v>62.3</v>
      </c>
      <c r="K38" s="660">
        <f t="shared" si="16"/>
        <v>1869</v>
      </c>
      <c r="O38" s="158"/>
      <c r="P38" s="158"/>
      <c r="Q38" s="167"/>
      <c r="R38" s="166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</row>
    <row r="39" spans="1:38" s="3" customFormat="1" ht="21.75" customHeight="1">
      <c r="A39" s="655" t="s">
        <v>167</v>
      </c>
      <c r="B39" s="659"/>
      <c r="C39" s="660"/>
      <c r="D39" s="660"/>
      <c r="E39" s="660"/>
      <c r="F39" s="660"/>
      <c r="G39" s="660"/>
      <c r="H39" s="660"/>
      <c r="I39" s="660"/>
      <c r="J39" s="660"/>
      <c r="K39" s="660"/>
      <c r="O39" s="158"/>
      <c r="P39" s="158"/>
      <c r="Q39" s="167"/>
      <c r="R39" s="166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</row>
    <row r="40" spans="1:38" s="3" customFormat="1" ht="21.75" customHeight="1">
      <c r="A40" s="655"/>
      <c r="B40" s="659"/>
      <c r="C40" s="660"/>
      <c r="D40" s="660"/>
      <c r="E40" s="660"/>
      <c r="F40" s="660"/>
      <c r="G40" s="660"/>
      <c r="H40" s="660"/>
      <c r="I40" s="660"/>
      <c r="J40" s="660"/>
      <c r="K40" s="660"/>
      <c r="O40" s="158"/>
      <c r="P40" s="158"/>
      <c r="Q40" s="167"/>
      <c r="R40" s="166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</row>
    <row r="41" spans="1:38" s="3" customFormat="1" ht="21.75" customHeight="1">
      <c r="A41" s="655" t="s">
        <v>81</v>
      </c>
      <c r="B41" s="659">
        <f>SUM(B19:B21)/3</f>
        <v>87.333333333333329</v>
      </c>
      <c r="C41" s="660">
        <f>IF(AND($C$7&gt;=$P$5,$C$7&lt;=$R$5),B41*$C$7*$T$5/100,IF(AND($C$7&gt;=$P$4,$C$7&lt;=$R$4),B41*$C$7*$T$4/100,IF(AND($C$7&gt;=$P$3,$C$7&lt;=$R$3),B41*$C$7*$T$3/100,IF($C$7&gt;=$P$6,B41*$C$7*$T$6/100))))</f>
        <v>2620</v>
      </c>
      <c r="D41" s="660">
        <f>SUM(D19:D21)/3</f>
        <v>48.333333333333336</v>
      </c>
      <c r="E41" s="660">
        <f>IF(AND($C$7&gt;=$P$5,$C$7&lt;=$R$5),D41*$C$7*$T$5/100,IF(AND($C$7&gt;=$P$4,$C$7&lt;=$R$4),D41*$C$7*$T$4/100,IF(AND($C$7&gt;=$P$3,$C$7&lt;=$R$3),D41*$C$7*$T$3/100,IF($C$7&gt;=$P$6,D41*$C$7*$T$6/100))))</f>
        <v>1450</v>
      </c>
      <c r="F41" s="660">
        <f>SUM(F19:F21)/3</f>
        <v>24.333333333333332</v>
      </c>
      <c r="G41" s="660">
        <f>IF(AND($C$7&gt;=$P$5,$C$7&lt;=$R$5),F41*$C$7*$T$5/100,IF(AND($C$7&gt;=$P$4,$C$7&lt;=$R$4),F41*$C$7*$T$4/100,IF(AND($C$7&gt;=$P$3,$C$7&lt;=$R$3),F41*$C$7*$T$3/100,IF($C$7&gt;=$P$6,F41*$C$7*$T$6/100))))</f>
        <v>730</v>
      </c>
      <c r="H41" s="660">
        <f>SUM(H19:H21)/3</f>
        <v>80.833333333333329</v>
      </c>
      <c r="I41" s="660">
        <f t="shared" si="15"/>
        <v>2425</v>
      </c>
      <c r="J41" s="660">
        <f>SUM(J19:J21)/3</f>
        <v>72.761904761904759</v>
      </c>
      <c r="K41" s="660">
        <f t="shared" si="16"/>
        <v>2182.8571428571427</v>
      </c>
      <c r="N41" s="168"/>
      <c r="O41" s="158"/>
      <c r="P41" s="158"/>
      <c r="Q41" s="167"/>
      <c r="R41" s="166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</row>
    <row r="42" spans="1:38" s="3" customFormat="1" ht="21.75" customHeight="1">
      <c r="A42" s="655" t="s">
        <v>82</v>
      </c>
      <c r="B42" s="659">
        <f>SUM(B19:B22)/4</f>
        <v>83.5</v>
      </c>
      <c r="C42" s="660">
        <f>IF(AND($C$7&gt;=$P$5,$C$7&lt;=$R$5),B42*$C$7*$T$5/100,IF(AND($C$7&gt;=$P$4,$C$7&lt;=$R$4),B42*$C$7*$T$4/100,IF(AND($C$7&gt;=$P$3,$C$7&lt;=$R$3),B42*$C$7*$T$3/100,IF($C$7&gt;=$P$6,B42*$C$7*$T$6/100))))</f>
        <v>2505</v>
      </c>
      <c r="D42" s="660">
        <f>SUM(D19:D22)/4</f>
        <v>60</v>
      </c>
      <c r="E42" s="660">
        <f>IF(AND($C$7&gt;=$P$5,$C$7&lt;=$R$5),D42*$C$7*$T$5/100,IF(AND($C$7&gt;=$P$4,$C$7&lt;=$R$4),D42*$C$7*$T$4/100,IF(AND($C$7&gt;=$P$3,$C$7&lt;=$R$3),D42*$C$7*$T$3/100,IF($C$7&gt;=$P$6,D42*$C$7*$T$6/100))))</f>
        <v>1800</v>
      </c>
      <c r="F42" s="660">
        <f>SUM(F19:F22)/4</f>
        <v>39</v>
      </c>
      <c r="G42" s="660">
        <f>IF(AND($C$7&gt;=$P$5,$C$7&lt;=$R$5),F42*$C$7*$T$5/100,IF(AND($C$7&gt;=$P$4,$C$7&lt;=$R$4),F42*$C$7*$T$4/100,IF(AND($C$7&gt;=$P$3,$C$7&lt;=$R$3),F42*$C$7*$T$3/100,IF($C$7&gt;=$P$6,F42*$C$7*$T$6/100))))</f>
        <v>1170</v>
      </c>
      <c r="H42" s="660">
        <f>SUM(H19:H22)/4</f>
        <v>79.583333333333329</v>
      </c>
      <c r="I42" s="660">
        <f t="shared" si="15"/>
        <v>2387.5</v>
      </c>
      <c r="J42" s="660">
        <f>SUM(J19:J22)/4</f>
        <v>73.785714285714278</v>
      </c>
      <c r="K42" s="660">
        <f t="shared" si="16"/>
        <v>2213.5714285714284</v>
      </c>
      <c r="N42" s="168"/>
      <c r="O42" s="158"/>
      <c r="P42" s="158"/>
      <c r="Q42" s="167"/>
      <c r="R42" s="166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</row>
    <row r="43" spans="1:38" s="3" customFormat="1" ht="21.75" customHeight="1">
      <c r="A43" s="655" t="s">
        <v>154</v>
      </c>
      <c r="B43" s="659">
        <f>SUM(B19:B26)/8</f>
        <v>64.375</v>
      </c>
      <c r="C43" s="660">
        <f>IF(AND($C$7&gt;=$P$5,$C$7&lt;=$R$5),B43*$C$7*$T$5/100,IF(AND($C$7&gt;=$P$4,$C$7&lt;=$R$4),B43*$C$7*$T$4/100,IF(AND($C$7&gt;=$P$3,$C$7&lt;=$R$3),B43*$C$7*$T$3/100,IF($C$7&gt;=$P$6,B43*$C$7*$T$6/100))))</f>
        <v>1931.25</v>
      </c>
      <c r="D43" s="660">
        <f>SUM(D19:D26)/8</f>
        <v>61.75</v>
      </c>
      <c r="E43" s="660">
        <f>IF(AND($C$7&gt;=$P$5,$C$7&lt;=$R$5),D43*$C$7*$T$5/100,IF(AND($C$7&gt;=$P$4,$C$7&lt;=$R$4),D43*$C$7*$T$4/100,IF(AND($C$7&gt;=$P$3,$C$7&lt;=$R$3),D43*$C$7*$T$3/100,IF($C$7&gt;=$P$6,D43*$C$7*$T$6/100))))</f>
        <v>1852.5</v>
      </c>
      <c r="F43" s="660">
        <f>SUM(F19:F26)/8</f>
        <v>41</v>
      </c>
      <c r="G43" s="660">
        <f>IF(AND($C$7&gt;=$P$5,$C$7&lt;=$R$5),F43*$C$7*$T$5/100,IF(AND($C$7&gt;=$P$4,$C$7&lt;=$R$4),F43*$C$7*$T$4/100,IF(AND($C$7&gt;=$P$3,$C$7&lt;=$R$3),F43*$C$7*$T$3/100,IF($C$7&gt;=$P$6,F43*$C$7*$T$6/100))))</f>
        <v>1230</v>
      </c>
      <c r="H43" s="660">
        <f>SUM(H19:H26)/8</f>
        <v>63.937499999999993</v>
      </c>
      <c r="I43" s="660">
        <f t="shared" ref="I43" si="17">((5*C43)+E43)/6</f>
        <v>1918.125</v>
      </c>
      <c r="J43" s="660">
        <f>SUM(J19:J26)/8</f>
        <v>60.660714285714285</v>
      </c>
      <c r="K43" s="660">
        <f t="shared" ref="K43" si="18">((5*C43)+E43+G43)/7</f>
        <v>1819.8214285714287</v>
      </c>
      <c r="N43" s="168"/>
      <c r="O43" s="158"/>
      <c r="P43" s="158"/>
      <c r="Q43" s="167"/>
      <c r="R43" s="166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</row>
    <row r="44" spans="1:38" s="3" customFormat="1" ht="21.75" customHeight="1">
      <c r="A44" s="655" t="s">
        <v>83</v>
      </c>
      <c r="B44" s="659">
        <f>SUM(B19:B31)/13</f>
        <v>56.46153846153846</v>
      </c>
      <c r="C44" s="660">
        <f>IF(AND($C$7&gt;=$P$5,$C$7&lt;=$R$5),B44*$C$7*$T$5/100,IF(AND($C$7&gt;=$P$4,$C$7&lt;=$R$4),B44*$C$7*$T$4/100,IF(AND($C$7&gt;=$P$3,$C$7&lt;=$R$3),B44*$C$7*$T$3/100,IF($C$7&gt;=$P$6,B44*$C$7*$T$6/100))))</f>
        <v>1693.8461538461538</v>
      </c>
      <c r="D44" s="660">
        <f>SUM(D19:D31)/13</f>
        <v>49.230769230769234</v>
      </c>
      <c r="E44" s="660">
        <f>IF(AND($C$7&gt;=$P$5,$C$7&lt;=$R$5),D44*$C$7*$T$5/100,IF(AND($C$7&gt;=$P$4,$C$7&lt;=$R$4),D44*$C$7*$T$4/100,IF(AND($C$7&gt;=$P$3,$C$7&lt;=$R$3),D44*$C$7*$T$3/100,IF($C$7&gt;=$P$6,D44*$C$7*$T$6/100))))</f>
        <v>1476.9230769230769</v>
      </c>
      <c r="F44" s="660">
        <f>SUM(F19:F31)/13</f>
        <v>34.230769230769234</v>
      </c>
      <c r="G44" s="660">
        <f>IF(AND($C$7&gt;=$P$5,$C$7&lt;=$R$5),F44*$C$7*$T$5/100,IF(AND($C$7&gt;=$P$4,$C$7&lt;=$R$4),F44*$C$7*$T$4/100,IF(AND($C$7&gt;=$P$3,$C$7&lt;=$R$3),F44*$C$7*$T$3/100,IF($C$7&gt;=$P$6,F44*$C$7*$T$6/100))))</f>
        <v>1026.9230769230769</v>
      </c>
      <c r="H44" s="660">
        <f>SUM(H19:H31)/13</f>
        <v>55.256410256410263</v>
      </c>
      <c r="I44" s="660">
        <f t="shared" si="15"/>
        <v>1657.6923076923076</v>
      </c>
      <c r="J44" s="660">
        <f>SUM(J19:J31)/13</f>
        <v>52.252747252747263</v>
      </c>
      <c r="K44" s="660">
        <f t="shared" si="16"/>
        <v>1567.5824175824175</v>
      </c>
      <c r="O44" s="158"/>
      <c r="P44" s="158"/>
      <c r="Q44" s="167"/>
      <c r="R44" s="166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</row>
    <row r="45" spans="1:38" s="3" customFormat="1" ht="21.75" customHeight="1">
      <c r="A45" s="655"/>
      <c r="B45" s="659"/>
      <c r="C45" s="660"/>
      <c r="D45" s="660"/>
      <c r="E45" s="660"/>
      <c r="F45" s="660"/>
      <c r="G45" s="660"/>
      <c r="H45" s="660"/>
      <c r="I45" s="660"/>
      <c r="J45" s="660"/>
      <c r="K45" s="660"/>
      <c r="L45" s="168"/>
      <c r="O45" s="158"/>
      <c r="P45" s="158"/>
      <c r="Q45" s="167"/>
      <c r="R45" s="166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</row>
    <row r="46" spans="1:38" s="3" customFormat="1" ht="21.75" customHeight="1">
      <c r="A46" s="655"/>
      <c r="B46" s="659"/>
      <c r="C46" s="660"/>
      <c r="D46" s="660"/>
      <c r="E46" s="660"/>
      <c r="F46" s="660"/>
      <c r="G46" s="660"/>
      <c r="H46" s="660"/>
      <c r="I46" s="660"/>
      <c r="J46" s="660"/>
      <c r="K46" s="660"/>
      <c r="O46" s="158"/>
      <c r="P46" s="158"/>
      <c r="Q46" s="167"/>
      <c r="R46" s="166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</row>
    <row r="47" spans="1:38" s="3" customFormat="1" ht="21.75" customHeight="1">
      <c r="A47" s="655"/>
      <c r="B47" s="659"/>
      <c r="C47" s="660"/>
      <c r="D47" s="660"/>
      <c r="E47" s="660"/>
      <c r="F47" s="660"/>
      <c r="G47" s="660"/>
      <c r="H47" s="660"/>
      <c r="I47" s="660"/>
      <c r="J47" s="660"/>
      <c r="K47" s="660"/>
      <c r="O47" s="158"/>
      <c r="P47" s="158"/>
      <c r="Q47" s="167"/>
      <c r="R47" s="166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</row>
    <row r="48" spans="1:38" s="3" customFormat="1" ht="21.75" customHeight="1">
      <c r="A48" s="655"/>
      <c r="B48" s="659"/>
      <c r="C48" s="660"/>
      <c r="D48" s="660"/>
      <c r="E48" s="660"/>
      <c r="F48" s="660"/>
      <c r="G48" s="660"/>
      <c r="H48" s="660"/>
      <c r="I48" s="660"/>
      <c r="J48" s="660"/>
      <c r="K48" s="660"/>
      <c r="O48" s="158"/>
      <c r="P48" s="158"/>
      <c r="Q48" s="167"/>
      <c r="R48" s="166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</row>
    <row r="49" spans="1:38" s="3" customFormat="1" ht="21.75" customHeight="1">
      <c r="A49" s="655" t="s">
        <v>86</v>
      </c>
      <c r="B49" s="659">
        <f>SUM(B21:B25)/5</f>
        <v>59.4</v>
      </c>
      <c r="C49" s="660">
        <f>IF(AND($C$7&gt;=$P$5,$C$7&lt;=$R$5),B49*$C$7*$T$5/100,IF(AND($C$7&gt;=$P$4,$C$7&lt;=$R$4),B49*$C$7*$T$4/100,IF(AND($C$7&gt;=$P$3,$C$7&lt;=$R$3),B49*$C$7*$T$3/100,IF($C$7&gt;=$P$6,B49*$C$7*$T$6/100))))</f>
        <v>1782</v>
      </c>
      <c r="D49" s="660">
        <f>SUM(D21:D25)/5</f>
        <v>76.2</v>
      </c>
      <c r="E49" s="660">
        <f>IF(AND($C$7&gt;=$P$5,$C$7&lt;=$R$5),D49*$C$7*$T$5/100,IF(AND($C$7&gt;=$P$4,$C$7&lt;=$R$4),D49*$C$7*$T$4/100,IF(AND($C$7&gt;=$P$3,$C$7&lt;=$R$3),D49*$C$7*$T$3/100,IF($C$7&gt;=$P$6,D49*$C$7*$T$6/100))))</f>
        <v>2286</v>
      </c>
      <c r="F49" s="660">
        <f>SUM(F21:F25)/5</f>
        <v>54.8</v>
      </c>
      <c r="G49" s="660">
        <f>IF(AND($C$7&gt;=$P$5,$C$7&lt;=$R$5),F49*$C$7*$T$5/100,IF(AND($C$7&gt;=$P$4,$C$7&lt;=$R$4),F49*$C$7*$T$4/100,IF(AND($C$7&gt;=$P$3,$C$7&lt;=$R$3),F49*$C$7*$T$3/100,IF($C$7&gt;=$P$6,F49*$C$7*$T$6/100))))</f>
        <v>1644</v>
      </c>
      <c r="H49" s="660">
        <f>SUM(H21:H25)/5</f>
        <v>62.2</v>
      </c>
      <c r="I49" s="660">
        <f t="shared" si="15"/>
        <v>1866</v>
      </c>
      <c r="J49" s="660">
        <f>SUM(J21:J25)/5</f>
        <v>61.142857142857146</v>
      </c>
      <c r="K49" s="660">
        <f t="shared" si="16"/>
        <v>1834.2857142857142</v>
      </c>
      <c r="O49" s="158"/>
      <c r="P49" s="158"/>
      <c r="Q49" s="167"/>
      <c r="R49" s="166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</row>
    <row r="50" spans="1:38" s="3" customFormat="1" ht="21.75" customHeight="1">
      <c r="A50" s="655" t="s">
        <v>87</v>
      </c>
      <c r="B50" s="659">
        <f>SUM(B21:B30)/10</f>
        <v>52.1</v>
      </c>
      <c r="C50" s="660">
        <f>IF(AND($C$7&gt;=$P$5,$C$7&lt;=$R$5),B50*$C$7*$T$5/100,IF(AND($C$7&gt;=$P$4,$C$7&lt;=$R$4),B50*$C$7*$T$4/100,IF(AND($C$7&gt;=$P$3,$C$7&lt;=$R$3),B50*$C$7*$T$3/100,IF($C$7&gt;=$P$6,B50*$C$7*$T$6/100))))</f>
        <v>1563</v>
      </c>
      <c r="D50" s="660">
        <f>SUM(D21:D30)/10</f>
        <v>55.1</v>
      </c>
      <c r="E50" s="660">
        <f>IF(AND($C$7&gt;=$P$5,$C$7&lt;=$R$5),D50*$C$7*$T$5/100,IF(AND($C$7&gt;=$P$4,$C$7&lt;=$R$4),D50*$C$7*$T$4/100,IF(AND($C$7&gt;=$P$3,$C$7&lt;=$R$3),D50*$C$7*$T$3/100,IF($C$7&gt;=$P$6,D50*$C$7*$T$6/100))))</f>
        <v>1653</v>
      </c>
      <c r="F50" s="660">
        <f>SUM(F21:F30)/10</f>
        <v>40.799999999999997</v>
      </c>
      <c r="G50" s="660">
        <f>IF(AND($C$7&gt;=$P$5,$C$7&lt;=$R$5),F50*$C$7*$T$5/100,IF(AND($C$7&gt;=$P$4,$C$7&lt;=$R$4),F50*$C$7*$T$4/100,IF(AND($C$7&gt;=$P$3,$C$7&lt;=$R$3),F50*$C$7*$T$3/100,IF($C$7&gt;=$P$6,F50*$C$7*$T$6/100))))</f>
        <v>1224</v>
      </c>
      <c r="H50" s="660">
        <f>SUM(H21:H30)/10</f>
        <v>52.6</v>
      </c>
      <c r="I50" s="660">
        <f t="shared" si="15"/>
        <v>1578</v>
      </c>
      <c r="J50" s="660">
        <f>SUM(J21:J30)/10</f>
        <v>50.914285714285711</v>
      </c>
      <c r="K50" s="660">
        <f t="shared" si="16"/>
        <v>1527.4285714285713</v>
      </c>
      <c r="O50" s="158"/>
      <c r="P50" s="158"/>
      <c r="Q50" s="167"/>
      <c r="R50" s="166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</row>
    <row r="51" spans="1:38" s="3" customFormat="1" ht="21.75" customHeight="1">
      <c r="A51" s="655" t="s">
        <v>100</v>
      </c>
      <c r="B51" s="659">
        <f>SUM(B21:B31)/11</f>
        <v>50.81818181818182</v>
      </c>
      <c r="C51" s="660">
        <f>IF(AND($C$7&gt;=$P$5,$C$7&lt;=$R$5),B51*$C$7*$T$5/100,IF(AND($C$7&gt;=$P$4,$C$7&lt;=$R$4),B51*$C$7*$T$4/100,IF(AND($C$7&gt;=$P$3,$C$7&lt;=$R$3),B51*$C$7*$T$3/100,IF($C$7&gt;=$P$6,B51*$C$7*$T$6/100))))</f>
        <v>1524.5454545454545</v>
      </c>
      <c r="D51" s="660">
        <f>SUM(D21:D31)/11</f>
        <v>51.545454545454547</v>
      </c>
      <c r="E51" s="660">
        <f>IF(AND($C$7&gt;=$P$5,$C$7&lt;=$R$5),D51*$C$7*$T$5/100,IF(AND($C$7&gt;=$P$4,$C$7&lt;=$R$4),D51*$C$7*$T$4/100,IF(AND($C$7&gt;=$P$3,$C$7&lt;=$R$3),D51*$C$7*$T$3/100,IF($C$7&gt;=$P$6,D51*$C$7*$T$6/100))))</f>
        <v>1546.3636363636365</v>
      </c>
      <c r="F51" s="660">
        <f>SUM(F21:F31)/11</f>
        <v>38.272727272727273</v>
      </c>
      <c r="G51" s="660">
        <f>IF(AND($C$7&gt;=$P$5,$C$7&lt;=$R$5),F51*$C$7*$T$5/100,IF(AND($C$7&gt;=$P$4,$C$7&lt;=$R$4),F51*$C$7*$T$4/100,IF(AND($C$7&gt;=$P$3,$C$7&lt;=$R$3),F51*$C$7*$T$3/100,IF($C$7&gt;=$P$6,F51*$C$7*$T$6/100))))</f>
        <v>1148.1818181818182</v>
      </c>
      <c r="H51" s="660">
        <f>SUM(H21:H31)/11</f>
        <v>50.939393939393945</v>
      </c>
      <c r="I51" s="660">
        <f t="shared" si="15"/>
        <v>1528.181818181818</v>
      </c>
      <c r="J51" s="660">
        <f>SUM(J21:J31)/11</f>
        <v>49.129870129870135</v>
      </c>
      <c r="K51" s="660">
        <f t="shared" si="16"/>
        <v>1473.8961038961038</v>
      </c>
      <c r="O51" s="158"/>
      <c r="P51" s="158"/>
      <c r="Q51" s="167"/>
      <c r="R51" s="166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</row>
    <row r="52" spans="1:38" s="3" customFormat="1" ht="21.75" customHeight="1">
      <c r="A52" s="655"/>
      <c r="B52" s="659"/>
      <c r="C52" s="660"/>
      <c r="D52" s="660"/>
      <c r="E52" s="660"/>
      <c r="F52" s="660"/>
      <c r="G52" s="660"/>
      <c r="H52" s="660"/>
      <c r="I52" s="660"/>
      <c r="J52" s="660"/>
      <c r="K52" s="660"/>
      <c r="O52" s="158"/>
      <c r="P52" s="158"/>
      <c r="Q52" s="167"/>
      <c r="R52" s="166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</row>
    <row r="53" spans="1:38" s="3" customFormat="1" ht="21.75" customHeight="1">
      <c r="A53" s="655"/>
      <c r="B53" s="659"/>
      <c r="C53" s="660"/>
      <c r="D53" s="660"/>
      <c r="E53" s="660"/>
      <c r="F53" s="660"/>
      <c r="G53" s="660"/>
      <c r="H53" s="660"/>
      <c r="I53" s="660"/>
      <c r="J53" s="660"/>
      <c r="K53" s="660"/>
      <c r="O53" s="158"/>
      <c r="P53" s="158"/>
      <c r="Q53" s="167"/>
      <c r="R53" s="166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</row>
    <row r="54" spans="1:38" s="3" customFormat="1" ht="21.75" customHeight="1">
      <c r="A54" s="655"/>
      <c r="B54" s="659"/>
      <c r="C54" s="660"/>
      <c r="D54" s="660"/>
      <c r="E54" s="660"/>
      <c r="F54" s="660"/>
      <c r="G54" s="660"/>
      <c r="H54" s="660"/>
      <c r="I54" s="660"/>
      <c r="J54" s="660"/>
      <c r="K54" s="660"/>
      <c r="L54" s="165"/>
      <c r="O54" s="158"/>
      <c r="P54" s="158"/>
      <c r="Q54" s="167"/>
      <c r="R54" s="166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</row>
    <row r="55" spans="1:38" s="3" customFormat="1" ht="21.75" customHeight="1">
      <c r="A55" s="655"/>
      <c r="B55" s="659"/>
      <c r="C55" s="660"/>
      <c r="D55" s="660"/>
      <c r="E55" s="660"/>
      <c r="F55" s="660"/>
      <c r="G55" s="660"/>
      <c r="H55" s="660"/>
      <c r="I55" s="660"/>
      <c r="J55" s="660"/>
      <c r="K55" s="660"/>
      <c r="O55" s="158"/>
      <c r="P55" s="158"/>
      <c r="Q55" s="167"/>
      <c r="R55" s="166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</row>
    <row r="56" spans="1:38" s="3" customFormat="1" ht="21.75" customHeight="1">
      <c r="A56" s="655" t="s">
        <v>157</v>
      </c>
      <c r="B56" s="659">
        <f>SUM(B23:B27)/5</f>
        <v>44.8</v>
      </c>
      <c r="C56" s="660">
        <f>IF(AND($C$7&gt;=$P$5,$C$7&lt;=$R$5),B56*$C$7*$T$5/100,IF(AND($C$7&gt;=$P$4,$C$7&lt;=$R$4),B56*$C$7*$T$4/100,IF(AND($C$7&gt;=$P$3,$C$7&lt;=$R$3),B56*$C$7*$T$3/100,IF($C$7&gt;=$P$6,B56*$C$7*$T$6/100))))</f>
        <v>1344</v>
      </c>
      <c r="D56" s="660">
        <f>SUM(D23:D27)/5</f>
        <v>58.4</v>
      </c>
      <c r="E56" s="660">
        <f>IF(AND($C$7&gt;=$P$5,$C$7&lt;=$R$5),D56*$C$7*$T$5/100,IF(AND($C$7&gt;=$P$4,$C$7&lt;=$R$4),D56*$C$7*$T$4/100,IF(AND($C$7&gt;=$P$3,$C$7&lt;=$R$3),D56*$C$7*$T$3/100,IF($C$7&gt;=$P$6,D56*$C$7*$T$6/100))))</f>
        <v>1752</v>
      </c>
      <c r="F56" s="660">
        <f>SUM(F23:F27)/5</f>
        <v>40.200000000000003</v>
      </c>
      <c r="G56" s="660">
        <f>IF(AND($C$7&gt;=$P$5,$C$7&lt;=$R$5),F56*$C$7*$T$5/100,IF(AND($C$7&gt;=$P$4,$C$7&lt;=$R$4),F56*$C$7*$T$4/100,IF(AND($C$7&gt;=$P$3,$C$7&lt;=$R$3),F56*$C$7*$T$3/100,IF($C$7&gt;=$P$6,F56*$C$7*$T$6/100))))</f>
        <v>1206</v>
      </c>
      <c r="H56" s="660">
        <f>SUM(H23:H27)/5</f>
        <v>47.06666666666667</v>
      </c>
      <c r="I56" s="660">
        <f t="shared" ref="I56" si="19">((5*C56)+E56)/6</f>
        <v>1412</v>
      </c>
      <c r="J56" s="660">
        <f>SUM(J23:J27)/5</f>
        <v>46.085714285714289</v>
      </c>
      <c r="K56" s="660">
        <f t="shared" ref="K56" si="20">((5*C56)+E56+G56)/7</f>
        <v>1382.5714285714287</v>
      </c>
      <c r="O56" s="158"/>
      <c r="P56" s="158"/>
      <c r="Q56" s="167"/>
      <c r="R56" s="166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</row>
    <row r="57" spans="1:38" s="3" customFormat="1" ht="21.75" customHeight="1">
      <c r="A57" s="655" t="s">
        <v>90</v>
      </c>
      <c r="B57" s="659">
        <f>SUM(B23:B28)/6</f>
        <v>44.5</v>
      </c>
      <c r="C57" s="660">
        <f>IF(AND($C$7&gt;=$P$5,$C$7&lt;=$R$5),B57*$C$7*$T$5/100,IF(AND($C$7&gt;=$P$4,$C$7&lt;=$R$4),B57*$C$7*$T$4/100,IF(AND($C$7&gt;=$P$3,$C$7&lt;=$R$3),B57*$C$7*$T$3/100,IF($C$7&gt;=$P$6,B57*$C$7*$T$6/100))))</f>
        <v>1335</v>
      </c>
      <c r="D57" s="660">
        <f>SUM(D23:D28)/6</f>
        <v>54.333333333333336</v>
      </c>
      <c r="E57" s="660">
        <f>IF(AND($C$7&gt;=$P$5,$C$7&lt;=$R$5),D57*$C$7*$T$5/100,IF(AND($C$7&gt;=$P$4,$C$7&lt;=$R$4),D57*$C$7*$T$4/100,IF(AND($C$7&gt;=$P$3,$C$7&lt;=$R$3),D57*$C$7*$T$3/100,IF($C$7&gt;=$P$6,D57*$C$7*$T$6/100))))</f>
        <v>1630</v>
      </c>
      <c r="F57" s="660">
        <f>SUM(F23:F28)/6</f>
        <v>37.833333333333336</v>
      </c>
      <c r="G57" s="660">
        <f>IF(AND($C$7&gt;=$P$5,$C$7&lt;=$R$5),F57*$C$7*$T$5/100,IF(AND($C$7&gt;=$P$4,$C$7&lt;=$R$4),F57*$C$7*$T$4/100,IF(AND($C$7&gt;=$P$3,$C$7&lt;=$R$3),F57*$C$7*$T$3/100,IF($C$7&gt;=$P$6,F57*$C$7*$T$6/100))))</f>
        <v>1135</v>
      </c>
      <c r="H57" s="660">
        <f>SUM(H23:H28)/6</f>
        <v>46.138888888888893</v>
      </c>
      <c r="I57" s="660">
        <f t="shared" si="15"/>
        <v>1384.1666666666667</v>
      </c>
      <c r="J57" s="660">
        <f>SUM(J23:J28)/6</f>
        <v>44.952380952380956</v>
      </c>
      <c r="K57" s="660">
        <f t="shared" si="16"/>
        <v>1348.5714285714287</v>
      </c>
      <c r="O57" s="158"/>
      <c r="P57" s="158"/>
      <c r="Q57" s="164"/>
      <c r="R57" s="163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</row>
    <row r="58" spans="1:38" s="3" customFormat="1" ht="21.75" customHeight="1">
      <c r="A58" s="655" t="s">
        <v>91</v>
      </c>
      <c r="B58" s="659">
        <f>SUM(B23:B30)/8</f>
        <v>45.25</v>
      </c>
      <c r="C58" s="660">
        <f>IF(AND($C$7&gt;=$P$5,$C$7&lt;=$R$5),B58*$C$7*$T$5/100,IF(AND($C$7&gt;=$P$4,$C$7&lt;=$R$4),B58*$C$7*$T$4/100,IF(AND($C$7&gt;=$P$3,$C$7&lt;=$R$3),B58*$C$7*$T$3/100,IF($C$7&gt;=$P$6,B58*$C$7*$T$6/100))))</f>
        <v>1357.5</v>
      </c>
      <c r="D58" s="660">
        <f>SUM(D23:D30)/8</f>
        <v>48</v>
      </c>
      <c r="E58" s="660">
        <f>IF(AND($C$7&gt;=$P$5,$C$7&lt;=$R$5),D58*$C$7*$T$5/100,IF(AND($C$7&gt;=$P$4,$C$7&lt;=$R$4),D58*$C$7*$T$4/100,IF(AND($C$7&gt;=$P$3,$C$7&lt;=$R$3),D58*$C$7*$T$3/100,IF($C$7&gt;=$P$6,D58*$C$7*$T$6/100))))</f>
        <v>1440</v>
      </c>
      <c r="F58" s="660">
        <f>SUM(F23:F30)/8</f>
        <v>34.5</v>
      </c>
      <c r="G58" s="660">
        <f>IF(AND($C$7&gt;=$P$5,$C$7&lt;=$R$5),F58*$C$7*$T$5/100,IF(AND($C$7&gt;=$P$4,$C$7&lt;=$R$4),F58*$C$7*$T$4/100,IF(AND($C$7&gt;=$P$3,$C$7&lt;=$R$3),F58*$C$7*$T$3/100,IF($C$7&gt;=$P$6,F58*$C$7*$T$6/100))))</f>
        <v>1035</v>
      </c>
      <c r="H58" s="660">
        <f>SUM(H23:H30)/8</f>
        <v>45.708333333333336</v>
      </c>
      <c r="I58" s="660">
        <f t="shared" si="15"/>
        <v>1371.25</v>
      </c>
      <c r="J58" s="660">
        <f>SUM(J23:J30)/8</f>
        <v>44.107142857142854</v>
      </c>
      <c r="K58" s="660">
        <f t="shared" si="16"/>
        <v>1323.2142857142858</v>
      </c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</row>
    <row r="59" spans="1:38" s="3" customFormat="1" ht="21.75" customHeight="1">
      <c r="A59" s="655" t="s">
        <v>99</v>
      </c>
      <c r="B59" s="659">
        <f>SUM(B23:B31)/9</f>
        <v>44.444444444444443</v>
      </c>
      <c r="C59" s="660">
        <f>IF(AND($C$7&gt;=$P$5,$C$7&lt;=$R$5),B59*$C$7*$T$5/100,IF(AND($C$7&gt;=$P$4,$C$7&lt;=$R$4),B59*$C$7*$T$4/100,IF(AND($C$7&gt;=$P$3,$C$7&lt;=$R$3),B59*$C$7*$T$3/100,IF($C$7&gt;=$P$6,B59*$C$7*$T$6/100))))</f>
        <v>1333.333333333333</v>
      </c>
      <c r="D59" s="660">
        <f t="shared" ref="D59:J59" si="21">SUM(D23:D31)/9</f>
        <v>44.444444444444443</v>
      </c>
      <c r="E59" s="660">
        <f>IF(AND($C$7&gt;=$P$5,$C$7&lt;=$R$5),D59*$C$7*$T$5/100,IF(AND($C$7&gt;=$P$4,$C$7&lt;=$R$4),D59*$C$7*$T$4/100,IF(AND($C$7&gt;=$P$3,$C$7&lt;=$R$3),D59*$C$7*$T$3/100,IF($C$7&gt;=$P$6,D59*$C$7*$T$6/100))))</f>
        <v>1333.333333333333</v>
      </c>
      <c r="F59" s="660">
        <f t="shared" si="21"/>
        <v>32.111111111111114</v>
      </c>
      <c r="G59" s="660">
        <f>IF(AND($C$7&gt;=$P$5,$C$7&lt;=$R$5),F59*$C$7*$T$5/100,IF(AND($C$7&gt;=$P$4,$C$7&lt;=$R$4),F59*$C$7*$T$4/100,IF(AND($C$7&gt;=$P$3,$C$7&lt;=$R$3),F59*$C$7*$T$3/100,IF($C$7&gt;=$P$6,F59*$C$7*$T$6/100))))</f>
        <v>963.33333333333348</v>
      </c>
      <c r="H59" s="660">
        <f t="shared" si="21"/>
        <v>44.444444444444443</v>
      </c>
      <c r="I59" s="660">
        <f t="shared" si="15"/>
        <v>1333.333333333333</v>
      </c>
      <c r="J59" s="660">
        <f t="shared" si="21"/>
        <v>42.682539682539677</v>
      </c>
      <c r="K59" s="660">
        <f t="shared" si="16"/>
        <v>1280.4761904761904</v>
      </c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</row>
    <row r="60" spans="1:38" s="3" customFormat="1" ht="21.75" customHeight="1">
      <c r="A60" s="655"/>
      <c r="B60" s="659"/>
      <c r="C60" s="660"/>
      <c r="D60" s="660"/>
      <c r="E60" s="660"/>
      <c r="F60" s="660"/>
      <c r="G60" s="660"/>
      <c r="H60" s="660"/>
      <c r="I60" s="660"/>
      <c r="J60" s="660"/>
      <c r="K60" s="660"/>
    </row>
    <row r="61" spans="1:38" s="3" customFormat="1" ht="21.75" customHeight="1">
      <c r="A61" s="655"/>
      <c r="B61" s="659"/>
      <c r="C61" s="660"/>
      <c r="D61" s="660"/>
      <c r="E61" s="660"/>
      <c r="F61" s="660"/>
      <c r="G61" s="660"/>
      <c r="H61" s="660"/>
      <c r="I61" s="660"/>
      <c r="J61" s="660"/>
      <c r="K61" s="660"/>
    </row>
    <row r="62" spans="1:38" s="3" customFormat="1" ht="21.75" customHeight="1">
      <c r="A62" s="655"/>
      <c r="B62" s="659"/>
      <c r="C62" s="660"/>
      <c r="D62" s="660"/>
      <c r="E62" s="660"/>
      <c r="F62" s="660"/>
      <c r="G62" s="660"/>
      <c r="H62" s="660"/>
      <c r="I62" s="660"/>
      <c r="J62" s="660"/>
      <c r="K62" s="660"/>
    </row>
    <row r="63" spans="1:38" s="3" customFormat="1" ht="21.75" customHeight="1">
      <c r="A63" s="655"/>
      <c r="B63" s="659"/>
      <c r="C63" s="660"/>
      <c r="D63" s="660"/>
      <c r="E63" s="660"/>
      <c r="F63" s="660"/>
      <c r="G63" s="660"/>
      <c r="H63" s="660"/>
      <c r="I63" s="660"/>
      <c r="J63" s="660"/>
      <c r="K63" s="660"/>
    </row>
    <row r="64" spans="1:38" s="3" customFormat="1" ht="21.75" customHeight="1">
      <c r="A64" s="655" t="s">
        <v>165</v>
      </c>
      <c r="B64" s="659">
        <f>SUM(B27:B31)/5</f>
        <v>43.8</v>
      </c>
      <c r="C64" s="660">
        <f>IF(AND($C$7&gt;=$P$5,$C$7&lt;=$R$5),B64*$C$7*$T$5/100,IF(AND($C$7&gt;=$P$4,$C$7&lt;=$R$4),B64*$C$7*$T$4/100,IF(AND($C$7&gt;=$P$3,$C$7&lt;=$R$3),B64*$C$7*$T$3/100,IF($C$7&gt;=$P$6,B64*$C$7*$T$6/100))))</f>
        <v>1314</v>
      </c>
      <c r="D64" s="660">
        <f>SUM(D27:D31)/5</f>
        <v>29.2</v>
      </c>
      <c r="E64" s="660">
        <f>IF(AND($C$7&gt;=$P$5,$C$7&lt;=$R$5),D64*$C$7*$T$5/100,IF(AND($C$7&gt;=$P$4,$C$7&lt;=$R$4),D64*$C$7*$T$4/100,IF(AND($C$7&gt;=$P$3,$C$7&lt;=$R$3),D64*$C$7*$T$3/100,IF($C$7&gt;=$P$6,D64*$C$7*$T$6/100))))</f>
        <v>876</v>
      </c>
      <c r="F64" s="660">
        <f>SUM(F27:F31)/5</f>
        <v>23.4</v>
      </c>
      <c r="G64" s="660">
        <f>IF(AND($C$7&gt;=$P$5,$C$7&lt;=$R$5),F64*$C$7*$T$5/100,IF(AND($C$7&gt;=$P$4,$C$7&lt;=$R$4),F64*$C$7*$T$4/100,IF(AND($C$7&gt;=$P$3,$C$7&lt;=$R$3),F64*$C$7*$T$3/100,IF($C$7&gt;=$P$6,F64*$C$7*$T$6/100))))</f>
        <v>702</v>
      </c>
      <c r="H64" s="660">
        <f>SUM(H27:H31)/5</f>
        <v>41.366666666666667</v>
      </c>
      <c r="I64" s="660">
        <f t="shared" ref="I64:I72" si="22">((5*C64)+E64)/6</f>
        <v>1241</v>
      </c>
      <c r="J64" s="660">
        <f>SUM(J27:J31)/5</f>
        <v>38.799999999999997</v>
      </c>
      <c r="K64" s="660">
        <f t="shared" ref="K64:K72" si="23">((5*C64)+E64+G64)/7</f>
        <v>1164</v>
      </c>
    </row>
    <row r="65" spans="1:12" s="3" customFormat="1" ht="21.75" customHeight="1">
      <c r="A65" s="655"/>
      <c r="B65" s="659"/>
      <c r="C65" s="660"/>
      <c r="D65" s="660"/>
      <c r="E65" s="660"/>
      <c r="F65" s="660"/>
      <c r="G65" s="660"/>
      <c r="H65" s="660"/>
      <c r="I65" s="660"/>
      <c r="J65" s="660"/>
      <c r="K65" s="660"/>
    </row>
    <row r="66" spans="1:12" s="3" customFormat="1" ht="21.75" customHeight="1">
      <c r="A66" s="655"/>
      <c r="B66" s="659"/>
      <c r="C66" s="660"/>
      <c r="D66" s="660"/>
      <c r="E66" s="660"/>
      <c r="F66" s="660"/>
      <c r="G66" s="660"/>
      <c r="H66" s="660"/>
      <c r="I66" s="660"/>
      <c r="J66" s="660"/>
      <c r="K66" s="660"/>
    </row>
    <row r="67" spans="1:12" s="3" customFormat="1" ht="21.75" customHeight="1">
      <c r="A67" s="655"/>
      <c r="B67" s="659"/>
      <c r="C67" s="660"/>
      <c r="D67" s="660"/>
      <c r="E67" s="660"/>
      <c r="F67" s="660"/>
      <c r="G67" s="660"/>
      <c r="H67" s="660"/>
      <c r="I67" s="660"/>
      <c r="J67" s="660"/>
      <c r="K67" s="660"/>
    </row>
    <row r="68" spans="1:12" s="3" customFormat="1" ht="21.75" customHeight="1">
      <c r="A68" s="655"/>
      <c r="B68" s="659"/>
      <c r="C68" s="660"/>
      <c r="D68" s="659"/>
      <c r="E68" s="660"/>
      <c r="F68" s="659"/>
      <c r="G68" s="660"/>
      <c r="H68" s="659"/>
      <c r="I68" s="660"/>
      <c r="J68" s="659"/>
      <c r="K68" s="660"/>
    </row>
    <row r="69" spans="1:12" s="3" customFormat="1" ht="21.75" customHeight="1">
      <c r="A69" s="655"/>
      <c r="B69" s="659"/>
      <c r="C69" s="660"/>
      <c r="D69" s="660"/>
      <c r="E69" s="660"/>
      <c r="F69" s="660"/>
      <c r="G69" s="660"/>
      <c r="H69" s="660"/>
      <c r="I69" s="660"/>
      <c r="J69" s="660"/>
      <c r="K69" s="660"/>
    </row>
    <row r="70" spans="1:12" s="3" customFormat="1" ht="21.75" customHeight="1">
      <c r="A70" s="655"/>
      <c r="B70" s="659"/>
      <c r="C70" s="660"/>
      <c r="D70" s="660"/>
      <c r="E70" s="660"/>
      <c r="F70" s="660"/>
      <c r="G70" s="660"/>
      <c r="H70" s="660"/>
      <c r="I70" s="660"/>
      <c r="J70" s="660"/>
      <c r="K70" s="660"/>
    </row>
    <row r="71" spans="1:12" s="3" customFormat="1" ht="21.75" customHeight="1">
      <c r="A71" s="655" t="s">
        <v>168</v>
      </c>
      <c r="B71" s="659">
        <f>SUM(B29:B31)/3</f>
        <v>44.333333333333336</v>
      </c>
      <c r="C71" s="660">
        <f t="shared" ref="C71:C72" si="24">IF(AND($C$7&gt;=$P$5,$C$7&lt;=$R$5),B71*$C$7*$T$5/100,IF(AND($C$7&gt;=$P$4,$C$7&lt;=$R$4),B71*$C$7*$T$4/100,IF(AND($C$7&gt;=$P$3,$C$7&lt;=$R$3),B71*$C$7*$T$3/100,IF($C$7&gt;=$P$6,B71*$C$7*$T$6/100))))</f>
        <v>1330</v>
      </c>
      <c r="D71" s="660">
        <f>SUM(D29:D31)/3</f>
        <v>24.666666666666668</v>
      </c>
      <c r="E71" s="660">
        <f t="shared" ref="E71:E72" si="25">IF(AND($C$7&gt;=$P$5,$C$7&lt;=$R$5),D71*$C$7*$T$5/100,IF(AND($C$7&gt;=$P$4,$C$7&lt;=$R$4),D71*$C$7*$T$4/100,IF(AND($C$7&gt;=$P$3,$C$7&lt;=$R$3),D71*$C$7*$T$3/100,IF($C$7&gt;=$P$6,D71*$C$7*$T$6/100))))</f>
        <v>740</v>
      </c>
      <c r="F71" s="660">
        <f>SUM(F29:F31)/3</f>
        <v>20.666666666666668</v>
      </c>
      <c r="G71" s="660">
        <f t="shared" ref="G71:G72" si="26">IF(AND($C$7&gt;=$P$5,$C$7&lt;=$R$5),F71*$C$7*$T$5/100,IF(AND($C$7&gt;=$P$4,$C$7&lt;=$R$4),F71*$C$7*$T$4/100,IF(AND($C$7&gt;=$P$3,$C$7&lt;=$R$3),F71*$C$7*$T$3/100,IF($C$7&gt;=$P$6,F71*$C$7*$T$6/100))))</f>
        <v>620</v>
      </c>
      <c r="H71" s="660">
        <f>SUM(H29:H31)/3</f>
        <v>41.055555555555564</v>
      </c>
      <c r="I71" s="660">
        <f t="shared" si="22"/>
        <v>1231.6666666666667</v>
      </c>
      <c r="J71" s="660">
        <f>SUM(J29:J31)/3</f>
        <v>38.142857142857139</v>
      </c>
      <c r="K71" s="660">
        <f t="shared" si="23"/>
        <v>1144.2857142857142</v>
      </c>
    </row>
    <row r="72" spans="1:12" s="3" customFormat="1" ht="21.75" customHeight="1">
      <c r="A72" s="655" t="s">
        <v>166</v>
      </c>
      <c r="B72" s="659">
        <f>SUM(B30:B31)/2</f>
        <v>41.5</v>
      </c>
      <c r="C72" s="660">
        <f t="shared" si="24"/>
        <v>1245</v>
      </c>
      <c r="D72" s="660">
        <f>SUM(D30:D31)/2</f>
        <v>21.5</v>
      </c>
      <c r="E72" s="660">
        <f t="shared" si="25"/>
        <v>645</v>
      </c>
      <c r="F72" s="660">
        <f>SUM(F30:F31)/2</f>
        <v>18</v>
      </c>
      <c r="G72" s="660">
        <f t="shared" si="26"/>
        <v>540</v>
      </c>
      <c r="H72" s="660">
        <f>SUM(H30:H31)/2</f>
        <v>38.166666666666671</v>
      </c>
      <c r="I72" s="660">
        <f t="shared" si="22"/>
        <v>1145</v>
      </c>
      <c r="J72" s="660">
        <f>SUM(J30:J31)/2</f>
        <v>35.285714285714285</v>
      </c>
      <c r="K72" s="660">
        <f t="shared" si="23"/>
        <v>1058.5714285714287</v>
      </c>
    </row>
    <row r="73" spans="1:12" s="2" customFormat="1" ht="21.75" customHeight="1">
      <c r="A73" s="655"/>
      <c r="B73" s="659"/>
      <c r="C73" s="660"/>
      <c r="D73" s="660"/>
      <c r="E73" s="660"/>
      <c r="F73" s="660"/>
      <c r="G73" s="660"/>
      <c r="H73" s="660"/>
      <c r="I73" s="660"/>
      <c r="J73" s="660"/>
      <c r="K73" s="660"/>
    </row>
    <row r="74" spans="1:12" s="2" customFormat="1" ht="21.75" customHeight="1">
      <c r="A74" s="655"/>
      <c r="B74" s="659"/>
      <c r="C74" s="660"/>
      <c r="D74" s="660"/>
      <c r="E74" s="660"/>
      <c r="F74" s="660"/>
      <c r="G74" s="660"/>
      <c r="H74" s="660"/>
      <c r="I74" s="660"/>
      <c r="J74" s="660"/>
      <c r="K74" s="660"/>
    </row>
    <row r="75" spans="1:12" ht="21.75" customHeight="1">
      <c r="A75" s="655"/>
      <c r="B75" s="659"/>
      <c r="C75" s="660"/>
      <c r="D75" s="660"/>
      <c r="E75" s="660"/>
      <c r="F75" s="660"/>
      <c r="G75" s="660"/>
      <c r="H75" s="660"/>
      <c r="I75" s="660"/>
      <c r="J75" s="660"/>
      <c r="K75" s="660"/>
    </row>
    <row r="76" spans="1:12" ht="21.75" customHeight="1">
      <c r="A76" s="655"/>
      <c r="B76" s="659"/>
      <c r="C76" s="660"/>
      <c r="D76" s="660"/>
      <c r="E76" s="660"/>
      <c r="F76" s="660"/>
      <c r="G76" s="660"/>
      <c r="H76" s="660"/>
      <c r="I76" s="660"/>
      <c r="J76" s="660"/>
      <c r="K76" s="660"/>
    </row>
    <row r="77" spans="1:12" ht="21.75" customHeight="1">
      <c r="A77" s="655"/>
      <c r="B77" s="659"/>
      <c r="C77" s="660"/>
      <c r="D77" s="660"/>
      <c r="E77" s="660"/>
      <c r="F77" s="660"/>
      <c r="G77" s="660"/>
      <c r="H77" s="660"/>
      <c r="I77" s="660"/>
      <c r="J77" s="660"/>
      <c r="K77" s="660"/>
    </row>
    <row r="78" spans="1:12" ht="21.75" customHeight="1">
      <c r="A78" s="655"/>
      <c r="B78" s="659"/>
      <c r="C78" s="660"/>
      <c r="D78" s="660"/>
      <c r="E78" s="660"/>
      <c r="F78" s="660"/>
      <c r="G78" s="660"/>
      <c r="H78" s="660"/>
      <c r="I78" s="660"/>
      <c r="J78" s="660"/>
      <c r="K78" s="660"/>
      <c r="L78" s="182"/>
    </row>
    <row r="79" spans="1:12">
      <c r="K79" s="405"/>
    </row>
    <row r="115" spans="1:1">
      <c r="A115" s="1" t="s">
        <v>55</v>
      </c>
    </row>
    <row r="116" spans="1:1">
      <c r="A116" s="1" t="s">
        <v>0</v>
      </c>
    </row>
    <row r="117" spans="1:1">
      <c r="A117" s="1" t="s">
        <v>21</v>
      </c>
    </row>
    <row r="118" spans="1:1">
      <c r="A118" s="1" t="s">
        <v>136</v>
      </c>
    </row>
    <row r="119" spans="1:1">
      <c r="A119" s="1" t="s">
        <v>137</v>
      </c>
    </row>
  </sheetData>
  <mergeCells count="9">
    <mergeCell ref="P1:T1"/>
    <mergeCell ref="E1:N1"/>
    <mergeCell ref="A10:K10"/>
    <mergeCell ref="B11:C11"/>
    <mergeCell ref="D11:E11"/>
    <mergeCell ref="F11:G11"/>
    <mergeCell ref="H11:I11"/>
    <mergeCell ref="J11:K11"/>
    <mergeCell ref="B3:D5"/>
  </mergeCells>
  <dataValidations count="3">
    <dataValidation type="list" allowBlank="1" showInputMessage="1" showErrorMessage="1" sqref="E4:E7">
      <formula1>$A$115:$A$119</formula1>
    </dataValidation>
    <dataValidation type="list" allowBlank="1" showInputMessage="1" showErrorMessage="1" sqref="E8:E9">
      <formula1>$B$11:$K$11</formula1>
    </dataValidation>
    <dataValidation type="list" allowBlank="1" showInputMessage="1" showErrorMessage="1" sqref="F4:F9">
      <formula1>$A$37:$A$80</formula1>
    </dataValidation>
  </dataValidations>
  <pageMargins left="0.7" right="0.7" top="0.78740157499999996" bottom="0.78740157499999996" header="0.3" footer="0.3"/>
  <pageSetup paperSize="9" scale="3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77"/>
  <sheetViews>
    <sheetView zoomScale="85" zoomScaleNormal="85" workbookViewId="0">
      <selection activeCell="M3" sqref="M3"/>
    </sheetView>
  </sheetViews>
  <sheetFormatPr baseColWidth="10" defaultColWidth="14.42578125" defaultRowHeight="15" outlineLevelCol="1"/>
  <cols>
    <col min="1" max="1" width="14.42578125" style="6" customWidth="1"/>
    <col min="2" max="2" width="6" style="6" customWidth="1"/>
    <col min="3" max="4" width="8.85546875" style="76" customWidth="1"/>
    <col min="5" max="5" width="11.140625" style="76" customWidth="1"/>
    <col min="6" max="6" width="8.85546875" style="76" customWidth="1"/>
    <col min="7" max="7" width="10.28515625" style="76" customWidth="1"/>
    <col min="8" max="13" width="8.85546875" style="76" customWidth="1"/>
    <col min="14" max="34" width="4.5703125" style="6" customWidth="1"/>
    <col min="35" max="48" width="4.5703125" style="6" customWidth="1" outlineLevel="1"/>
    <col min="49" max="55" width="4.7109375" style="6" hidden="1" customWidth="1" outlineLevel="1"/>
    <col min="56" max="56" width="14.42578125" style="6" collapsed="1"/>
    <col min="57" max="57" width="0" style="6" hidden="1" customWidth="1"/>
    <col min="58" max="58" width="16.85546875" style="6" hidden="1" customWidth="1"/>
    <col min="59" max="61" width="0" style="6" hidden="1" customWidth="1"/>
    <col min="62" max="16384" width="14.42578125" style="6"/>
  </cols>
  <sheetData>
    <row r="1" spans="1:60" s="78" customFormat="1">
      <c r="A1" s="23"/>
      <c r="B1" s="23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</row>
    <row r="2" spans="1:60" s="80" customFormat="1" ht="61.15" customHeight="1">
      <c r="A2" s="842"/>
      <c r="B2" s="842"/>
      <c r="C2" s="842"/>
      <c r="D2" s="842"/>
      <c r="E2" s="1022" t="s">
        <v>146</v>
      </c>
      <c r="F2" s="1022"/>
      <c r="G2" s="1022"/>
      <c r="H2" s="1022"/>
      <c r="I2" s="1022"/>
      <c r="J2" s="1022"/>
      <c r="K2" s="1022"/>
      <c r="L2" s="842"/>
      <c r="M2" s="842"/>
      <c r="N2" s="842"/>
      <c r="O2" s="842"/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842"/>
      <c r="AB2" s="842"/>
      <c r="AC2" s="842"/>
      <c r="AD2" s="842"/>
      <c r="AE2" s="842"/>
      <c r="AF2" s="842"/>
      <c r="AG2" s="842"/>
      <c r="AH2" s="842"/>
      <c r="AI2" s="842"/>
      <c r="AJ2" s="842"/>
      <c r="AK2" s="842"/>
      <c r="AL2" s="842"/>
      <c r="AM2" s="842"/>
      <c r="AN2" s="842"/>
      <c r="AO2" s="842"/>
      <c r="AP2" s="842"/>
      <c r="AQ2" s="842"/>
      <c r="AR2" s="842"/>
      <c r="AS2" s="842"/>
      <c r="AT2" s="842"/>
      <c r="AU2" s="842"/>
      <c r="AV2" s="842"/>
      <c r="AW2" s="842"/>
      <c r="AX2" s="842"/>
      <c r="AY2" s="842"/>
      <c r="AZ2" s="842"/>
      <c r="BA2" s="842"/>
      <c r="BB2" s="842"/>
      <c r="BC2" s="842"/>
      <c r="BD2" s="79"/>
      <c r="BE2" s="79"/>
      <c r="BF2" s="79"/>
      <c r="BG2" s="79"/>
      <c r="BH2" s="79"/>
    </row>
    <row r="3" spans="1:60" s="78" customFormat="1" ht="11.25" customHeight="1">
      <c r="A3" s="81"/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23"/>
      <c r="BE3" s="23"/>
      <c r="BF3" s="23"/>
      <c r="BG3" s="23"/>
      <c r="BH3" s="23"/>
    </row>
    <row r="4" spans="1:60" ht="18">
      <c r="A4" s="900" t="s">
        <v>169</v>
      </c>
      <c r="B4" s="900"/>
      <c r="C4" s="900"/>
      <c r="D4" s="900"/>
      <c r="E4" s="900"/>
      <c r="F4" s="900"/>
      <c r="G4" s="900"/>
      <c r="H4" s="900"/>
      <c r="I4" s="900"/>
      <c r="J4" s="900"/>
      <c r="K4" s="900"/>
      <c r="L4" s="900"/>
      <c r="M4" s="900"/>
      <c r="N4" s="900"/>
      <c r="O4" s="900"/>
      <c r="P4" s="900"/>
      <c r="Q4" s="900"/>
      <c r="R4" s="900"/>
      <c r="S4" s="900"/>
      <c r="T4" s="900"/>
      <c r="U4" s="900"/>
      <c r="V4" s="900"/>
      <c r="W4" s="900"/>
      <c r="X4" s="900"/>
      <c r="Y4" s="900"/>
      <c r="Z4" s="900"/>
      <c r="AA4" s="900"/>
      <c r="AB4" s="900"/>
      <c r="AC4" s="900"/>
      <c r="AD4" s="900"/>
      <c r="AE4" s="900"/>
      <c r="AF4" s="900"/>
      <c r="AG4" s="900"/>
      <c r="AH4" s="900"/>
      <c r="AI4" s="900"/>
      <c r="AJ4" s="900"/>
      <c r="AK4" s="900"/>
      <c r="AL4" s="900"/>
      <c r="AM4" s="900"/>
      <c r="AN4" s="900"/>
      <c r="AO4" s="900"/>
      <c r="AP4" s="900"/>
      <c r="AQ4" s="900"/>
      <c r="AR4" s="900"/>
      <c r="AS4" s="900"/>
      <c r="AT4" s="900"/>
      <c r="AU4" s="900"/>
      <c r="AV4" s="900"/>
      <c r="AW4" s="900"/>
      <c r="AX4" s="900"/>
      <c r="AY4" s="900"/>
      <c r="AZ4" s="900"/>
      <c r="BA4" s="900"/>
      <c r="BB4" s="900"/>
      <c r="BC4" s="900"/>
      <c r="BD4" s="900"/>
      <c r="BE4" s="900"/>
      <c r="BF4" s="900"/>
      <c r="BG4" s="900"/>
      <c r="BH4" s="900"/>
    </row>
    <row r="5" spans="1:60" s="9" customFormat="1" ht="29.25" customHeight="1" thickBot="1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7"/>
      <c r="Q5" s="7"/>
      <c r="R5" s="993" t="s">
        <v>161</v>
      </c>
      <c r="S5" s="993"/>
      <c r="T5" s="993"/>
      <c r="U5" s="993"/>
      <c r="V5" s="993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 spans="1:60" s="16" customFormat="1" ht="18.75" thickBot="1">
      <c r="A6" s="10"/>
      <c r="B6" s="84" t="s">
        <v>1</v>
      </c>
      <c r="C6" s="85"/>
      <c r="D6" s="391"/>
      <c r="E6" s="1016"/>
      <c r="F6" s="1017"/>
      <c r="G6" s="1018"/>
      <c r="H6" s="85"/>
      <c r="I6" s="1023" t="s">
        <v>2</v>
      </c>
      <c r="J6" s="1024"/>
      <c r="K6" s="1024"/>
      <c r="L6" s="696"/>
      <c r="M6" s="1025">
        <f>B41+F41+J41</f>
        <v>0</v>
      </c>
      <c r="N6" s="1025"/>
      <c r="O6" s="1026"/>
      <c r="P6" s="3"/>
      <c r="Q6" s="3"/>
      <c r="R6" s="143" t="s">
        <v>110</v>
      </c>
      <c r="S6" s="144"/>
      <c r="T6" s="144"/>
      <c r="U6" s="144"/>
      <c r="V6" s="145" t="s">
        <v>113</v>
      </c>
      <c r="W6" s="7"/>
      <c r="X6" s="7"/>
      <c r="Y6" s="7"/>
      <c r="Z6" s="7"/>
      <c r="AA6" s="12"/>
      <c r="AB6" s="12"/>
      <c r="AC6" s="12"/>
      <c r="AD6" s="12"/>
      <c r="AE6" s="10"/>
      <c r="AF6" s="10"/>
      <c r="AG6" s="10"/>
      <c r="AH6" s="10"/>
      <c r="AI6" s="13"/>
      <c r="AJ6" s="13"/>
      <c r="AK6" s="13"/>
      <c r="AL6" s="13"/>
      <c r="AM6" s="10"/>
      <c r="AN6" s="903"/>
      <c r="AO6" s="903"/>
      <c r="AP6" s="903"/>
      <c r="AQ6" s="903"/>
      <c r="AR6" s="903"/>
      <c r="AS6" s="903"/>
      <c r="AT6" s="903"/>
      <c r="AU6" s="903"/>
      <c r="AV6" s="903"/>
      <c r="AW6" s="10"/>
      <c r="AX6" s="10"/>
      <c r="AY6" s="10"/>
      <c r="AZ6" s="10"/>
      <c r="BA6" s="10"/>
      <c r="BB6" s="10"/>
      <c r="BC6" s="10"/>
      <c r="BD6" s="10"/>
      <c r="BE6" s="14">
        <f>WEEKDAY(AP7,2)</f>
        <v>6</v>
      </c>
      <c r="BF6" s="15">
        <f>DAYS360(AP7,AP8)+1</f>
        <v>1</v>
      </c>
      <c r="BG6" s="10"/>
      <c r="BH6" s="10"/>
    </row>
    <row r="7" spans="1:60" s="16" customFormat="1" ht="18.75" thickBot="1">
      <c r="A7" s="10"/>
      <c r="B7" s="84" t="s">
        <v>3</v>
      </c>
      <c r="C7" s="85"/>
      <c r="D7" s="391"/>
      <c r="E7" s="1016"/>
      <c r="F7" s="1017"/>
      <c r="G7" s="1018"/>
      <c r="H7" s="85"/>
      <c r="I7" s="1009" t="s">
        <v>4</v>
      </c>
      <c r="J7" s="907"/>
      <c r="K7" s="907"/>
      <c r="L7" s="653"/>
      <c r="M7" s="904">
        <f>G9*M6</f>
        <v>0</v>
      </c>
      <c r="N7" s="904"/>
      <c r="O7" s="1019"/>
      <c r="P7" s="3"/>
      <c r="Q7" s="3"/>
      <c r="R7" s="146">
        <v>1</v>
      </c>
      <c r="S7" s="147" t="s">
        <v>112</v>
      </c>
      <c r="T7" s="147">
        <v>15</v>
      </c>
      <c r="U7" s="147" t="s">
        <v>23</v>
      </c>
      <c r="V7" s="148">
        <v>110</v>
      </c>
      <c r="W7" s="10"/>
      <c r="X7" s="10"/>
      <c r="Y7" s="13"/>
      <c r="Z7" s="12"/>
      <c r="AA7" s="12"/>
      <c r="AB7" s="12"/>
      <c r="AC7" s="12"/>
      <c r="AD7" s="89"/>
      <c r="AE7" s="10"/>
      <c r="AF7" s="10"/>
      <c r="AG7" s="10"/>
      <c r="AH7" s="10"/>
      <c r="AI7" s="13"/>
      <c r="AJ7" s="13"/>
      <c r="AK7" s="13"/>
      <c r="AL7" s="13"/>
      <c r="AM7" s="10"/>
      <c r="AN7" s="18"/>
      <c r="AO7" s="18"/>
      <c r="AP7" s="19"/>
      <c r="AQ7" s="19"/>
      <c r="AR7" s="19"/>
      <c r="AS7" s="19"/>
      <c r="AT7" s="19"/>
      <c r="AU7" s="19"/>
      <c r="AV7" s="19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s="16" customFormat="1" ht="18.75" thickBot="1">
      <c r="A8" s="10"/>
      <c r="B8" s="84" t="s">
        <v>5</v>
      </c>
      <c r="C8" s="85"/>
      <c r="D8" s="391"/>
      <c r="E8" s="1016"/>
      <c r="F8" s="1017"/>
      <c r="G8" s="1018"/>
      <c r="H8" s="85"/>
      <c r="I8" s="1002" t="s">
        <v>6</v>
      </c>
      <c r="J8" s="1003"/>
      <c r="K8" s="1003"/>
      <c r="L8" s="699"/>
      <c r="M8" s="1020">
        <f>E41+I41+M41</f>
        <v>0</v>
      </c>
      <c r="N8" s="1020"/>
      <c r="O8" s="1021"/>
      <c r="P8" s="3"/>
      <c r="Q8" s="3"/>
      <c r="R8" s="146">
        <v>16</v>
      </c>
      <c r="S8" s="147" t="s">
        <v>112</v>
      </c>
      <c r="T8" s="147">
        <v>24</v>
      </c>
      <c r="U8" s="147" t="s">
        <v>23</v>
      </c>
      <c r="V8" s="148">
        <v>105</v>
      </c>
      <c r="W8" s="10"/>
      <c r="X8" s="10"/>
      <c r="Y8" s="13"/>
      <c r="Z8" s="12"/>
      <c r="AA8" s="12"/>
      <c r="AB8" s="90"/>
      <c r="AC8" s="12"/>
      <c r="AD8" s="89"/>
      <c r="AE8" s="10"/>
      <c r="AF8" s="10"/>
      <c r="AG8" s="10"/>
      <c r="AH8" s="10"/>
      <c r="AI8" s="13"/>
      <c r="AJ8" s="13"/>
      <c r="AK8" s="13"/>
      <c r="AL8" s="13"/>
      <c r="AM8" s="10"/>
      <c r="AN8" s="18"/>
      <c r="AO8" s="18"/>
      <c r="AP8" s="19"/>
      <c r="AQ8" s="19"/>
      <c r="AR8" s="19"/>
      <c r="AS8" s="19"/>
      <c r="AT8" s="19"/>
      <c r="AU8" s="19"/>
      <c r="AV8" s="19"/>
      <c r="AW8" s="10"/>
      <c r="AX8" s="20"/>
      <c r="AY8" s="10"/>
      <c r="AZ8" s="10"/>
      <c r="BA8" s="10"/>
      <c r="BB8" s="10"/>
      <c r="BC8" s="10"/>
      <c r="BD8" s="10"/>
      <c r="BE8" s="10"/>
      <c r="BF8" s="17"/>
      <c r="BG8" s="10"/>
      <c r="BH8" s="10"/>
    </row>
    <row r="9" spans="1:60" s="16" customFormat="1" ht="18.75" thickBot="1">
      <c r="A9" s="10"/>
      <c r="B9" s="3" t="s">
        <v>7</v>
      </c>
      <c r="C9" s="85"/>
      <c r="D9" s="85"/>
      <c r="E9" s="85"/>
      <c r="F9" s="85"/>
      <c r="G9" s="709">
        <v>30</v>
      </c>
      <c r="H9" s="85"/>
      <c r="I9" s="1009" t="s">
        <v>46</v>
      </c>
      <c r="J9" s="907"/>
      <c r="K9" s="907"/>
      <c r="L9" s="650">
        <v>0</v>
      </c>
      <c r="M9" s="1010">
        <f>M8*L9</f>
        <v>0</v>
      </c>
      <c r="N9" s="1010"/>
      <c r="O9" s="1011"/>
      <c r="P9" s="3"/>
      <c r="Q9" s="3"/>
      <c r="R9" s="146">
        <v>25</v>
      </c>
      <c r="S9" s="147" t="s">
        <v>112</v>
      </c>
      <c r="T9" s="147">
        <v>34</v>
      </c>
      <c r="U9" s="147" t="s">
        <v>23</v>
      </c>
      <c r="V9" s="148">
        <v>100</v>
      </c>
      <c r="W9" s="10"/>
      <c r="X9" s="10"/>
      <c r="Y9" s="13"/>
      <c r="Z9" s="90"/>
      <c r="AA9" s="12"/>
      <c r="AB9" s="12"/>
      <c r="AC9" s="12"/>
      <c r="AD9" s="12"/>
      <c r="AE9" s="10"/>
      <c r="AF9" s="10"/>
      <c r="AG9" s="10"/>
      <c r="AH9" s="10"/>
      <c r="AI9" s="10"/>
      <c r="AJ9" s="10"/>
      <c r="AK9" s="10"/>
      <c r="AL9" s="10"/>
      <c r="AM9" s="10"/>
      <c r="AN9" s="18"/>
      <c r="AO9" s="18"/>
      <c r="AP9" s="18"/>
      <c r="AQ9" s="18"/>
      <c r="AR9" s="18"/>
      <c r="AS9" s="18"/>
      <c r="AT9" s="18"/>
      <c r="AU9" s="18"/>
      <c r="AV9" s="18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60" s="16" customFormat="1" ht="18.75" thickBot="1">
      <c r="A10" s="10"/>
      <c r="B10" s="3" t="s">
        <v>98</v>
      </c>
      <c r="C10" s="85"/>
      <c r="D10" s="85"/>
      <c r="E10" s="85"/>
      <c r="F10" s="85"/>
      <c r="G10" s="709">
        <v>0</v>
      </c>
      <c r="H10" s="85"/>
      <c r="I10" s="1009" t="s">
        <v>47</v>
      </c>
      <c r="J10" s="907"/>
      <c r="K10" s="907"/>
      <c r="L10" s="653"/>
      <c r="M10" s="1010">
        <f>M8-M9</f>
        <v>0</v>
      </c>
      <c r="N10" s="1010"/>
      <c r="O10" s="1011"/>
      <c r="P10" s="3"/>
      <c r="Q10" s="3"/>
      <c r="R10" s="149">
        <v>35</v>
      </c>
      <c r="S10" s="150" t="s">
        <v>112</v>
      </c>
      <c r="T10" s="150">
        <v>99</v>
      </c>
      <c r="U10" s="150" t="s">
        <v>23</v>
      </c>
      <c r="V10" s="151">
        <v>95</v>
      </c>
      <c r="W10" s="10"/>
      <c r="X10" s="10"/>
      <c r="Y10" s="10"/>
      <c r="Z10" s="12"/>
      <c r="AA10" s="12"/>
      <c r="AB10" s="12"/>
      <c r="AC10" s="12"/>
      <c r="AD10" s="12"/>
      <c r="AE10" s="10"/>
      <c r="AF10" s="10"/>
      <c r="AG10" s="10"/>
      <c r="AH10" s="10"/>
      <c r="AI10" s="10"/>
      <c r="AJ10" s="10"/>
      <c r="AK10" s="10"/>
      <c r="AL10" s="10"/>
      <c r="AM10" s="10"/>
      <c r="AN10" s="18"/>
      <c r="AO10" s="18"/>
      <c r="AP10" s="18"/>
      <c r="AQ10" s="18"/>
      <c r="AR10" s="18"/>
      <c r="AS10" s="18"/>
      <c r="AT10" s="18"/>
      <c r="AU10" s="18"/>
      <c r="AV10" s="18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1:60" s="16" customFormat="1" ht="18.75" thickBot="1">
      <c r="A11" s="10"/>
      <c r="B11" s="3"/>
      <c r="C11" s="85"/>
      <c r="D11" s="85"/>
      <c r="E11" s="85"/>
      <c r="F11" s="85"/>
      <c r="G11" s="85"/>
      <c r="H11" s="85"/>
      <c r="I11" s="1012" t="s">
        <v>48</v>
      </c>
      <c r="J11" s="1013"/>
      <c r="K11" s="1013"/>
      <c r="L11" s="698">
        <v>0</v>
      </c>
      <c r="M11" s="1014">
        <f>M10*L11</f>
        <v>0</v>
      </c>
      <c r="N11" s="1014"/>
      <c r="O11" s="1015"/>
      <c r="P11" s="3"/>
      <c r="Q11" s="3"/>
      <c r="R11" s="7"/>
      <c r="S11" s="7"/>
      <c r="T11" s="7"/>
      <c r="U11" s="7"/>
      <c r="V11" s="7"/>
      <c r="W11" s="7"/>
      <c r="X11" s="7"/>
      <c r="Y11" s="7"/>
      <c r="Z11" s="7"/>
      <c r="AA11" s="12"/>
      <c r="AB11" s="12"/>
      <c r="AC11" s="12"/>
      <c r="AD11" s="12"/>
      <c r="AE11" s="10"/>
      <c r="AF11" s="10"/>
      <c r="AG11" s="10"/>
      <c r="AH11" s="10"/>
      <c r="AI11" s="10"/>
      <c r="AJ11" s="10"/>
      <c r="AK11" s="10"/>
      <c r="AL11" s="10"/>
      <c r="AM11" s="10"/>
      <c r="AN11" s="18"/>
      <c r="AO11" s="18"/>
      <c r="AP11" s="18"/>
      <c r="AQ11" s="18"/>
      <c r="AR11" s="18"/>
      <c r="AS11" s="18"/>
      <c r="AT11" s="18"/>
      <c r="AU11" s="18"/>
      <c r="AV11" s="18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16" customFormat="1" ht="20.25" thickBot="1">
      <c r="A12" s="10"/>
      <c r="B12" s="21"/>
      <c r="C12" s="11"/>
      <c r="D12" s="11"/>
      <c r="E12" s="11"/>
      <c r="F12" s="11"/>
      <c r="G12" s="11"/>
      <c r="H12" s="11"/>
      <c r="I12" s="1002" t="s">
        <v>49</v>
      </c>
      <c r="J12" s="1003"/>
      <c r="K12" s="1003"/>
      <c r="L12" s="697"/>
      <c r="M12" s="1004">
        <f>M10-M11</f>
        <v>0</v>
      </c>
      <c r="N12" s="1004"/>
      <c r="O12" s="1005"/>
      <c r="P12" s="10"/>
      <c r="Q12" s="385"/>
      <c r="R12" s="12"/>
      <c r="S12" s="12"/>
      <c r="T12" s="12"/>
      <c r="U12" s="10"/>
      <c r="V12" s="10"/>
      <c r="W12" s="10"/>
      <c r="X12" s="10"/>
      <c r="Y12" s="13"/>
      <c r="Z12" s="12"/>
      <c r="AA12" s="12"/>
      <c r="AB12" s="12"/>
      <c r="AC12" s="12"/>
      <c r="AD12" s="12"/>
      <c r="AE12" s="10"/>
      <c r="AF12" s="10"/>
      <c r="AG12" s="10"/>
      <c r="AH12" s="10"/>
      <c r="AI12" s="10"/>
      <c r="AJ12" s="10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spans="1:60" s="1" customFormat="1" ht="15.75" thickBot="1">
      <c r="A13" s="2"/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"/>
      <c r="BE13" s="2"/>
      <c r="BF13" s="2"/>
      <c r="BG13" s="2"/>
      <c r="BH13" s="2"/>
    </row>
    <row r="14" spans="1:60" s="382" customFormat="1" ht="15.75">
      <c r="A14" s="670" t="s">
        <v>8</v>
      </c>
      <c r="B14" s="1006" t="s">
        <v>9</v>
      </c>
      <c r="C14" s="1007"/>
      <c r="D14" s="1007"/>
      <c r="E14" s="1008"/>
      <c r="F14" s="1006" t="s">
        <v>10</v>
      </c>
      <c r="G14" s="1007"/>
      <c r="H14" s="1007"/>
      <c r="I14" s="1008"/>
      <c r="J14" s="1006" t="s">
        <v>11</v>
      </c>
      <c r="K14" s="1007"/>
      <c r="L14" s="1007"/>
      <c r="M14" s="1008"/>
      <c r="N14" s="1000" t="s">
        <v>50</v>
      </c>
      <c r="O14" s="998"/>
      <c r="P14" s="998"/>
      <c r="Q14" s="998"/>
      <c r="R14" s="998"/>
      <c r="S14" s="998"/>
      <c r="T14" s="1001"/>
      <c r="U14" s="997" t="s">
        <v>51</v>
      </c>
      <c r="V14" s="998"/>
      <c r="W14" s="998"/>
      <c r="X14" s="998"/>
      <c r="Y14" s="998"/>
      <c r="Z14" s="998"/>
      <c r="AA14" s="999"/>
      <c r="AB14" s="1000" t="s">
        <v>52</v>
      </c>
      <c r="AC14" s="998"/>
      <c r="AD14" s="998"/>
      <c r="AE14" s="998"/>
      <c r="AF14" s="998"/>
      <c r="AG14" s="998"/>
      <c r="AH14" s="1001"/>
      <c r="AI14" s="997" t="s">
        <v>12</v>
      </c>
      <c r="AJ14" s="998"/>
      <c r="AK14" s="998"/>
      <c r="AL14" s="998"/>
      <c r="AM14" s="998"/>
      <c r="AN14" s="998"/>
      <c r="AO14" s="999"/>
      <c r="AP14" s="1000" t="s">
        <v>13</v>
      </c>
      <c r="AQ14" s="998"/>
      <c r="AR14" s="998"/>
      <c r="AS14" s="998"/>
      <c r="AT14" s="998"/>
      <c r="AU14" s="998"/>
      <c r="AV14" s="1001"/>
      <c r="AW14" s="990" t="s">
        <v>14</v>
      </c>
      <c r="AX14" s="991"/>
      <c r="AY14" s="991"/>
      <c r="AZ14" s="991"/>
      <c r="BA14" s="991"/>
      <c r="BB14" s="991"/>
      <c r="BC14" s="992"/>
      <c r="BD14" s="383"/>
      <c r="BE14" s="383"/>
      <c r="BF14" s="383"/>
      <c r="BG14" s="383"/>
      <c r="BH14" s="383"/>
    </row>
    <row r="15" spans="1:60" s="358" customFormat="1">
      <c r="A15" s="671"/>
      <c r="B15" s="675"/>
      <c r="C15" s="664" t="s">
        <v>15</v>
      </c>
      <c r="D15" s="664" t="s">
        <v>15</v>
      </c>
      <c r="E15" s="676" t="s">
        <v>15</v>
      </c>
      <c r="F15" s="675"/>
      <c r="G15" s="664" t="s">
        <v>15</v>
      </c>
      <c r="H15" s="664" t="s">
        <v>15</v>
      </c>
      <c r="I15" s="676" t="s">
        <v>15</v>
      </c>
      <c r="J15" s="675"/>
      <c r="K15" s="664" t="s">
        <v>15</v>
      </c>
      <c r="L15" s="664" t="s">
        <v>15</v>
      </c>
      <c r="M15" s="676" t="s">
        <v>15</v>
      </c>
      <c r="N15" s="690" t="s">
        <v>16</v>
      </c>
      <c r="O15" s="665" t="s">
        <v>17</v>
      </c>
      <c r="P15" s="665" t="s">
        <v>18</v>
      </c>
      <c r="Q15" s="665" t="s">
        <v>19</v>
      </c>
      <c r="R15" s="665" t="s">
        <v>20</v>
      </c>
      <c r="S15" s="665" t="s">
        <v>0</v>
      </c>
      <c r="T15" s="666" t="s">
        <v>21</v>
      </c>
      <c r="U15" s="688" t="s">
        <v>16</v>
      </c>
      <c r="V15" s="665" t="s">
        <v>17</v>
      </c>
      <c r="W15" s="665" t="s">
        <v>18</v>
      </c>
      <c r="X15" s="665" t="s">
        <v>19</v>
      </c>
      <c r="Y15" s="665" t="s">
        <v>20</v>
      </c>
      <c r="Z15" s="665" t="s">
        <v>0</v>
      </c>
      <c r="AA15" s="694" t="s">
        <v>21</v>
      </c>
      <c r="AB15" s="690" t="s">
        <v>16</v>
      </c>
      <c r="AC15" s="665" t="s">
        <v>17</v>
      </c>
      <c r="AD15" s="665" t="s">
        <v>18</v>
      </c>
      <c r="AE15" s="665" t="s">
        <v>19</v>
      </c>
      <c r="AF15" s="665" t="s">
        <v>20</v>
      </c>
      <c r="AG15" s="665" t="s">
        <v>0</v>
      </c>
      <c r="AH15" s="666" t="s">
        <v>21</v>
      </c>
      <c r="AI15" s="688" t="s">
        <v>16</v>
      </c>
      <c r="AJ15" s="665" t="s">
        <v>17</v>
      </c>
      <c r="AK15" s="665" t="s">
        <v>18</v>
      </c>
      <c r="AL15" s="665" t="s">
        <v>19</v>
      </c>
      <c r="AM15" s="665" t="s">
        <v>20</v>
      </c>
      <c r="AN15" s="665" t="s">
        <v>0</v>
      </c>
      <c r="AO15" s="694" t="s">
        <v>21</v>
      </c>
      <c r="AP15" s="690" t="s">
        <v>16</v>
      </c>
      <c r="AQ15" s="665" t="s">
        <v>17</v>
      </c>
      <c r="AR15" s="665" t="s">
        <v>18</v>
      </c>
      <c r="AS15" s="665" t="s">
        <v>19</v>
      </c>
      <c r="AT15" s="665" t="s">
        <v>20</v>
      </c>
      <c r="AU15" s="665" t="s">
        <v>0</v>
      </c>
      <c r="AV15" s="666" t="s">
        <v>21</v>
      </c>
      <c r="AW15" s="374" t="s">
        <v>16</v>
      </c>
      <c r="AX15" s="373" t="s">
        <v>17</v>
      </c>
      <c r="AY15" s="373" t="s">
        <v>18</v>
      </c>
      <c r="AZ15" s="373" t="s">
        <v>19</v>
      </c>
      <c r="BA15" s="373" t="s">
        <v>20</v>
      </c>
      <c r="BB15" s="373" t="s">
        <v>0</v>
      </c>
      <c r="BC15" s="372" t="s">
        <v>21</v>
      </c>
      <c r="BD15" s="359"/>
      <c r="BE15" s="359"/>
      <c r="BF15" s="359"/>
      <c r="BG15" s="359"/>
      <c r="BH15" s="359"/>
    </row>
    <row r="16" spans="1:60" s="358" customFormat="1" ht="15.75" thickBot="1">
      <c r="A16" s="672"/>
      <c r="B16" s="677" t="s">
        <v>22</v>
      </c>
      <c r="C16" s="667" t="s">
        <v>23</v>
      </c>
      <c r="D16" s="667" t="s">
        <v>24</v>
      </c>
      <c r="E16" s="678" t="s">
        <v>25</v>
      </c>
      <c r="F16" s="677" t="s">
        <v>22</v>
      </c>
      <c r="G16" s="667" t="s">
        <v>23</v>
      </c>
      <c r="H16" s="667" t="s">
        <v>24</v>
      </c>
      <c r="I16" s="678" t="s">
        <v>25</v>
      </c>
      <c r="J16" s="677" t="s">
        <v>22</v>
      </c>
      <c r="K16" s="667" t="s">
        <v>23</v>
      </c>
      <c r="L16" s="667" t="s">
        <v>24</v>
      </c>
      <c r="M16" s="678" t="s">
        <v>25</v>
      </c>
      <c r="N16" s="691" t="str">
        <f>IF(BE6=1,1,"")</f>
        <v/>
      </c>
      <c r="O16" s="667" t="str">
        <f>IF($BE6=2,1,IF($BE6=1,2,""))</f>
        <v/>
      </c>
      <c r="P16" s="668" t="str">
        <f>IF($BE6=3,1,IF($BE6=2,2,IF(BE6=1,3,"")))</f>
        <v/>
      </c>
      <c r="Q16" s="667" t="str">
        <f>IF($BE6=4,1,IF($BE6=3,2,IF(BE6=2,3,IF(BE6=1,4,""))))</f>
        <v/>
      </c>
      <c r="R16" s="668" t="str">
        <f>IF($BE6=5,1,IF($BE6=4,2,IF(BE6=3,3,IF(BE6=2,4,IF(BE6=1,5,"")))))</f>
        <v/>
      </c>
      <c r="S16" s="667"/>
      <c r="T16" s="669"/>
      <c r="U16" s="689"/>
      <c r="V16" s="667"/>
      <c r="W16" s="668"/>
      <c r="X16" s="667"/>
      <c r="Y16" s="668"/>
      <c r="Z16" s="667"/>
      <c r="AA16" s="695"/>
      <c r="AB16" s="691"/>
      <c r="AC16" s="667"/>
      <c r="AD16" s="668"/>
      <c r="AE16" s="667"/>
      <c r="AF16" s="668"/>
      <c r="AG16" s="667"/>
      <c r="AH16" s="669"/>
      <c r="AI16" s="689"/>
      <c r="AJ16" s="667"/>
      <c r="AK16" s="668"/>
      <c r="AL16" s="667"/>
      <c r="AM16" s="668"/>
      <c r="AN16" s="667"/>
      <c r="AO16" s="695"/>
      <c r="AP16" s="691"/>
      <c r="AQ16" s="667"/>
      <c r="AR16" s="668"/>
      <c r="AS16" s="667"/>
      <c r="AT16" s="668"/>
      <c r="AU16" s="667"/>
      <c r="AV16" s="669"/>
      <c r="AW16" s="363"/>
      <c r="AX16" s="361"/>
      <c r="AY16" s="362"/>
      <c r="AZ16" s="361"/>
      <c r="BA16" s="362"/>
      <c r="BB16" s="361"/>
      <c r="BC16" s="360"/>
      <c r="BD16" s="359"/>
      <c r="BE16" s="359"/>
      <c r="BF16" s="359"/>
      <c r="BG16" s="359"/>
      <c r="BH16" s="359"/>
    </row>
    <row r="17" spans="1:60" s="1" customFormat="1" ht="15.75">
      <c r="A17" s="673" t="s">
        <v>120</v>
      </c>
      <c r="B17" s="679">
        <f t="shared" ref="B17:B40" si="0">SUM(N17:R17,U17:Y17,AB17:AF17,AI17:AM17,AP17:AT17,AW17:BA17)</f>
        <v>0</v>
      </c>
      <c r="C17" s="663">
        <f>'Preise MOREHHKombi+'!B13</f>
        <v>0</v>
      </c>
      <c r="D17" s="395">
        <f>IF(AND($G$9&gt;=$R$9,$G$9&lt;=$T$9),C17*$G$9*$V$9/100,IF(AND($G$9&gt;=$R$8,$G$9&lt;=$T$8),C17*$G$9*$V$8/100,IF(AND($G$9&gt;=$R$7,$G$9&lt;=$T$7),C17*$G$9*$V$7/100,IF($G$9&gt;=$R$10,C17*$G$9*$V$10/100))))</f>
        <v>0</v>
      </c>
      <c r="E17" s="680">
        <f t="shared" ref="E17:E39" si="1">B17*D17*(100+$G$10)/100</f>
        <v>0</v>
      </c>
      <c r="F17" s="679">
        <f t="shared" ref="F17:F40" si="2">SUM(S17,Z17,AG17,AN17,AU17,BB17)</f>
        <v>0</v>
      </c>
      <c r="G17" s="663">
        <f>'Preise MOREHHKombi+'!D13</f>
        <v>0</v>
      </c>
      <c r="H17" s="395">
        <f>IF(AND($G$9&gt;=$R$9,$G$9&lt;=$T$9),G17*$G$9*$V$9/100,IF(AND($G$9&gt;=$R$8,$G$9&lt;=$T$8),G17*$G$9*$V$8/100,IF(AND($G$9&gt;=$R$7,$G$9&lt;=$T$7),G17*$G$9*$V$7/100,IF($G$9&gt;=$R$10,G17*$G$9*$V$10/100))))</f>
        <v>0</v>
      </c>
      <c r="I17" s="680">
        <f t="shared" ref="I17:I40" si="3">F17*H17*(100+$G$10)/100</f>
        <v>0</v>
      </c>
      <c r="J17" s="679">
        <f t="shared" ref="J17:J40" si="4">SUM(T17,AA17,AH17,AO17,AV17,BC17)</f>
        <v>0</v>
      </c>
      <c r="K17" s="663">
        <f>'Preise MOREHHKombi+'!F13</f>
        <v>0</v>
      </c>
      <c r="L17" s="395">
        <f>IF(AND($G$9&gt;=$R$9,$G$9&lt;=$T$9),K17*$G$9*$V$9/100,IF(AND($G$9&gt;=$R$8,$G$9&lt;=$T$8),K17*$G$9*$V$8/100,IF(AND($G$9&gt;=$R$7,$G$9&lt;=$T$7),K17*$G$9*$V$7/100,IF($G$9&gt;=$R$10,K17*$G$9*$V$10/100))))</f>
        <v>0</v>
      </c>
      <c r="M17" s="680">
        <f t="shared" ref="M17:M40" si="5">J17*L17*(100+$G$10)/100</f>
        <v>0</v>
      </c>
      <c r="N17" s="731"/>
      <c r="O17" s="731"/>
      <c r="P17" s="731"/>
      <c r="Q17" s="731"/>
      <c r="R17" s="731"/>
      <c r="S17" s="731"/>
      <c r="T17" s="731"/>
      <c r="U17" s="731"/>
      <c r="V17" s="731"/>
      <c r="W17" s="731"/>
      <c r="X17" s="731"/>
      <c r="Y17" s="731"/>
      <c r="Z17" s="731"/>
      <c r="AA17" s="731"/>
      <c r="AB17" s="731"/>
      <c r="AC17" s="731"/>
      <c r="AD17" s="731"/>
      <c r="AE17" s="731"/>
      <c r="AF17" s="731"/>
      <c r="AG17" s="731"/>
      <c r="AH17" s="731"/>
      <c r="AI17" s="731"/>
      <c r="AJ17" s="731"/>
      <c r="AK17" s="731"/>
      <c r="AL17" s="731"/>
      <c r="AM17" s="731"/>
      <c r="AN17" s="731"/>
      <c r="AO17" s="731"/>
      <c r="AP17" s="731"/>
      <c r="AQ17" s="731"/>
      <c r="AR17" s="731"/>
      <c r="AS17" s="731"/>
      <c r="AT17" s="731"/>
      <c r="AU17" s="731"/>
      <c r="AV17" s="731"/>
      <c r="AW17" s="352"/>
      <c r="AX17" s="351"/>
      <c r="AY17" s="351"/>
      <c r="AZ17" s="351"/>
      <c r="BA17" s="351"/>
      <c r="BB17" s="350"/>
      <c r="BC17" s="349"/>
      <c r="BD17" s="2"/>
      <c r="BE17" s="2"/>
      <c r="BF17" s="4">
        <f>IF($AJ7&lt;6000,0,0.025)</f>
        <v>0</v>
      </c>
      <c r="BG17" s="2"/>
      <c r="BH17" s="2"/>
    </row>
    <row r="18" spans="1:60" s="1" customFormat="1" ht="15.75">
      <c r="A18" s="674" t="s">
        <v>119</v>
      </c>
      <c r="B18" s="681">
        <f t="shared" si="0"/>
        <v>0</v>
      </c>
      <c r="C18" s="344">
        <f>'Preise MOREHHKombi+'!B14</f>
        <v>0</v>
      </c>
      <c r="D18" s="395">
        <f t="shared" ref="D18:D40" si="6">IF(AND($G$9&gt;=$R$9,$G$9&lt;=$T$9),C18*$G$9*$V$9/100,IF(AND($G$9&gt;=$R$8,$G$9&lt;=$T$8),C18*$G$9*$V$8/100,IF(AND($G$9&gt;=$R$7,$G$9&lt;=$T$7),C18*$G$9*$V$7/100,IF($G$9&gt;=$R$10,C18*$G$9*$V$10/100))))</f>
        <v>0</v>
      </c>
      <c r="E18" s="682">
        <f t="shared" si="1"/>
        <v>0</v>
      </c>
      <c r="F18" s="679">
        <f t="shared" si="2"/>
        <v>0</v>
      </c>
      <c r="G18" s="344">
        <f>'Preise MOREHHKombi+'!D14</f>
        <v>0</v>
      </c>
      <c r="H18" s="395">
        <f t="shared" ref="H18:H40" si="7">IF(AND($G$9&gt;=$R$9,$G$9&lt;=$T$9),G18*$G$9*$V$9/100,IF(AND($G$9&gt;=$R$8,$G$9&lt;=$T$8),G18*$G$9*$V$8/100,IF(AND($G$9&gt;=$R$7,$G$9&lt;=$T$7),G18*$G$9*$V$7/100,IF($G$9&gt;=$R$10,G18*$G$9*$V$10/100))))</f>
        <v>0</v>
      </c>
      <c r="I18" s="682">
        <f t="shared" si="3"/>
        <v>0</v>
      </c>
      <c r="J18" s="679">
        <f t="shared" si="4"/>
        <v>0</v>
      </c>
      <c r="K18" s="344">
        <f>'Preise MOREHHKombi+'!F14</f>
        <v>0</v>
      </c>
      <c r="L18" s="343">
        <f t="shared" ref="L18:L40" si="8">IF(AND($G$9&gt;=$R$9,$G$9&lt;=$T$9),K18*$G$9*$V$9/100,IF(AND($G$9&gt;=$R$8,$G$9&lt;=$T$8),K18*$G$9*$V$8/100,IF(AND($G$9&gt;=$R$7,$G$9&lt;=$T$7),K18*$G$9*$V$7/100,IF($G$9&gt;=$R$10,K18*$G$9*$V$10/100))))</f>
        <v>0</v>
      </c>
      <c r="M18" s="682">
        <f t="shared" si="5"/>
        <v>0</v>
      </c>
      <c r="N18" s="731"/>
      <c r="O18" s="731"/>
      <c r="P18" s="731"/>
      <c r="Q18" s="731"/>
      <c r="R18" s="731"/>
      <c r="S18" s="731"/>
      <c r="T18" s="731"/>
      <c r="U18" s="731"/>
      <c r="V18" s="731"/>
      <c r="W18" s="731"/>
      <c r="X18" s="731"/>
      <c r="Y18" s="731"/>
      <c r="Z18" s="731"/>
      <c r="AA18" s="731"/>
      <c r="AB18" s="731"/>
      <c r="AC18" s="731"/>
      <c r="AD18" s="731"/>
      <c r="AE18" s="731"/>
      <c r="AF18" s="731"/>
      <c r="AG18" s="731"/>
      <c r="AH18" s="731"/>
      <c r="AI18" s="731"/>
      <c r="AJ18" s="731"/>
      <c r="AK18" s="731"/>
      <c r="AL18" s="731"/>
      <c r="AM18" s="731"/>
      <c r="AN18" s="731"/>
      <c r="AO18" s="731"/>
      <c r="AP18" s="731"/>
      <c r="AQ18" s="731"/>
      <c r="AR18" s="731"/>
      <c r="AS18" s="731"/>
      <c r="AT18" s="731"/>
      <c r="AU18" s="731"/>
      <c r="AV18" s="731"/>
      <c r="AW18" s="399"/>
      <c r="AX18" s="400"/>
      <c r="AY18" s="400"/>
      <c r="AZ18" s="400"/>
      <c r="BA18" s="400"/>
      <c r="BB18" s="401"/>
      <c r="BC18" s="402"/>
      <c r="BD18" s="2"/>
      <c r="BE18" s="2"/>
      <c r="BF18" s="4"/>
      <c r="BG18" s="2"/>
      <c r="BH18" s="2"/>
    </row>
    <row r="19" spans="1:60" s="1" customFormat="1" ht="15.75">
      <c r="A19" s="674" t="s">
        <v>118</v>
      </c>
      <c r="B19" s="681">
        <f t="shared" si="0"/>
        <v>0</v>
      </c>
      <c r="C19" s="344">
        <f>'Preise MOREHHKombi+'!B15</f>
        <v>0</v>
      </c>
      <c r="D19" s="395">
        <f t="shared" si="6"/>
        <v>0</v>
      </c>
      <c r="E19" s="682">
        <f t="shared" si="1"/>
        <v>0</v>
      </c>
      <c r="F19" s="679">
        <f t="shared" si="2"/>
        <v>0</v>
      </c>
      <c r="G19" s="344">
        <f>'Preise MOREHHKombi+'!D15</f>
        <v>0</v>
      </c>
      <c r="H19" s="395">
        <f t="shared" si="7"/>
        <v>0</v>
      </c>
      <c r="I19" s="682">
        <f t="shared" si="3"/>
        <v>0</v>
      </c>
      <c r="J19" s="679">
        <f t="shared" si="4"/>
        <v>0</v>
      </c>
      <c r="K19" s="344">
        <f>'Preise MOREHHKombi+'!F15</f>
        <v>0</v>
      </c>
      <c r="L19" s="343">
        <f t="shared" si="8"/>
        <v>0</v>
      </c>
      <c r="M19" s="682">
        <f t="shared" si="5"/>
        <v>0</v>
      </c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731"/>
      <c r="AB19" s="731"/>
      <c r="AC19" s="731"/>
      <c r="AD19" s="731"/>
      <c r="AE19" s="731"/>
      <c r="AF19" s="731"/>
      <c r="AG19" s="731"/>
      <c r="AH19" s="731"/>
      <c r="AI19" s="731"/>
      <c r="AJ19" s="731"/>
      <c r="AK19" s="731"/>
      <c r="AL19" s="731"/>
      <c r="AM19" s="731"/>
      <c r="AN19" s="731"/>
      <c r="AO19" s="731"/>
      <c r="AP19" s="731"/>
      <c r="AQ19" s="731"/>
      <c r="AR19" s="731"/>
      <c r="AS19" s="731"/>
      <c r="AT19" s="731"/>
      <c r="AU19" s="731"/>
      <c r="AV19" s="731"/>
      <c r="AW19" s="399"/>
      <c r="AX19" s="400"/>
      <c r="AY19" s="400"/>
      <c r="AZ19" s="400"/>
      <c r="BA19" s="400"/>
      <c r="BB19" s="401"/>
      <c r="BC19" s="402"/>
      <c r="BD19" s="2"/>
      <c r="BE19" s="2"/>
      <c r="BF19" s="4"/>
      <c r="BG19" s="2"/>
      <c r="BH19" s="2"/>
    </row>
    <row r="20" spans="1:60" s="1" customFormat="1" ht="15.75">
      <c r="A20" s="674" t="s">
        <v>117</v>
      </c>
      <c r="B20" s="685">
        <f t="shared" si="0"/>
        <v>0</v>
      </c>
      <c r="C20" s="344">
        <f>'Preise MOREHHKombi+'!B16</f>
        <v>0</v>
      </c>
      <c r="D20" s="395">
        <f t="shared" si="6"/>
        <v>0</v>
      </c>
      <c r="E20" s="682">
        <f t="shared" si="1"/>
        <v>0</v>
      </c>
      <c r="F20" s="679">
        <f t="shared" si="2"/>
        <v>0</v>
      </c>
      <c r="G20" s="344">
        <f>'Preise MOREHHKombi+'!D16</f>
        <v>0</v>
      </c>
      <c r="H20" s="395">
        <f t="shared" si="7"/>
        <v>0</v>
      </c>
      <c r="I20" s="682">
        <f t="shared" si="3"/>
        <v>0</v>
      </c>
      <c r="J20" s="679">
        <f t="shared" si="4"/>
        <v>0</v>
      </c>
      <c r="K20" s="344">
        <f>'Preise MOREHHKombi+'!F16</f>
        <v>0</v>
      </c>
      <c r="L20" s="343">
        <f t="shared" si="8"/>
        <v>0</v>
      </c>
      <c r="M20" s="682">
        <f t="shared" si="5"/>
        <v>0</v>
      </c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731"/>
      <c r="AB20" s="731"/>
      <c r="AC20" s="731"/>
      <c r="AD20" s="731"/>
      <c r="AE20" s="731"/>
      <c r="AF20" s="731"/>
      <c r="AG20" s="731"/>
      <c r="AH20" s="731"/>
      <c r="AI20" s="731"/>
      <c r="AJ20" s="731"/>
      <c r="AK20" s="731"/>
      <c r="AL20" s="731"/>
      <c r="AM20" s="731"/>
      <c r="AN20" s="731"/>
      <c r="AO20" s="731"/>
      <c r="AP20" s="731"/>
      <c r="AQ20" s="731"/>
      <c r="AR20" s="731"/>
      <c r="AS20" s="731"/>
      <c r="AT20" s="731"/>
      <c r="AU20" s="731"/>
      <c r="AV20" s="731"/>
      <c r="AW20" s="399"/>
      <c r="AX20" s="400"/>
      <c r="AY20" s="400"/>
      <c r="AZ20" s="400"/>
      <c r="BA20" s="400"/>
      <c r="BB20" s="401"/>
      <c r="BC20" s="402"/>
      <c r="BD20" s="2"/>
      <c r="BE20" s="2"/>
      <c r="BF20" s="4"/>
      <c r="BG20" s="2"/>
      <c r="BH20" s="2"/>
    </row>
    <row r="21" spans="1:60" s="1" customFormat="1" ht="15.75">
      <c r="A21" s="674" t="s">
        <v>116</v>
      </c>
      <c r="B21" s="732">
        <f t="shared" si="0"/>
        <v>0</v>
      </c>
      <c r="C21" s="344">
        <f>'Preise MOREHHKombi+'!B17</f>
        <v>0</v>
      </c>
      <c r="D21" s="395">
        <f t="shared" si="6"/>
        <v>0</v>
      </c>
      <c r="E21" s="682">
        <f t="shared" si="1"/>
        <v>0</v>
      </c>
      <c r="F21" s="679">
        <f t="shared" si="2"/>
        <v>0</v>
      </c>
      <c r="G21" s="344">
        <f>'Preise MOREHHKombi+'!D17</f>
        <v>0</v>
      </c>
      <c r="H21" s="395">
        <f t="shared" si="7"/>
        <v>0</v>
      </c>
      <c r="I21" s="682">
        <f t="shared" si="3"/>
        <v>0</v>
      </c>
      <c r="J21" s="679">
        <f t="shared" si="4"/>
        <v>0</v>
      </c>
      <c r="K21" s="344">
        <f>'Preise MOREHHKombi+'!F17</f>
        <v>0</v>
      </c>
      <c r="L21" s="343">
        <f t="shared" si="8"/>
        <v>0</v>
      </c>
      <c r="M21" s="682">
        <f t="shared" si="5"/>
        <v>0</v>
      </c>
      <c r="N21" s="731"/>
      <c r="O21" s="731"/>
      <c r="P21" s="731"/>
      <c r="Q21" s="731"/>
      <c r="R21" s="731"/>
      <c r="S21" s="731"/>
      <c r="T21" s="731"/>
      <c r="U21" s="731"/>
      <c r="V21" s="731"/>
      <c r="W21" s="731"/>
      <c r="X21" s="731"/>
      <c r="Y21" s="731"/>
      <c r="Z21" s="731"/>
      <c r="AA21" s="731"/>
      <c r="AB21" s="731"/>
      <c r="AC21" s="731"/>
      <c r="AD21" s="731"/>
      <c r="AE21" s="731"/>
      <c r="AF21" s="731"/>
      <c r="AG21" s="731"/>
      <c r="AH21" s="731"/>
      <c r="AI21" s="731"/>
      <c r="AJ21" s="731"/>
      <c r="AK21" s="731"/>
      <c r="AL21" s="731"/>
      <c r="AM21" s="731"/>
      <c r="AN21" s="731"/>
      <c r="AO21" s="731"/>
      <c r="AP21" s="731"/>
      <c r="AQ21" s="731"/>
      <c r="AR21" s="731"/>
      <c r="AS21" s="731"/>
      <c r="AT21" s="731"/>
      <c r="AU21" s="731"/>
      <c r="AV21" s="731"/>
      <c r="AW21" s="399"/>
      <c r="AX21" s="400"/>
      <c r="AY21" s="400"/>
      <c r="AZ21" s="400"/>
      <c r="BA21" s="400"/>
      <c r="BB21" s="401"/>
      <c r="BC21" s="402"/>
      <c r="BD21" s="2"/>
      <c r="BE21" s="2"/>
      <c r="BF21" s="4"/>
      <c r="BG21" s="2"/>
      <c r="BH21" s="2"/>
    </row>
    <row r="22" spans="1:60" s="1" customFormat="1" ht="15.75">
      <c r="A22" s="674" t="s">
        <v>26</v>
      </c>
      <c r="B22" s="683">
        <f t="shared" si="0"/>
        <v>0</v>
      </c>
      <c r="C22" s="344">
        <f>'Preise MOREHHKombi+'!B18</f>
        <v>21</v>
      </c>
      <c r="D22" s="343">
        <f t="shared" si="6"/>
        <v>630</v>
      </c>
      <c r="E22" s="682">
        <f t="shared" si="1"/>
        <v>0</v>
      </c>
      <c r="F22" s="681">
        <f t="shared" si="2"/>
        <v>0</v>
      </c>
      <c r="G22" s="344">
        <f>'Preise MOREHHKombi+'!D18</f>
        <v>5</v>
      </c>
      <c r="H22" s="343">
        <f t="shared" si="7"/>
        <v>150</v>
      </c>
      <c r="I22" s="682">
        <f t="shared" si="3"/>
        <v>0</v>
      </c>
      <c r="J22" s="681">
        <f t="shared" si="4"/>
        <v>0</v>
      </c>
      <c r="K22" s="344">
        <f>'Preise MOREHHKombi+'!F18</f>
        <v>4.5</v>
      </c>
      <c r="L22" s="343">
        <f t="shared" si="8"/>
        <v>135</v>
      </c>
      <c r="M22" s="682">
        <f t="shared" si="5"/>
        <v>0</v>
      </c>
      <c r="N22" s="692"/>
      <c r="O22" s="340"/>
      <c r="P22" s="340"/>
      <c r="Q22" s="340"/>
      <c r="R22" s="340"/>
      <c r="S22" s="492"/>
      <c r="T22" s="693"/>
      <c r="U22" s="493"/>
      <c r="V22" s="340"/>
      <c r="W22" s="340"/>
      <c r="X22" s="340"/>
      <c r="Y22" s="340"/>
      <c r="Z22" s="492"/>
      <c r="AA22" s="693"/>
      <c r="AB22" s="692"/>
      <c r="AC22" s="340"/>
      <c r="AD22" s="340"/>
      <c r="AE22" s="340"/>
      <c r="AF22" s="340"/>
      <c r="AG22" s="492"/>
      <c r="AH22" s="693"/>
      <c r="AI22" s="493"/>
      <c r="AJ22" s="340"/>
      <c r="AK22" s="340"/>
      <c r="AL22" s="340"/>
      <c r="AM22" s="340"/>
      <c r="AN22" s="492"/>
      <c r="AO22" s="693"/>
      <c r="AP22" s="692"/>
      <c r="AQ22" s="340"/>
      <c r="AR22" s="340"/>
      <c r="AS22" s="340"/>
      <c r="AT22" s="340"/>
      <c r="AU22" s="492"/>
      <c r="AV22" s="693"/>
      <c r="AW22" s="339"/>
      <c r="AX22" s="51"/>
      <c r="AY22" s="51"/>
      <c r="AZ22" s="51"/>
      <c r="BA22" s="51"/>
      <c r="BB22" s="52"/>
      <c r="BC22" s="338"/>
      <c r="BD22" s="2"/>
      <c r="BE22" s="2"/>
      <c r="BF22" s="4">
        <f>IF($AJ6&lt;9000,0,0.025)</f>
        <v>0</v>
      </c>
      <c r="BG22" s="2"/>
      <c r="BH22" s="2"/>
    </row>
    <row r="23" spans="1:60" s="1" customFormat="1" ht="15.75">
      <c r="A23" s="674" t="s">
        <v>27</v>
      </c>
      <c r="B23" s="683">
        <f t="shared" si="0"/>
        <v>0</v>
      </c>
      <c r="C23" s="344">
        <f>'Preise MOREHHKombi+'!B19</f>
        <v>72</v>
      </c>
      <c r="D23" s="343">
        <f t="shared" si="6"/>
        <v>2160</v>
      </c>
      <c r="E23" s="682">
        <f t="shared" si="1"/>
        <v>0</v>
      </c>
      <c r="F23" s="681">
        <f t="shared" si="2"/>
        <v>0</v>
      </c>
      <c r="G23" s="344">
        <f>'Preise MOREHHKombi+'!D19</f>
        <v>18</v>
      </c>
      <c r="H23" s="343">
        <f t="shared" si="7"/>
        <v>540</v>
      </c>
      <c r="I23" s="682">
        <f t="shared" si="3"/>
        <v>0</v>
      </c>
      <c r="J23" s="681">
        <f t="shared" si="4"/>
        <v>0</v>
      </c>
      <c r="K23" s="344">
        <f>'Preise MOREHHKombi+'!F19</f>
        <v>8</v>
      </c>
      <c r="L23" s="343">
        <f t="shared" si="8"/>
        <v>240</v>
      </c>
      <c r="M23" s="682">
        <f t="shared" si="5"/>
        <v>0</v>
      </c>
      <c r="N23" s="692"/>
      <c r="O23" s="340"/>
      <c r="P23" s="340"/>
      <c r="Q23" s="340"/>
      <c r="R23" s="340"/>
      <c r="S23" s="492"/>
      <c r="T23" s="693"/>
      <c r="U23" s="493"/>
      <c r="V23" s="340"/>
      <c r="W23" s="340"/>
      <c r="X23" s="340"/>
      <c r="Y23" s="340"/>
      <c r="Z23" s="492"/>
      <c r="AA23" s="693"/>
      <c r="AB23" s="692"/>
      <c r="AC23" s="340"/>
      <c r="AD23" s="340"/>
      <c r="AE23" s="340"/>
      <c r="AF23" s="340"/>
      <c r="AG23" s="492"/>
      <c r="AH23" s="693"/>
      <c r="AI23" s="493"/>
      <c r="AJ23" s="340"/>
      <c r="AK23" s="340"/>
      <c r="AL23" s="340"/>
      <c r="AM23" s="340"/>
      <c r="AN23" s="492"/>
      <c r="AO23" s="693"/>
      <c r="AP23" s="692"/>
      <c r="AQ23" s="340"/>
      <c r="AR23" s="340"/>
      <c r="AS23" s="340"/>
      <c r="AT23" s="340"/>
      <c r="AU23" s="492"/>
      <c r="AV23" s="693"/>
      <c r="AW23" s="339"/>
      <c r="AX23" s="51"/>
      <c r="AY23" s="51"/>
      <c r="AZ23" s="51"/>
      <c r="BA23" s="51"/>
      <c r="BB23" s="52"/>
      <c r="BC23" s="338"/>
      <c r="BD23" s="2"/>
      <c r="BE23" s="2"/>
      <c r="BF23" s="4">
        <f>IF($AJ7&lt;9000,0,0.025)</f>
        <v>0</v>
      </c>
      <c r="BG23" s="2"/>
      <c r="BH23" s="2"/>
    </row>
    <row r="24" spans="1:60" s="1" customFormat="1" ht="15.75">
      <c r="A24" s="674" t="s">
        <v>28</v>
      </c>
      <c r="B24" s="683">
        <f t="shared" si="0"/>
        <v>0</v>
      </c>
      <c r="C24" s="344">
        <f>'Preise MOREHHKombi+'!B20</f>
        <v>103</v>
      </c>
      <c r="D24" s="343">
        <f t="shared" si="6"/>
        <v>3090</v>
      </c>
      <c r="E24" s="682">
        <f t="shared" si="1"/>
        <v>0</v>
      </c>
      <c r="F24" s="681">
        <f t="shared" si="2"/>
        <v>0</v>
      </c>
      <c r="G24" s="344">
        <f>'Preise MOREHHKombi+'!D20</f>
        <v>55</v>
      </c>
      <c r="H24" s="343">
        <f t="shared" si="7"/>
        <v>1650</v>
      </c>
      <c r="I24" s="682">
        <f t="shared" si="3"/>
        <v>0</v>
      </c>
      <c r="J24" s="681">
        <f t="shared" si="4"/>
        <v>0</v>
      </c>
      <c r="K24" s="344">
        <f>'Preise MOREHHKombi+'!F20</f>
        <v>16</v>
      </c>
      <c r="L24" s="343">
        <f t="shared" si="8"/>
        <v>480</v>
      </c>
      <c r="M24" s="682">
        <f t="shared" si="5"/>
        <v>0</v>
      </c>
      <c r="N24" s="692"/>
      <c r="O24" s="340"/>
      <c r="P24" s="340"/>
      <c r="Q24" s="340"/>
      <c r="R24" s="340"/>
      <c r="S24" s="492"/>
      <c r="T24" s="693"/>
      <c r="U24" s="493"/>
      <c r="V24" s="340"/>
      <c r="W24" s="340"/>
      <c r="X24" s="340"/>
      <c r="Y24" s="340"/>
      <c r="Z24" s="492"/>
      <c r="AA24" s="693"/>
      <c r="AB24" s="692"/>
      <c r="AC24" s="340"/>
      <c r="AD24" s="340"/>
      <c r="AE24" s="340"/>
      <c r="AF24" s="340"/>
      <c r="AG24" s="492"/>
      <c r="AH24" s="693"/>
      <c r="AI24" s="493"/>
      <c r="AJ24" s="340"/>
      <c r="AK24" s="340"/>
      <c r="AL24" s="340"/>
      <c r="AM24" s="340"/>
      <c r="AN24" s="492"/>
      <c r="AO24" s="693"/>
      <c r="AP24" s="692"/>
      <c r="AQ24" s="340"/>
      <c r="AR24" s="340"/>
      <c r="AS24" s="340"/>
      <c r="AT24" s="340"/>
      <c r="AU24" s="492"/>
      <c r="AV24" s="693"/>
      <c r="AW24" s="339"/>
      <c r="AX24" s="51"/>
      <c r="AY24" s="51"/>
      <c r="AZ24" s="51"/>
      <c r="BA24" s="51"/>
      <c r="BB24" s="52"/>
      <c r="BC24" s="338"/>
      <c r="BD24" s="2"/>
      <c r="BE24" s="2"/>
      <c r="BF24" s="4">
        <f>IF($AJ7&lt;12000,0,0.05)</f>
        <v>0</v>
      </c>
      <c r="BG24" s="2"/>
      <c r="BH24" s="2"/>
    </row>
    <row r="25" spans="1:60" s="1" customFormat="1" ht="15.75">
      <c r="A25" s="674" t="s">
        <v>29</v>
      </c>
      <c r="B25" s="683">
        <f t="shared" si="0"/>
        <v>0</v>
      </c>
      <c r="C25" s="344">
        <f>'Preise MOREHHKombi+'!B21</f>
        <v>87</v>
      </c>
      <c r="D25" s="343">
        <f t="shared" si="6"/>
        <v>2610</v>
      </c>
      <c r="E25" s="682">
        <f t="shared" si="1"/>
        <v>0</v>
      </c>
      <c r="F25" s="681">
        <f t="shared" si="2"/>
        <v>0</v>
      </c>
      <c r="G25" s="344">
        <f>'Preise MOREHHKombi+'!D21</f>
        <v>72</v>
      </c>
      <c r="H25" s="343">
        <f t="shared" si="7"/>
        <v>2160</v>
      </c>
      <c r="I25" s="682">
        <f t="shared" si="3"/>
        <v>0</v>
      </c>
      <c r="J25" s="681">
        <f t="shared" si="4"/>
        <v>0</v>
      </c>
      <c r="K25" s="344">
        <f>'Preise MOREHHKombi+'!F21</f>
        <v>49</v>
      </c>
      <c r="L25" s="343">
        <f t="shared" si="8"/>
        <v>1470</v>
      </c>
      <c r="M25" s="682">
        <f t="shared" si="5"/>
        <v>0</v>
      </c>
      <c r="N25" s="692"/>
      <c r="O25" s="340"/>
      <c r="P25" s="340"/>
      <c r="Q25" s="340"/>
      <c r="R25" s="340"/>
      <c r="S25" s="492"/>
      <c r="T25" s="693"/>
      <c r="U25" s="493"/>
      <c r="V25" s="340"/>
      <c r="W25" s="340"/>
      <c r="X25" s="340"/>
      <c r="Y25" s="340"/>
      <c r="Z25" s="492"/>
      <c r="AA25" s="693"/>
      <c r="AB25" s="692"/>
      <c r="AC25" s="340"/>
      <c r="AD25" s="340"/>
      <c r="AE25" s="340"/>
      <c r="AF25" s="340"/>
      <c r="AG25" s="492"/>
      <c r="AH25" s="693"/>
      <c r="AI25" s="493"/>
      <c r="AJ25" s="340"/>
      <c r="AK25" s="340"/>
      <c r="AL25" s="340"/>
      <c r="AM25" s="340"/>
      <c r="AN25" s="492"/>
      <c r="AO25" s="693"/>
      <c r="AP25" s="692"/>
      <c r="AQ25" s="340"/>
      <c r="AR25" s="340"/>
      <c r="AS25" s="340"/>
      <c r="AT25" s="340"/>
      <c r="AU25" s="492"/>
      <c r="AV25" s="693"/>
      <c r="AW25" s="339"/>
      <c r="AX25" s="51"/>
      <c r="AY25" s="51"/>
      <c r="AZ25" s="51"/>
      <c r="BA25" s="51"/>
      <c r="BB25" s="52"/>
      <c r="BC25" s="338"/>
      <c r="BD25" s="2"/>
      <c r="BE25" s="2"/>
      <c r="BF25" s="2">
        <f>SUM(BF17:BF24)</f>
        <v>0</v>
      </c>
      <c r="BG25" s="55">
        <f>AI8</f>
        <v>0</v>
      </c>
      <c r="BH25" s="2">
        <f>BG25*(1-BF25)</f>
        <v>0</v>
      </c>
    </row>
    <row r="26" spans="1:60" s="1" customFormat="1" ht="15.75">
      <c r="A26" s="674" t="s">
        <v>30</v>
      </c>
      <c r="B26" s="683">
        <f t="shared" si="0"/>
        <v>0</v>
      </c>
      <c r="C26" s="344">
        <f>'Preise MOREHHKombi+'!B22</f>
        <v>72</v>
      </c>
      <c r="D26" s="343">
        <f t="shared" si="6"/>
        <v>2160</v>
      </c>
      <c r="E26" s="682">
        <f t="shared" si="1"/>
        <v>0</v>
      </c>
      <c r="F26" s="681">
        <f t="shared" si="2"/>
        <v>0</v>
      </c>
      <c r="G26" s="344">
        <f>'Preise MOREHHKombi+'!D22</f>
        <v>95</v>
      </c>
      <c r="H26" s="343">
        <f t="shared" si="7"/>
        <v>2850</v>
      </c>
      <c r="I26" s="682">
        <f t="shared" si="3"/>
        <v>0</v>
      </c>
      <c r="J26" s="681">
        <f t="shared" si="4"/>
        <v>0</v>
      </c>
      <c r="K26" s="344">
        <f>'Preise MOREHHKombi+'!F22</f>
        <v>83</v>
      </c>
      <c r="L26" s="343">
        <f t="shared" si="8"/>
        <v>2490</v>
      </c>
      <c r="M26" s="682">
        <f t="shared" si="5"/>
        <v>0</v>
      </c>
      <c r="N26" s="692"/>
      <c r="O26" s="340"/>
      <c r="P26" s="340"/>
      <c r="Q26" s="340"/>
      <c r="R26" s="340"/>
      <c r="S26" s="492"/>
      <c r="T26" s="693"/>
      <c r="U26" s="493"/>
      <c r="V26" s="340"/>
      <c r="W26" s="340"/>
      <c r="X26" s="340"/>
      <c r="Y26" s="340"/>
      <c r="Z26" s="492"/>
      <c r="AA26" s="693"/>
      <c r="AB26" s="692"/>
      <c r="AC26" s="340"/>
      <c r="AD26" s="340"/>
      <c r="AE26" s="340"/>
      <c r="AF26" s="340"/>
      <c r="AG26" s="492"/>
      <c r="AH26" s="693"/>
      <c r="AI26" s="493"/>
      <c r="AJ26" s="340"/>
      <c r="AK26" s="340"/>
      <c r="AL26" s="340"/>
      <c r="AM26" s="340"/>
      <c r="AN26" s="492"/>
      <c r="AO26" s="693"/>
      <c r="AP26" s="692"/>
      <c r="AQ26" s="340"/>
      <c r="AR26" s="340"/>
      <c r="AS26" s="340"/>
      <c r="AT26" s="340"/>
      <c r="AU26" s="492"/>
      <c r="AV26" s="693"/>
      <c r="AW26" s="339"/>
      <c r="AX26" s="51"/>
      <c r="AY26" s="51"/>
      <c r="AZ26" s="51"/>
      <c r="BA26" s="51"/>
      <c r="BB26" s="52"/>
      <c r="BC26" s="338"/>
      <c r="BD26" s="2"/>
      <c r="BE26" s="2"/>
      <c r="BF26" s="2"/>
      <c r="BG26" s="2"/>
      <c r="BH26" s="2"/>
    </row>
    <row r="27" spans="1:60" s="1" customFormat="1" ht="15.75">
      <c r="A27" s="674" t="s">
        <v>31</v>
      </c>
      <c r="B27" s="683">
        <f t="shared" si="0"/>
        <v>0</v>
      </c>
      <c r="C27" s="344">
        <f>'Preise MOREHHKombi+'!B23</f>
        <v>48</v>
      </c>
      <c r="D27" s="343">
        <f t="shared" si="6"/>
        <v>1440</v>
      </c>
      <c r="E27" s="682">
        <f t="shared" si="1"/>
        <v>0</v>
      </c>
      <c r="F27" s="681">
        <f t="shared" si="2"/>
        <v>0</v>
      </c>
      <c r="G27" s="344">
        <f>'Preise MOREHHKombi+'!D23</f>
        <v>101</v>
      </c>
      <c r="H27" s="343">
        <f t="shared" si="7"/>
        <v>3030</v>
      </c>
      <c r="I27" s="682">
        <f t="shared" si="3"/>
        <v>0</v>
      </c>
      <c r="J27" s="681">
        <f t="shared" si="4"/>
        <v>0</v>
      </c>
      <c r="K27" s="344">
        <f>'Preise MOREHHKombi+'!F23</f>
        <v>59</v>
      </c>
      <c r="L27" s="343">
        <f t="shared" si="8"/>
        <v>1770</v>
      </c>
      <c r="M27" s="682">
        <f t="shared" si="5"/>
        <v>0</v>
      </c>
      <c r="N27" s="692"/>
      <c r="O27" s="340"/>
      <c r="P27" s="340"/>
      <c r="Q27" s="340"/>
      <c r="R27" s="340"/>
      <c r="S27" s="492"/>
      <c r="T27" s="693"/>
      <c r="U27" s="493"/>
      <c r="V27" s="340"/>
      <c r="W27" s="340"/>
      <c r="X27" s="340"/>
      <c r="Y27" s="340"/>
      <c r="Z27" s="492"/>
      <c r="AA27" s="693"/>
      <c r="AB27" s="692"/>
      <c r="AC27" s="340"/>
      <c r="AD27" s="340"/>
      <c r="AE27" s="340"/>
      <c r="AF27" s="340"/>
      <c r="AG27" s="492"/>
      <c r="AH27" s="693"/>
      <c r="AI27" s="493"/>
      <c r="AJ27" s="340"/>
      <c r="AK27" s="340"/>
      <c r="AL27" s="340"/>
      <c r="AM27" s="340"/>
      <c r="AN27" s="492"/>
      <c r="AO27" s="693"/>
      <c r="AP27" s="692"/>
      <c r="AQ27" s="340"/>
      <c r="AR27" s="340"/>
      <c r="AS27" s="340"/>
      <c r="AT27" s="340"/>
      <c r="AU27" s="492"/>
      <c r="AV27" s="693"/>
      <c r="AW27" s="339"/>
      <c r="AX27" s="51"/>
      <c r="AY27" s="51"/>
      <c r="AZ27" s="51"/>
      <c r="BA27" s="51"/>
      <c r="BB27" s="52"/>
      <c r="BC27" s="338"/>
      <c r="BD27" s="2"/>
      <c r="BE27" s="2"/>
      <c r="BF27" s="2"/>
      <c r="BG27" s="2"/>
      <c r="BH27" s="2"/>
    </row>
    <row r="28" spans="1:60" s="1" customFormat="1" ht="15.75">
      <c r="A28" s="674" t="s">
        <v>32</v>
      </c>
      <c r="B28" s="683">
        <f t="shared" si="0"/>
        <v>0</v>
      </c>
      <c r="C28" s="344">
        <f>'Preise MOREHHKombi+'!B24</f>
        <v>45</v>
      </c>
      <c r="D28" s="343">
        <f t="shared" si="6"/>
        <v>1350</v>
      </c>
      <c r="E28" s="682">
        <f t="shared" si="1"/>
        <v>0</v>
      </c>
      <c r="F28" s="681">
        <f t="shared" si="2"/>
        <v>0</v>
      </c>
      <c r="G28" s="344">
        <f>'Preise MOREHHKombi+'!D24</f>
        <v>59</v>
      </c>
      <c r="H28" s="343">
        <f t="shared" si="7"/>
        <v>1770</v>
      </c>
      <c r="I28" s="682">
        <f t="shared" si="3"/>
        <v>0</v>
      </c>
      <c r="J28" s="681">
        <f t="shared" si="4"/>
        <v>0</v>
      </c>
      <c r="K28" s="344">
        <f>'Preise MOREHHKombi+'!F24</f>
        <v>47</v>
      </c>
      <c r="L28" s="343">
        <f t="shared" si="8"/>
        <v>1410</v>
      </c>
      <c r="M28" s="682">
        <f t="shared" si="5"/>
        <v>0</v>
      </c>
      <c r="N28" s="692"/>
      <c r="O28" s="340"/>
      <c r="P28" s="340"/>
      <c r="Q28" s="340"/>
      <c r="R28" s="340"/>
      <c r="S28" s="492"/>
      <c r="T28" s="693"/>
      <c r="U28" s="493"/>
      <c r="V28" s="340"/>
      <c r="W28" s="340"/>
      <c r="X28" s="340"/>
      <c r="Y28" s="340"/>
      <c r="Z28" s="492"/>
      <c r="AA28" s="693"/>
      <c r="AB28" s="692"/>
      <c r="AC28" s="340"/>
      <c r="AD28" s="340"/>
      <c r="AE28" s="340"/>
      <c r="AF28" s="340"/>
      <c r="AG28" s="492"/>
      <c r="AH28" s="693"/>
      <c r="AI28" s="493"/>
      <c r="AJ28" s="340"/>
      <c r="AK28" s="340"/>
      <c r="AL28" s="340"/>
      <c r="AM28" s="340"/>
      <c r="AN28" s="492"/>
      <c r="AO28" s="693"/>
      <c r="AP28" s="692"/>
      <c r="AQ28" s="340"/>
      <c r="AR28" s="340"/>
      <c r="AS28" s="340"/>
      <c r="AT28" s="340"/>
      <c r="AU28" s="492"/>
      <c r="AV28" s="693"/>
      <c r="AW28" s="339"/>
      <c r="AX28" s="51"/>
      <c r="AY28" s="51"/>
      <c r="AZ28" s="51"/>
      <c r="BA28" s="51"/>
      <c r="BB28" s="52"/>
      <c r="BC28" s="338"/>
      <c r="BD28" s="2"/>
      <c r="BE28" s="2"/>
      <c r="BF28" s="2"/>
      <c r="BG28" s="2"/>
      <c r="BH28" s="2"/>
    </row>
    <row r="29" spans="1:60" s="1" customFormat="1" ht="15.75">
      <c r="A29" s="674" t="s">
        <v>33</v>
      </c>
      <c r="B29" s="683">
        <f t="shared" si="0"/>
        <v>0</v>
      </c>
      <c r="C29" s="344">
        <f>'Preise MOREHHKombi+'!B25</f>
        <v>45</v>
      </c>
      <c r="D29" s="343">
        <f t="shared" si="6"/>
        <v>1350</v>
      </c>
      <c r="E29" s="682">
        <f t="shared" si="1"/>
        <v>0</v>
      </c>
      <c r="F29" s="681">
        <f t="shared" si="2"/>
        <v>0</v>
      </c>
      <c r="G29" s="344">
        <f>'Preise MOREHHKombi+'!D25</f>
        <v>54</v>
      </c>
      <c r="H29" s="343">
        <f t="shared" si="7"/>
        <v>1620</v>
      </c>
      <c r="I29" s="682">
        <f t="shared" si="3"/>
        <v>0</v>
      </c>
      <c r="J29" s="681">
        <f t="shared" si="4"/>
        <v>0</v>
      </c>
      <c r="K29" s="344">
        <f>'Preise MOREHHKombi+'!F25</f>
        <v>36</v>
      </c>
      <c r="L29" s="343">
        <f t="shared" si="8"/>
        <v>1080</v>
      </c>
      <c r="M29" s="682">
        <f t="shared" si="5"/>
        <v>0</v>
      </c>
      <c r="N29" s="692"/>
      <c r="O29" s="340"/>
      <c r="P29" s="340"/>
      <c r="Q29" s="340"/>
      <c r="R29" s="340"/>
      <c r="S29" s="492"/>
      <c r="T29" s="693"/>
      <c r="U29" s="493"/>
      <c r="V29" s="340"/>
      <c r="W29" s="340"/>
      <c r="X29" s="340"/>
      <c r="Y29" s="340"/>
      <c r="Z29" s="492"/>
      <c r="AA29" s="693"/>
      <c r="AB29" s="692"/>
      <c r="AC29" s="340"/>
      <c r="AD29" s="340"/>
      <c r="AE29" s="340"/>
      <c r="AF29" s="340"/>
      <c r="AG29" s="492"/>
      <c r="AH29" s="693"/>
      <c r="AI29" s="493"/>
      <c r="AJ29" s="340"/>
      <c r="AK29" s="340"/>
      <c r="AL29" s="340"/>
      <c r="AM29" s="340"/>
      <c r="AN29" s="492"/>
      <c r="AO29" s="693"/>
      <c r="AP29" s="692"/>
      <c r="AQ29" s="340"/>
      <c r="AR29" s="340"/>
      <c r="AS29" s="340"/>
      <c r="AT29" s="340"/>
      <c r="AU29" s="492"/>
      <c r="AV29" s="693"/>
      <c r="AW29" s="339"/>
      <c r="AX29" s="51"/>
      <c r="AY29" s="51"/>
      <c r="AZ29" s="51"/>
      <c r="BA29" s="51"/>
      <c r="BB29" s="52"/>
      <c r="BC29" s="338"/>
      <c r="BD29" s="2"/>
      <c r="BE29" s="2"/>
      <c r="BF29" s="2"/>
      <c r="BG29" s="2"/>
      <c r="BH29" s="2"/>
    </row>
    <row r="30" spans="1:60" s="1" customFormat="1" ht="15.75">
      <c r="A30" s="674" t="s">
        <v>34</v>
      </c>
      <c r="B30" s="683">
        <f t="shared" si="0"/>
        <v>0</v>
      </c>
      <c r="C30" s="344">
        <f>'Preise MOREHHKombi+'!B26</f>
        <v>43</v>
      </c>
      <c r="D30" s="343">
        <f t="shared" si="6"/>
        <v>1290</v>
      </c>
      <c r="E30" s="682">
        <f t="shared" si="1"/>
        <v>0</v>
      </c>
      <c r="F30" s="681">
        <f t="shared" si="2"/>
        <v>0</v>
      </c>
      <c r="G30" s="344">
        <f>'Preise MOREHHKombi+'!D26</f>
        <v>40</v>
      </c>
      <c r="H30" s="343">
        <f t="shared" si="7"/>
        <v>1200</v>
      </c>
      <c r="I30" s="682">
        <f t="shared" si="3"/>
        <v>0</v>
      </c>
      <c r="J30" s="681">
        <f t="shared" si="4"/>
        <v>0</v>
      </c>
      <c r="K30" s="344">
        <f>'Preise MOREHHKombi+'!F26</f>
        <v>30</v>
      </c>
      <c r="L30" s="343">
        <f t="shared" si="8"/>
        <v>900</v>
      </c>
      <c r="M30" s="682">
        <f t="shared" si="5"/>
        <v>0</v>
      </c>
      <c r="N30" s="692"/>
      <c r="O30" s="340"/>
      <c r="P30" s="340"/>
      <c r="Q30" s="340"/>
      <c r="R30" s="340"/>
      <c r="S30" s="492"/>
      <c r="T30" s="693"/>
      <c r="U30" s="493"/>
      <c r="V30" s="340"/>
      <c r="W30" s="340"/>
      <c r="X30" s="340"/>
      <c r="Y30" s="340"/>
      <c r="Z30" s="492"/>
      <c r="AA30" s="693"/>
      <c r="AB30" s="692"/>
      <c r="AC30" s="340"/>
      <c r="AD30" s="340"/>
      <c r="AE30" s="340"/>
      <c r="AF30" s="340"/>
      <c r="AG30" s="492"/>
      <c r="AH30" s="693"/>
      <c r="AI30" s="493"/>
      <c r="AJ30" s="340"/>
      <c r="AK30" s="340"/>
      <c r="AL30" s="340"/>
      <c r="AM30" s="340"/>
      <c r="AN30" s="492"/>
      <c r="AO30" s="693"/>
      <c r="AP30" s="692"/>
      <c r="AQ30" s="340"/>
      <c r="AR30" s="340"/>
      <c r="AS30" s="340"/>
      <c r="AT30" s="340"/>
      <c r="AU30" s="492"/>
      <c r="AV30" s="693"/>
      <c r="AW30" s="339"/>
      <c r="AX30" s="51"/>
      <c r="AY30" s="51"/>
      <c r="AZ30" s="51"/>
      <c r="BA30" s="51"/>
      <c r="BB30" s="52"/>
      <c r="BC30" s="338"/>
      <c r="BD30" s="2"/>
      <c r="BE30" s="2"/>
      <c r="BF30" s="2"/>
      <c r="BG30" s="2"/>
      <c r="BH30" s="2"/>
    </row>
    <row r="31" spans="1:60" s="1" customFormat="1" ht="15.75">
      <c r="A31" s="674" t="s">
        <v>35</v>
      </c>
      <c r="B31" s="681">
        <f t="shared" si="0"/>
        <v>0</v>
      </c>
      <c r="C31" s="344">
        <f>'Preise MOREHHKombi+'!B27</f>
        <v>43</v>
      </c>
      <c r="D31" s="343">
        <f t="shared" si="6"/>
        <v>1290</v>
      </c>
      <c r="E31" s="682">
        <f t="shared" si="1"/>
        <v>0</v>
      </c>
      <c r="F31" s="681">
        <f t="shared" si="2"/>
        <v>0</v>
      </c>
      <c r="G31" s="344">
        <f>'Preise MOREHHKombi+'!D27</f>
        <v>38</v>
      </c>
      <c r="H31" s="343">
        <f t="shared" si="7"/>
        <v>1140</v>
      </c>
      <c r="I31" s="682">
        <f t="shared" si="3"/>
        <v>0</v>
      </c>
      <c r="J31" s="681">
        <f t="shared" si="4"/>
        <v>0</v>
      </c>
      <c r="K31" s="344">
        <f>'Preise MOREHHKombi+'!F27</f>
        <v>29</v>
      </c>
      <c r="L31" s="343">
        <f t="shared" si="8"/>
        <v>870</v>
      </c>
      <c r="M31" s="682">
        <f t="shared" si="5"/>
        <v>0</v>
      </c>
      <c r="N31" s="692"/>
      <c r="O31" s="340"/>
      <c r="P31" s="340"/>
      <c r="Q31" s="340"/>
      <c r="R31" s="340"/>
      <c r="S31" s="492"/>
      <c r="T31" s="693"/>
      <c r="U31" s="493"/>
      <c r="V31" s="340"/>
      <c r="W31" s="340"/>
      <c r="X31" s="340"/>
      <c r="Y31" s="340"/>
      <c r="Z31" s="492"/>
      <c r="AA31" s="693"/>
      <c r="AB31" s="692"/>
      <c r="AC31" s="340"/>
      <c r="AD31" s="340"/>
      <c r="AE31" s="340"/>
      <c r="AF31" s="340"/>
      <c r="AG31" s="492"/>
      <c r="AH31" s="693"/>
      <c r="AI31" s="493"/>
      <c r="AJ31" s="340"/>
      <c r="AK31" s="340"/>
      <c r="AL31" s="340"/>
      <c r="AM31" s="340"/>
      <c r="AN31" s="492"/>
      <c r="AO31" s="693"/>
      <c r="AP31" s="692"/>
      <c r="AQ31" s="340"/>
      <c r="AR31" s="340"/>
      <c r="AS31" s="340"/>
      <c r="AT31" s="340"/>
      <c r="AU31" s="492"/>
      <c r="AV31" s="693"/>
      <c r="AW31" s="339"/>
      <c r="AX31" s="51"/>
      <c r="AY31" s="51"/>
      <c r="AZ31" s="51"/>
      <c r="BA31" s="51"/>
      <c r="BB31" s="52"/>
      <c r="BC31" s="338"/>
      <c r="BD31" s="2"/>
      <c r="BE31" s="2"/>
      <c r="BF31" s="2"/>
      <c r="BG31" s="2"/>
      <c r="BH31" s="2"/>
    </row>
    <row r="32" spans="1:60" s="1" customFormat="1" ht="15.75">
      <c r="A32" s="674" t="s">
        <v>36</v>
      </c>
      <c r="B32" s="681">
        <f t="shared" si="0"/>
        <v>0</v>
      </c>
      <c r="C32" s="344">
        <f>'Preise MOREHHKombi+'!B28</f>
        <v>43</v>
      </c>
      <c r="D32" s="343">
        <f t="shared" si="6"/>
        <v>1290</v>
      </c>
      <c r="E32" s="682">
        <f t="shared" si="1"/>
        <v>0</v>
      </c>
      <c r="F32" s="681">
        <f t="shared" si="2"/>
        <v>0</v>
      </c>
      <c r="G32" s="344">
        <f>'Preise MOREHHKombi+'!D28</f>
        <v>34</v>
      </c>
      <c r="H32" s="343">
        <f t="shared" si="7"/>
        <v>1020</v>
      </c>
      <c r="I32" s="682">
        <f t="shared" si="3"/>
        <v>0</v>
      </c>
      <c r="J32" s="681">
        <f t="shared" si="4"/>
        <v>0</v>
      </c>
      <c r="K32" s="344">
        <f>'Preise MOREHHKombi+'!F28</f>
        <v>26</v>
      </c>
      <c r="L32" s="343">
        <f t="shared" si="8"/>
        <v>780</v>
      </c>
      <c r="M32" s="682">
        <f t="shared" si="5"/>
        <v>0</v>
      </c>
      <c r="N32" s="692"/>
      <c r="O32" s="340"/>
      <c r="P32" s="340"/>
      <c r="Q32" s="340"/>
      <c r="R32" s="340"/>
      <c r="S32" s="492"/>
      <c r="T32" s="693"/>
      <c r="U32" s="493"/>
      <c r="V32" s="340"/>
      <c r="W32" s="340"/>
      <c r="X32" s="340"/>
      <c r="Y32" s="340"/>
      <c r="Z32" s="492"/>
      <c r="AA32" s="693"/>
      <c r="AB32" s="692"/>
      <c r="AC32" s="340"/>
      <c r="AD32" s="340"/>
      <c r="AE32" s="340"/>
      <c r="AF32" s="340"/>
      <c r="AG32" s="492"/>
      <c r="AH32" s="693"/>
      <c r="AI32" s="493"/>
      <c r="AJ32" s="340"/>
      <c r="AK32" s="340"/>
      <c r="AL32" s="340"/>
      <c r="AM32" s="340"/>
      <c r="AN32" s="492"/>
      <c r="AO32" s="693"/>
      <c r="AP32" s="692"/>
      <c r="AQ32" s="340"/>
      <c r="AR32" s="340"/>
      <c r="AS32" s="340"/>
      <c r="AT32" s="340"/>
      <c r="AU32" s="492"/>
      <c r="AV32" s="693"/>
      <c r="AW32" s="339"/>
      <c r="AX32" s="51"/>
      <c r="AY32" s="51"/>
      <c r="AZ32" s="51"/>
      <c r="BA32" s="51"/>
      <c r="BB32" s="52"/>
      <c r="BC32" s="338"/>
      <c r="BD32" s="2"/>
      <c r="BE32" s="2"/>
      <c r="BF32" s="2"/>
      <c r="BG32" s="2"/>
      <c r="BH32" s="2"/>
    </row>
    <row r="33" spans="1:60" s="1" customFormat="1" ht="15.75">
      <c r="A33" s="674" t="s">
        <v>37</v>
      </c>
      <c r="B33" s="681">
        <f t="shared" si="0"/>
        <v>0</v>
      </c>
      <c r="C33" s="344">
        <f>'Preise MOREHHKombi+'!B29</f>
        <v>50</v>
      </c>
      <c r="D33" s="343">
        <f t="shared" si="6"/>
        <v>1500</v>
      </c>
      <c r="E33" s="682">
        <f t="shared" si="1"/>
        <v>0</v>
      </c>
      <c r="F33" s="681">
        <f t="shared" si="2"/>
        <v>0</v>
      </c>
      <c r="G33" s="344">
        <f>'Preise MOREHHKombi+'!D29</f>
        <v>31</v>
      </c>
      <c r="H33" s="343">
        <f t="shared" si="7"/>
        <v>930</v>
      </c>
      <c r="I33" s="682">
        <f t="shared" si="3"/>
        <v>0</v>
      </c>
      <c r="J33" s="681">
        <f t="shared" si="4"/>
        <v>0</v>
      </c>
      <c r="K33" s="344">
        <f>'Preise MOREHHKombi+'!F29</f>
        <v>26</v>
      </c>
      <c r="L33" s="343">
        <f t="shared" si="8"/>
        <v>780</v>
      </c>
      <c r="M33" s="682">
        <f t="shared" si="5"/>
        <v>0</v>
      </c>
      <c r="N33" s="692"/>
      <c r="O33" s="340"/>
      <c r="P33" s="340"/>
      <c r="Q33" s="340"/>
      <c r="R33" s="340"/>
      <c r="S33" s="492"/>
      <c r="T33" s="693"/>
      <c r="U33" s="493"/>
      <c r="V33" s="340"/>
      <c r="W33" s="340"/>
      <c r="X33" s="340"/>
      <c r="Y33" s="340"/>
      <c r="Z33" s="492"/>
      <c r="AA33" s="693"/>
      <c r="AB33" s="692"/>
      <c r="AC33" s="340"/>
      <c r="AD33" s="340"/>
      <c r="AE33" s="340"/>
      <c r="AF33" s="340"/>
      <c r="AG33" s="492"/>
      <c r="AH33" s="693"/>
      <c r="AI33" s="493"/>
      <c r="AJ33" s="340"/>
      <c r="AK33" s="340"/>
      <c r="AL33" s="340"/>
      <c r="AM33" s="340"/>
      <c r="AN33" s="492"/>
      <c r="AO33" s="693"/>
      <c r="AP33" s="692"/>
      <c r="AQ33" s="340"/>
      <c r="AR33" s="340"/>
      <c r="AS33" s="340"/>
      <c r="AT33" s="340"/>
      <c r="AU33" s="492"/>
      <c r="AV33" s="693"/>
      <c r="AW33" s="339"/>
      <c r="AX33" s="51"/>
      <c r="AY33" s="51"/>
      <c r="AZ33" s="51"/>
      <c r="BA33" s="51"/>
      <c r="BB33" s="52"/>
      <c r="BC33" s="338"/>
      <c r="BD33" s="2"/>
      <c r="BE33" s="2"/>
      <c r="BF33" s="2"/>
      <c r="BG33" s="2"/>
      <c r="BH33" s="2"/>
    </row>
    <row r="34" spans="1:60" s="1" customFormat="1" ht="15.75">
      <c r="A34" s="674" t="s">
        <v>38</v>
      </c>
      <c r="B34" s="681">
        <f t="shared" si="0"/>
        <v>0</v>
      </c>
      <c r="C34" s="344">
        <f>'Preise MOREHHKombi+'!B30</f>
        <v>45</v>
      </c>
      <c r="D34" s="343">
        <f t="shared" si="6"/>
        <v>1350</v>
      </c>
      <c r="E34" s="682">
        <f t="shared" si="1"/>
        <v>0</v>
      </c>
      <c r="F34" s="681">
        <f t="shared" si="2"/>
        <v>0</v>
      </c>
      <c r="G34" s="344">
        <f>'Preise MOREHHKombi+'!D30</f>
        <v>27</v>
      </c>
      <c r="H34" s="343">
        <f t="shared" si="7"/>
        <v>810</v>
      </c>
      <c r="I34" s="682">
        <f t="shared" si="3"/>
        <v>0</v>
      </c>
      <c r="J34" s="681">
        <f t="shared" si="4"/>
        <v>0</v>
      </c>
      <c r="K34" s="344">
        <f>'Preise MOREHHKombi+'!F30</f>
        <v>23</v>
      </c>
      <c r="L34" s="343">
        <f t="shared" si="8"/>
        <v>690</v>
      </c>
      <c r="M34" s="682">
        <f t="shared" si="5"/>
        <v>0</v>
      </c>
      <c r="N34" s="692"/>
      <c r="O34" s="340"/>
      <c r="P34" s="340"/>
      <c r="Q34" s="340"/>
      <c r="R34" s="340"/>
      <c r="S34" s="492"/>
      <c r="T34" s="693"/>
      <c r="U34" s="493"/>
      <c r="V34" s="340"/>
      <c r="W34" s="340"/>
      <c r="X34" s="340"/>
      <c r="Y34" s="340"/>
      <c r="Z34" s="492"/>
      <c r="AA34" s="693"/>
      <c r="AB34" s="692"/>
      <c r="AC34" s="340"/>
      <c r="AD34" s="340"/>
      <c r="AE34" s="340"/>
      <c r="AF34" s="340"/>
      <c r="AG34" s="492"/>
      <c r="AH34" s="693"/>
      <c r="AI34" s="493"/>
      <c r="AJ34" s="340"/>
      <c r="AK34" s="340"/>
      <c r="AL34" s="340"/>
      <c r="AM34" s="340"/>
      <c r="AN34" s="492"/>
      <c r="AO34" s="693"/>
      <c r="AP34" s="692"/>
      <c r="AQ34" s="340"/>
      <c r="AR34" s="340"/>
      <c r="AS34" s="340"/>
      <c r="AT34" s="340"/>
      <c r="AU34" s="492"/>
      <c r="AV34" s="693"/>
      <c r="AW34" s="339"/>
      <c r="AX34" s="51"/>
      <c r="AY34" s="51"/>
      <c r="AZ34" s="51"/>
      <c r="BA34" s="51"/>
      <c r="BB34" s="52"/>
      <c r="BC34" s="338"/>
      <c r="BD34" s="2"/>
      <c r="BE34" s="2"/>
      <c r="BF34" s="2"/>
      <c r="BG34" s="2"/>
      <c r="BH34" s="2"/>
    </row>
    <row r="35" spans="1:60" s="1" customFormat="1" ht="15.75">
      <c r="A35" s="674" t="s">
        <v>39</v>
      </c>
      <c r="B35" s="681">
        <f t="shared" si="0"/>
        <v>0</v>
      </c>
      <c r="C35" s="344">
        <f>'Preise MOREHHKombi+'!B31</f>
        <v>38</v>
      </c>
      <c r="D35" s="343">
        <f t="shared" si="6"/>
        <v>1140</v>
      </c>
      <c r="E35" s="682">
        <f t="shared" si="1"/>
        <v>0</v>
      </c>
      <c r="F35" s="681">
        <f t="shared" si="2"/>
        <v>0</v>
      </c>
      <c r="G35" s="344">
        <f>'Preise MOREHHKombi+'!D31</f>
        <v>16</v>
      </c>
      <c r="H35" s="343">
        <f t="shared" si="7"/>
        <v>480</v>
      </c>
      <c r="I35" s="682">
        <f t="shared" si="3"/>
        <v>0</v>
      </c>
      <c r="J35" s="681">
        <f t="shared" si="4"/>
        <v>0</v>
      </c>
      <c r="K35" s="344">
        <f>'Preise MOREHHKombi+'!F31</f>
        <v>13</v>
      </c>
      <c r="L35" s="343">
        <f t="shared" si="8"/>
        <v>390</v>
      </c>
      <c r="M35" s="682">
        <f t="shared" si="5"/>
        <v>0</v>
      </c>
      <c r="N35" s="692"/>
      <c r="O35" s="340"/>
      <c r="P35" s="340"/>
      <c r="Q35" s="340"/>
      <c r="R35" s="340"/>
      <c r="S35" s="492"/>
      <c r="T35" s="693"/>
      <c r="U35" s="493"/>
      <c r="V35" s="340"/>
      <c r="W35" s="340"/>
      <c r="X35" s="340"/>
      <c r="Y35" s="340"/>
      <c r="Z35" s="492"/>
      <c r="AA35" s="693"/>
      <c r="AB35" s="692"/>
      <c r="AC35" s="340"/>
      <c r="AD35" s="340"/>
      <c r="AE35" s="340"/>
      <c r="AF35" s="340"/>
      <c r="AG35" s="492"/>
      <c r="AH35" s="693"/>
      <c r="AI35" s="493"/>
      <c r="AJ35" s="340"/>
      <c r="AK35" s="340"/>
      <c r="AL35" s="340"/>
      <c r="AM35" s="340"/>
      <c r="AN35" s="492"/>
      <c r="AO35" s="693"/>
      <c r="AP35" s="692"/>
      <c r="AQ35" s="340"/>
      <c r="AR35" s="340"/>
      <c r="AS35" s="340"/>
      <c r="AT35" s="340"/>
      <c r="AU35" s="492"/>
      <c r="AV35" s="693"/>
      <c r="AW35" s="339"/>
      <c r="AX35" s="51"/>
      <c r="AY35" s="51"/>
      <c r="AZ35" s="51"/>
      <c r="BA35" s="51"/>
      <c r="BB35" s="52"/>
      <c r="BC35" s="338"/>
      <c r="BD35" s="2"/>
      <c r="BE35" s="2"/>
      <c r="BF35" s="2"/>
      <c r="BG35" s="2"/>
      <c r="BH35" s="2"/>
    </row>
    <row r="36" spans="1:60" s="1" customFormat="1" ht="15.75">
      <c r="A36" s="674" t="s">
        <v>40</v>
      </c>
      <c r="B36" s="681">
        <f t="shared" si="0"/>
        <v>0</v>
      </c>
      <c r="C36" s="344">
        <f>'Preise MOREHHKombi+'!B32</f>
        <v>0</v>
      </c>
      <c r="D36" s="343">
        <f t="shared" si="6"/>
        <v>0</v>
      </c>
      <c r="E36" s="682">
        <f t="shared" si="1"/>
        <v>0</v>
      </c>
      <c r="F36" s="681">
        <f t="shared" si="2"/>
        <v>0</v>
      </c>
      <c r="G36" s="344">
        <f>'Preise MOREHHKombi+'!D32</f>
        <v>0</v>
      </c>
      <c r="H36" s="343">
        <f t="shared" si="7"/>
        <v>0</v>
      </c>
      <c r="I36" s="682">
        <f t="shared" si="3"/>
        <v>0</v>
      </c>
      <c r="J36" s="681">
        <f t="shared" si="4"/>
        <v>0</v>
      </c>
      <c r="K36" s="344">
        <f>'Preise MOREHHKombi+'!F32</f>
        <v>0</v>
      </c>
      <c r="L36" s="343">
        <f t="shared" si="8"/>
        <v>0</v>
      </c>
      <c r="M36" s="682">
        <f t="shared" si="5"/>
        <v>0</v>
      </c>
      <c r="N36" s="731"/>
      <c r="O36" s="731"/>
      <c r="P36" s="731"/>
      <c r="Q36" s="731"/>
      <c r="R36" s="731"/>
      <c r="S36" s="731"/>
      <c r="T36" s="731"/>
      <c r="U36" s="731"/>
      <c r="V36" s="731"/>
      <c r="W36" s="731"/>
      <c r="X36" s="731"/>
      <c r="Y36" s="731"/>
      <c r="Z36" s="731"/>
      <c r="AA36" s="731"/>
      <c r="AB36" s="731"/>
      <c r="AC36" s="731"/>
      <c r="AD36" s="731"/>
      <c r="AE36" s="731"/>
      <c r="AF36" s="731"/>
      <c r="AG36" s="731"/>
      <c r="AH36" s="731"/>
      <c r="AI36" s="731"/>
      <c r="AJ36" s="731"/>
      <c r="AK36" s="731"/>
      <c r="AL36" s="731"/>
      <c r="AM36" s="731"/>
      <c r="AN36" s="731"/>
      <c r="AO36" s="731"/>
      <c r="AP36" s="731"/>
      <c r="AQ36" s="731"/>
      <c r="AR36" s="731"/>
      <c r="AS36" s="731"/>
      <c r="AT36" s="731"/>
      <c r="AU36" s="731"/>
      <c r="AV36" s="731"/>
      <c r="AW36" s="339"/>
      <c r="AX36" s="51"/>
      <c r="AY36" s="51"/>
      <c r="AZ36" s="51"/>
      <c r="BA36" s="51"/>
      <c r="BB36" s="52"/>
      <c r="BC36" s="338"/>
      <c r="BD36" s="2"/>
      <c r="BE36" s="2"/>
      <c r="BF36" s="2"/>
      <c r="BG36" s="2"/>
      <c r="BH36" s="2"/>
    </row>
    <row r="37" spans="1:60" s="1" customFormat="1" ht="15.75">
      <c r="A37" s="674" t="s">
        <v>41</v>
      </c>
      <c r="B37" s="681">
        <f t="shared" si="0"/>
        <v>0</v>
      </c>
      <c r="C37" s="344">
        <f>'Preise MOREHHKombi+'!B33</f>
        <v>0</v>
      </c>
      <c r="D37" s="343">
        <f t="shared" si="6"/>
        <v>0</v>
      </c>
      <c r="E37" s="682">
        <f t="shared" si="1"/>
        <v>0</v>
      </c>
      <c r="F37" s="681">
        <f t="shared" si="2"/>
        <v>0</v>
      </c>
      <c r="G37" s="344">
        <f>'Preise MOREHHKombi+'!D33</f>
        <v>0</v>
      </c>
      <c r="H37" s="343">
        <f t="shared" si="7"/>
        <v>0</v>
      </c>
      <c r="I37" s="682">
        <f t="shared" si="3"/>
        <v>0</v>
      </c>
      <c r="J37" s="681">
        <f t="shared" si="4"/>
        <v>0</v>
      </c>
      <c r="K37" s="344">
        <f>'Preise MOREHHKombi+'!F33</f>
        <v>0</v>
      </c>
      <c r="L37" s="343">
        <f t="shared" si="8"/>
        <v>0</v>
      </c>
      <c r="M37" s="682">
        <f t="shared" si="5"/>
        <v>0</v>
      </c>
      <c r="N37" s="731"/>
      <c r="O37" s="731"/>
      <c r="P37" s="731"/>
      <c r="Q37" s="731"/>
      <c r="R37" s="731"/>
      <c r="S37" s="731"/>
      <c r="T37" s="731"/>
      <c r="U37" s="731"/>
      <c r="V37" s="731"/>
      <c r="W37" s="731"/>
      <c r="X37" s="731"/>
      <c r="Y37" s="731"/>
      <c r="Z37" s="731"/>
      <c r="AA37" s="731"/>
      <c r="AB37" s="731"/>
      <c r="AC37" s="731"/>
      <c r="AD37" s="731"/>
      <c r="AE37" s="731"/>
      <c r="AF37" s="731"/>
      <c r="AG37" s="731"/>
      <c r="AH37" s="731"/>
      <c r="AI37" s="731"/>
      <c r="AJ37" s="731"/>
      <c r="AK37" s="731"/>
      <c r="AL37" s="731"/>
      <c r="AM37" s="731"/>
      <c r="AN37" s="731"/>
      <c r="AO37" s="731"/>
      <c r="AP37" s="731"/>
      <c r="AQ37" s="731"/>
      <c r="AR37" s="731"/>
      <c r="AS37" s="731"/>
      <c r="AT37" s="731"/>
      <c r="AU37" s="731"/>
      <c r="AV37" s="731"/>
      <c r="AW37" s="339"/>
      <c r="AX37" s="51"/>
      <c r="AY37" s="51"/>
      <c r="AZ37" s="51"/>
      <c r="BA37" s="51"/>
      <c r="BB37" s="52"/>
      <c r="BC37" s="338"/>
      <c r="BD37" s="2"/>
      <c r="BE37" s="2"/>
      <c r="BF37" s="2"/>
      <c r="BG37" s="2"/>
      <c r="BH37" s="2"/>
    </row>
    <row r="38" spans="1:60" s="1" customFormat="1" ht="15.75">
      <c r="A38" s="674" t="s">
        <v>42</v>
      </c>
      <c r="B38" s="681">
        <f t="shared" si="0"/>
        <v>0</v>
      </c>
      <c r="C38" s="344">
        <f>'Preise MOREHHKombi+'!B34</f>
        <v>0</v>
      </c>
      <c r="D38" s="343">
        <f t="shared" si="6"/>
        <v>0</v>
      </c>
      <c r="E38" s="682">
        <f t="shared" si="1"/>
        <v>0</v>
      </c>
      <c r="F38" s="681">
        <f t="shared" si="2"/>
        <v>0</v>
      </c>
      <c r="G38" s="344">
        <f>'Preise MOREHHKombi+'!D34</f>
        <v>0</v>
      </c>
      <c r="H38" s="343">
        <f t="shared" si="7"/>
        <v>0</v>
      </c>
      <c r="I38" s="682">
        <f t="shared" si="3"/>
        <v>0</v>
      </c>
      <c r="J38" s="681">
        <f t="shared" si="4"/>
        <v>0</v>
      </c>
      <c r="K38" s="344">
        <f>'Preise MOREHHKombi+'!F34</f>
        <v>0</v>
      </c>
      <c r="L38" s="343">
        <f t="shared" si="8"/>
        <v>0</v>
      </c>
      <c r="M38" s="682">
        <f t="shared" si="5"/>
        <v>0</v>
      </c>
      <c r="N38" s="731"/>
      <c r="O38" s="731"/>
      <c r="P38" s="731"/>
      <c r="Q38" s="731"/>
      <c r="R38" s="731"/>
      <c r="S38" s="731"/>
      <c r="T38" s="731"/>
      <c r="U38" s="731"/>
      <c r="V38" s="731"/>
      <c r="W38" s="731"/>
      <c r="X38" s="731"/>
      <c r="Y38" s="731"/>
      <c r="Z38" s="731"/>
      <c r="AA38" s="731"/>
      <c r="AB38" s="731"/>
      <c r="AC38" s="731"/>
      <c r="AD38" s="731"/>
      <c r="AE38" s="731"/>
      <c r="AF38" s="731"/>
      <c r="AG38" s="731"/>
      <c r="AH38" s="731"/>
      <c r="AI38" s="731"/>
      <c r="AJ38" s="731"/>
      <c r="AK38" s="731"/>
      <c r="AL38" s="731"/>
      <c r="AM38" s="731"/>
      <c r="AN38" s="731"/>
      <c r="AO38" s="731"/>
      <c r="AP38" s="731"/>
      <c r="AQ38" s="731"/>
      <c r="AR38" s="731"/>
      <c r="AS38" s="731"/>
      <c r="AT38" s="731"/>
      <c r="AU38" s="731"/>
      <c r="AV38" s="731"/>
      <c r="AW38" s="339"/>
      <c r="AX38" s="51"/>
      <c r="AY38" s="51"/>
      <c r="AZ38" s="51"/>
      <c r="BA38" s="51"/>
      <c r="BB38" s="52"/>
      <c r="BC38" s="338"/>
      <c r="BD38" s="2"/>
      <c r="BE38" s="2"/>
      <c r="BF38" s="2"/>
      <c r="BG38" s="2"/>
      <c r="BH38" s="2"/>
    </row>
    <row r="39" spans="1:60" s="1" customFormat="1" ht="15.75">
      <c r="A39" s="674" t="s">
        <v>43</v>
      </c>
      <c r="B39" s="681">
        <f t="shared" si="0"/>
        <v>0</v>
      </c>
      <c r="C39" s="344">
        <f>'Preise MOREHHKombi+'!B35</f>
        <v>0</v>
      </c>
      <c r="D39" s="343">
        <f t="shared" si="6"/>
        <v>0</v>
      </c>
      <c r="E39" s="682">
        <f t="shared" si="1"/>
        <v>0</v>
      </c>
      <c r="F39" s="681">
        <f t="shared" si="2"/>
        <v>0</v>
      </c>
      <c r="G39" s="344">
        <f>'Preise MOREHHKombi+'!D35</f>
        <v>0</v>
      </c>
      <c r="H39" s="343">
        <f t="shared" si="7"/>
        <v>0</v>
      </c>
      <c r="I39" s="682">
        <f t="shared" si="3"/>
        <v>0</v>
      </c>
      <c r="J39" s="681">
        <f t="shared" si="4"/>
        <v>0</v>
      </c>
      <c r="K39" s="344">
        <f>'Preise MOREHHKombi+'!F35</f>
        <v>0</v>
      </c>
      <c r="L39" s="343">
        <f t="shared" si="8"/>
        <v>0</v>
      </c>
      <c r="M39" s="682">
        <f t="shared" si="5"/>
        <v>0</v>
      </c>
      <c r="N39" s="731"/>
      <c r="O39" s="731"/>
      <c r="P39" s="731"/>
      <c r="Q39" s="731"/>
      <c r="R39" s="731"/>
      <c r="S39" s="731"/>
      <c r="T39" s="731"/>
      <c r="U39" s="731"/>
      <c r="V39" s="731"/>
      <c r="W39" s="731"/>
      <c r="X39" s="731"/>
      <c r="Y39" s="731"/>
      <c r="Z39" s="731"/>
      <c r="AA39" s="731"/>
      <c r="AB39" s="731"/>
      <c r="AC39" s="731"/>
      <c r="AD39" s="731"/>
      <c r="AE39" s="731"/>
      <c r="AF39" s="731"/>
      <c r="AG39" s="731"/>
      <c r="AH39" s="731"/>
      <c r="AI39" s="731"/>
      <c r="AJ39" s="731"/>
      <c r="AK39" s="731"/>
      <c r="AL39" s="731"/>
      <c r="AM39" s="731"/>
      <c r="AN39" s="731"/>
      <c r="AO39" s="731"/>
      <c r="AP39" s="731"/>
      <c r="AQ39" s="731"/>
      <c r="AR39" s="731"/>
      <c r="AS39" s="731"/>
      <c r="AT39" s="731"/>
      <c r="AU39" s="731"/>
      <c r="AV39" s="731"/>
      <c r="AW39" s="339"/>
      <c r="AX39" s="51"/>
      <c r="AY39" s="51"/>
      <c r="AZ39" s="51"/>
      <c r="BA39" s="51"/>
      <c r="BB39" s="52"/>
      <c r="BC39" s="338"/>
      <c r="BD39" s="2"/>
      <c r="BE39" s="2"/>
      <c r="BF39" s="2"/>
      <c r="BG39" s="2"/>
      <c r="BH39" s="2"/>
    </row>
    <row r="40" spans="1:60" s="1" customFormat="1" ht="16.5" thickBot="1">
      <c r="A40" s="684" t="s">
        <v>44</v>
      </c>
      <c r="B40" s="685">
        <f t="shared" si="0"/>
        <v>0</v>
      </c>
      <c r="C40" s="686">
        <f>'Preise MOREHHKombi+'!B36</f>
        <v>0</v>
      </c>
      <c r="D40" s="488">
        <f t="shared" si="6"/>
        <v>0</v>
      </c>
      <c r="E40" s="687">
        <f>B40*D40*(100+$G$10)/100</f>
        <v>0</v>
      </c>
      <c r="F40" s="685">
        <f t="shared" si="2"/>
        <v>0</v>
      </c>
      <c r="G40" s="686">
        <f>'Preise MOREHHKombi+'!D36</f>
        <v>0</v>
      </c>
      <c r="H40" s="488">
        <f t="shared" si="7"/>
        <v>0</v>
      </c>
      <c r="I40" s="687">
        <f t="shared" si="3"/>
        <v>0</v>
      </c>
      <c r="J40" s="685">
        <f t="shared" si="4"/>
        <v>0</v>
      </c>
      <c r="K40" s="686">
        <f>'Preise MOREHHKombi+'!F36</f>
        <v>0</v>
      </c>
      <c r="L40" s="488">
        <f t="shared" si="8"/>
        <v>0</v>
      </c>
      <c r="M40" s="687">
        <f t="shared" si="5"/>
        <v>0</v>
      </c>
      <c r="N40" s="731"/>
      <c r="O40" s="731"/>
      <c r="P40" s="731"/>
      <c r="Q40" s="731"/>
      <c r="R40" s="731"/>
      <c r="S40" s="731"/>
      <c r="T40" s="731"/>
      <c r="U40" s="731"/>
      <c r="V40" s="731"/>
      <c r="W40" s="731"/>
      <c r="X40" s="731"/>
      <c r="Y40" s="731"/>
      <c r="Z40" s="731"/>
      <c r="AA40" s="731"/>
      <c r="AB40" s="731"/>
      <c r="AC40" s="731"/>
      <c r="AD40" s="731"/>
      <c r="AE40" s="731"/>
      <c r="AF40" s="731"/>
      <c r="AG40" s="731"/>
      <c r="AH40" s="731"/>
      <c r="AI40" s="731"/>
      <c r="AJ40" s="731"/>
      <c r="AK40" s="731"/>
      <c r="AL40" s="731"/>
      <c r="AM40" s="731"/>
      <c r="AN40" s="731"/>
      <c r="AO40" s="731"/>
      <c r="AP40" s="731"/>
      <c r="AQ40" s="731"/>
      <c r="AR40" s="731"/>
      <c r="AS40" s="731"/>
      <c r="AT40" s="731"/>
      <c r="AU40" s="731"/>
      <c r="AV40" s="731"/>
      <c r="AW40" s="328"/>
      <c r="AX40" s="327"/>
      <c r="AY40" s="327"/>
      <c r="AZ40" s="327"/>
      <c r="BA40" s="327"/>
      <c r="BB40" s="326"/>
      <c r="BC40" s="325"/>
      <c r="BD40" s="2"/>
      <c r="BE40" s="2"/>
      <c r="BF40" s="2"/>
      <c r="BG40" s="2"/>
      <c r="BH40" s="2"/>
    </row>
    <row r="41" spans="1:60" s="312" customFormat="1" ht="16.5" thickBot="1">
      <c r="A41" s="700" t="s">
        <v>45</v>
      </c>
      <c r="B41" s="701">
        <f>SUM(B17:B40)</f>
        <v>0</v>
      </c>
      <c r="C41" s="702"/>
      <c r="D41" s="702"/>
      <c r="E41" s="703">
        <f>SUM(E17:E40)</f>
        <v>0</v>
      </c>
      <c r="F41" s="701">
        <f>SUM(F17:F40)</f>
        <v>0</v>
      </c>
      <c r="G41" s="702"/>
      <c r="H41" s="702"/>
      <c r="I41" s="703">
        <f>SUM(I17:I40)</f>
        <v>0</v>
      </c>
      <c r="J41" s="701">
        <f>SUM(J17:J40)</f>
        <v>0</v>
      </c>
      <c r="K41" s="702"/>
      <c r="L41" s="702"/>
      <c r="M41" s="703">
        <f t="shared" ref="M41:BC41" si="9">SUM(M17:M40)</f>
        <v>0</v>
      </c>
      <c r="N41" s="704">
        <f t="shared" si="9"/>
        <v>0</v>
      </c>
      <c r="O41" s="705">
        <f t="shared" si="9"/>
        <v>0</v>
      </c>
      <c r="P41" s="705">
        <f t="shared" si="9"/>
        <v>0</v>
      </c>
      <c r="Q41" s="705">
        <f t="shared" si="9"/>
        <v>0</v>
      </c>
      <c r="R41" s="705">
        <f t="shared" si="9"/>
        <v>0</v>
      </c>
      <c r="S41" s="705">
        <f t="shared" si="9"/>
        <v>0</v>
      </c>
      <c r="T41" s="706">
        <f t="shared" si="9"/>
        <v>0</v>
      </c>
      <c r="U41" s="707">
        <f t="shared" si="9"/>
        <v>0</v>
      </c>
      <c r="V41" s="705">
        <f t="shared" si="9"/>
        <v>0</v>
      </c>
      <c r="W41" s="705">
        <f t="shared" si="9"/>
        <v>0</v>
      </c>
      <c r="X41" s="705">
        <f t="shared" si="9"/>
        <v>0</v>
      </c>
      <c r="Y41" s="705">
        <f t="shared" si="9"/>
        <v>0</v>
      </c>
      <c r="Z41" s="705">
        <f t="shared" si="9"/>
        <v>0</v>
      </c>
      <c r="AA41" s="708">
        <f t="shared" si="9"/>
        <v>0</v>
      </c>
      <c r="AB41" s="704">
        <f t="shared" si="9"/>
        <v>0</v>
      </c>
      <c r="AC41" s="705">
        <f t="shared" si="9"/>
        <v>0</v>
      </c>
      <c r="AD41" s="705">
        <f t="shared" si="9"/>
        <v>0</v>
      </c>
      <c r="AE41" s="705">
        <f t="shared" si="9"/>
        <v>0</v>
      </c>
      <c r="AF41" s="705">
        <f t="shared" si="9"/>
        <v>0</v>
      </c>
      <c r="AG41" s="705">
        <f t="shared" si="9"/>
        <v>0</v>
      </c>
      <c r="AH41" s="706">
        <f t="shared" si="9"/>
        <v>0</v>
      </c>
      <c r="AI41" s="707">
        <f t="shared" si="9"/>
        <v>0</v>
      </c>
      <c r="AJ41" s="705">
        <f t="shared" si="9"/>
        <v>0</v>
      </c>
      <c r="AK41" s="705">
        <f t="shared" si="9"/>
        <v>0</v>
      </c>
      <c r="AL41" s="705">
        <f t="shared" si="9"/>
        <v>0</v>
      </c>
      <c r="AM41" s="705">
        <f t="shared" si="9"/>
        <v>0</v>
      </c>
      <c r="AN41" s="705">
        <f t="shared" si="9"/>
        <v>0</v>
      </c>
      <c r="AO41" s="708">
        <f t="shared" si="9"/>
        <v>0</v>
      </c>
      <c r="AP41" s="704">
        <f t="shared" si="9"/>
        <v>0</v>
      </c>
      <c r="AQ41" s="705">
        <f t="shared" si="9"/>
        <v>0</v>
      </c>
      <c r="AR41" s="705">
        <f t="shared" si="9"/>
        <v>0</v>
      </c>
      <c r="AS41" s="705">
        <f t="shared" si="9"/>
        <v>0</v>
      </c>
      <c r="AT41" s="705">
        <f t="shared" si="9"/>
        <v>0</v>
      </c>
      <c r="AU41" s="705">
        <f t="shared" si="9"/>
        <v>0</v>
      </c>
      <c r="AV41" s="706">
        <f t="shared" si="9"/>
        <v>0</v>
      </c>
      <c r="AW41" s="316">
        <f t="shared" si="9"/>
        <v>0</v>
      </c>
      <c r="AX41" s="315">
        <f t="shared" si="9"/>
        <v>0</v>
      </c>
      <c r="AY41" s="315">
        <f t="shared" si="9"/>
        <v>0</v>
      </c>
      <c r="AZ41" s="315">
        <f t="shared" si="9"/>
        <v>0</v>
      </c>
      <c r="BA41" s="315">
        <f t="shared" si="9"/>
        <v>0</v>
      </c>
      <c r="BB41" s="315">
        <f t="shared" si="9"/>
        <v>0</v>
      </c>
      <c r="BC41" s="314">
        <f t="shared" si="9"/>
        <v>0</v>
      </c>
      <c r="BD41" s="313"/>
      <c r="BE41" s="313"/>
      <c r="BF41" s="313"/>
      <c r="BG41" s="313"/>
      <c r="BH41" s="313"/>
    </row>
    <row r="42" spans="1:60" s="1" customFormat="1"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</row>
    <row r="43" spans="1:60" s="1" customFormat="1"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184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</row>
    <row r="44" spans="1:60" s="1" customFormat="1"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</row>
    <row r="45" spans="1:60" s="1" customForma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</row>
    <row r="46" spans="1:60" s="1" customFormat="1"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</row>
    <row r="47" spans="1:60" s="1" customFormat="1"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</row>
    <row r="48" spans="1:60" s="1" customFormat="1"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</row>
    <row r="49" spans="3:55" s="1" customFormat="1"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</row>
    <row r="50" spans="3:55" s="1" customFormat="1"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</row>
    <row r="51" spans="3:55" s="1" customFormat="1"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</row>
    <row r="52" spans="3:55" s="1" customFormat="1"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</row>
    <row r="53" spans="3:55" s="1" customFormat="1"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</row>
    <row r="54" spans="3:55" s="1" customFormat="1"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</row>
    <row r="55" spans="3:55" s="1" customFormat="1"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</row>
    <row r="56" spans="3:55" s="1" customFormat="1"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spans="3:55" s="1" customFormat="1"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3:55" s="1" customFormat="1"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3:55" s="1" customFormat="1"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</row>
    <row r="60" spans="3:55" s="1" customFormat="1"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spans="3:55" s="1" customFormat="1"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spans="3:55" s="1" customFormat="1"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spans="3:55" s="1" customFormat="1"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spans="3:55" s="1" customFormat="1"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spans="3:13" s="1" customFormat="1"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spans="3:13" s="1" customFormat="1"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spans="3:13" s="1" customFormat="1"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spans="3:13" s="1" customFormat="1"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spans="3:13" s="1" customFormat="1"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spans="3:13" s="1" customFormat="1"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3:13" s="1" customFormat="1"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spans="3:13" s="1" customFormat="1"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spans="3:13" s="1" customFormat="1"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spans="3:13" s="1" customFormat="1"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spans="3:13" s="1" customFormat="1"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spans="3:13" s="1" customFormat="1"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spans="3:13" s="1" customFormat="1"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</sheetData>
  <mergeCells count="30">
    <mergeCell ref="E2:K2"/>
    <mergeCell ref="A4:BH4"/>
    <mergeCell ref="E6:G6"/>
    <mergeCell ref="I6:K6"/>
    <mergeCell ref="M6:O6"/>
    <mergeCell ref="AN6:AV6"/>
    <mergeCell ref="R5:V5"/>
    <mergeCell ref="E7:G7"/>
    <mergeCell ref="I7:K7"/>
    <mergeCell ref="M7:O7"/>
    <mergeCell ref="E8:G8"/>
    <mergeCell ref="I8:K8"/>
    <mergeCell ref="M8:O8"/>
    <mergeCell ref="I9:K9"/>
    <mergeCell ref="M9:O9"/>
    <mergeCell ref="I10:K10"/>
    <mergeCell ref="M10:O10"/>
    <mergeCell ref="I11:K11"/>
    <mergeCell ref="M11:O11"/>
    <mergeCell ref="I12:K12"/>
    <mergeCell ref="M12:O12"/>
    <mergeCell ref="B14:E14"/>
    <mergeCell ref="F14:I14"/>
    <mergeCell ref="J14:M14"/>
    <mergeCell ref="N14:T14"/>
    <mergeCell ref="U14:AA14"/>
    <mergeCell ref="AB14:AH14"/>
    <mergeCell ref="AI14:AO14"/>
    <mergeCell ref="AP14:AV14"/>
    <mergeCell ref="AW14:BC14"/>
  </mergeCells>
  <pageMargins left="0.70866141732283472" right="0.70866141732283472" top="0.78740157480314965" bottom="0.78740157480314965" header="0.31496062992125984" footer="0.31496062992125984"/>
  <pageSetup paperSize="9" scale="44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19"/>
  <sheetViews>
    <sheetView view="pageBreakPreview" zoomScale="85" zoomScaleNormal="85" zoomScaleSheetLayoutView="85" workbookViewId="0">
      <pane ySplit="12" topLeftCell="A13" activePane="bottomLeft" state="frozen"/>
      <selection activeCell="A4" sqref="A4:BH4"/>
      <selection pane="bottomLeft" activeCell="F13" sqref="F13:F36"/>
    </sheetView>
  </sheetViews>
  <sheetFormatPr baseColWidth="10" defaultColWidth="11.42578125" defaultRowHeight="15"/>
  <cols>
    <col min="1" max="1" width="20.85546875" style="182" bestFit="1" customWidth="1"/>
    <col min="2" max="2" width="18.7109375" style="406" customWidth="1"/>
    <col min="3" max="4" width="18.7109375" style="405" customWidth="1"/>
    <col min="5" max="5" width="15.85546875" style="405" customWidth="1"/>
    <col min="6" max="6" width="18.140625" style="405" customWidth="1"/>
    <col min="7" max="7" width="19" style="405" customWidth="1"/>
    <col min="8" max="8" width="18.5703125" style="405" customWidth="1"/>
    <col min="9" max="9" width="18.140625" style="405" customWidth="1"/>
    <col min="10" max="10" width="19.5703125" style="405" customWidth="1"/>
    <col min="11" max="11" width="15.85546875" style="405" customWidth="1"/>
    <col min="12" max="12" width="12.85546875" style="182" customWidth="1"/>
    <col min="13" max="13" width="20.42578125" style="182" customWidth="1"/>
    <col min="14" max="14" width="10.5703125" style="182" customWidth="1"/>
    <col min="15" max="15" width="3.85546875" style="182" customWidth="1"/>
    <col min="16" max="16" width="3.5703125" style="182" customWidth="1"/>
    <col min="17" max="17" width="2.42578125" style="182" customWidth="1"/>
    <col min="18" max="18" width="3.140625" style="182" customWidth="1"/>
    <col min="19" max="19" width="10.42578125" style="182" customWidth="1"/>
    <col min="20" max="16384" width="11.42578125" style="182"/>
  </cols>
  <sheetData>
    <row r="1" spans="1:61" ht="39" customHeight="1" thickBot="1">
      <c r="A1" s="533" t="s">
        <v>169</v>
      </c>
      <c r="B1" s="534"/>
      <c r="C1" s="534"/>
      <c r="D1" s="534"/>
      <c r="E1" s="859" t="s">
        <v>132</v>
      </c>
      <c r="F1" s="859"/>
      <c r="G1" s="859"/>
      <c r="H1" s="859"/>
      <c r="I1" s="859"/>
      <c r="J1" s="859"/>
      <c r="K1" s="859"/>
      <c r="L1" s="859"/>
      <c r="M1" s="859"/>
      <c r="N1" s="859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  <c r="AA1" s="534"/>
      <c r="AB1" s="534"/>
      <c r="AC1" s="534"/>
      <c r="AD1" s="534"/>
      <c r="AE1" s="534"/>
      <c r="AF1" s="534"/>
      <c r="AG1" s="534"/>
      <c r="AH1" s="534"/>
      <c r="AI1" s="534"/>
      <c r="AJ1" s="534"/>
      <c r="AK1" s="534"/>
      <c r="AL1" s="534"/>
      <c r="AM1" s="534"/>
      <c r="AN1" s="534"/>
      <c r="AO1" s="534"/>
      <c r="AP1" s="534"/>
      <c r="AQ1" s="534"/>
      <c r="AR1" s="534"/>
      <c r="AS1" s="534"/>
      <c r="AT1" s="534"/>
      <c r="AU1" s="534"/>
      <c r="AV1" s="534"/>
      <c r="AW1" s="534"/>
      <c r="AX1" s="534"/>
      <c r="AY1" s="534"/>
      <c r="AZ1" s="534"/>
      <c r="BA1" s="534"/>
      <c r="BB1" s="534"/>
      <c r="BC1" s="534"/>
      <c r="BD1" s="534"/>
      <c r="BE1" s="534"/>
      <c r="BF1" s="534"/>
      <c r="BG1" s="534"/>
      <c r="BH1" s="531"/>
      <c r="BI1" s="531"/>
    </row>
    <row r="2" spans="1:61" ht="23.25">
      <c r="E2" s="563" t="s">
        <v>125</v>
      </c>
      <c r="F2" s="549"/>
      <c r="G2" s="549"/>
      <c r="H2" s="549"/>
      <c r="I2" s="549"/>
      <c r="J2" s="549"/>
      <c r="K2" s="549"/>
      <c r="L2" s="549"/>
      <c r="M2" s="549"/>
      <c r="N2" s="550"/>
      <c r="P2" s="565" t="s">
        <v>110</v>
      </c>
      <c r="Q2" s="565"/>
      <c r="R2" s="565"/>
      <c r="S2" s="565"/>
      <c r="T2" s="565" t="s">
        <v>113</v>
      </c>
    </row>
    <row r="3" spans="1:61" s="467" customFormat="1" ht="32.450000000000003" customHeight="1">
      <c r="A3" s="547"/>
      <c r="B3" s="547"/>
      <c r="C3" s="547"/>
      <c r="D3" s="547"/>
      <c r="E3" s="542" t="s">
        <v>129</v>
      </c>
      <c r="F3" s="543" t="s">
        <v>153</v>
      </c>
      <c r="G3" s="543" t="s">
        <v>126</v>
      </c>
      <c r="H3" s="548" t="s">
        <v>128</v>
      </c>
      <c r="I3" s="543" t="s">
        <v>127</v>
      </c>
      <c r="J3" s="543" t="s">
        <v>130</v>
      </c>
      <c r="K3" s="543" t="s">
        <v>131</v>
      </c>
      <c r="L3" s="543" t="s">
        <v>135</v>
      </c>
      <c r="M3" s="543" t="s">
        <v>133</v>
      </c>
      <c r="N3" s="544" t="s">
        <v>134</v>
      </c>
      <c r="P3" s="566">
        <v>1</v>
      </c>
      <c r="Q3" s="566" t="s">
        <v>112</v>
      </c>
      <c r="R3" s="566">
        <v>15</v>
      </c>
      <c r="S3" s="566" t="s">
        <v>111</v>
      </c>
      <c r="T3" s="566">
        <v>110</v>
      </c>
    </row>
    <row r="4" spans="1:61" ht="15.75">
      <c r="E4" s="541" t="s">
        <v>55</v>
      </c>
      <c r="F4" s="539" t="s">
        <v>79</v>
      </c>
      <c r="G4" s="539"/>
      <c r="H4" s="540">
        <f>IF($E$4=$J$11,VLOOKUP($F$4,$A$37:$K$78,11,0),IF($E$4=$H$11,VLOOKUP($F$4,$A$37:$K$78,9,0),IF($E$4=$F$11,VLOOKUP($F$4,$A$37:$K$78,7,0),IF($E$4=$D$11,VLOOKUP($F$4,$A$37:$K$78,5,0),IF($E$4=$B$11,VLOOKUP($F$4,$A$37:$K$78,3,0))))))</f>
        <v>405</v>
      </c>
      <c r="I4" s="540">
        <f>H4*G4</f>
        <v>0</v>
      </c>
      <c r="J4" s="551"/>
      <c r="K4" s="551"/>
      <c r="L4" s="540">
        <f>(I4-(I4*J4))-(I4-(I4*J4))*K4</f>
        <v>0</v>
      </c>
      <c r="M4" s="556" t="e">
        <f>1-L4/I4</f>
        <v>#DIV/0!</v>
      </c>
      <c r="N4" s="557" t="e">
        <f>(1-M4)*100</f>
        <v>#DIV/0!</v>
      </c>
      <c r="P4" s="566">
        <v>16</v>
      </c>
      <c r="Q4" s="566" t="s">
        <v>112</v>
      </c>
      <c r="R4" s="566">
        <v>24</v>
      </c>
      <c r="S4" s="566" t="s">
        <v>111</v>
      </c>
      <c r="T4" s="566">
        <v>105</v>
      </c>
    </row>
    <row r="5" spans="1:61" s="23" customFormat="1" ht="15.75">
      <c r="B5" s="408"/>
      <c r="C5" s="407"/>
      <c r="D5" s="407"/>
      <c r="E5" s="541" t="s">
        <v>55</v>
      </c>
      <c r="F5" s="539" t="s">
        <v>79</v>
      </c>
      <c r="G5" s="539"/>
      <c r="H5" s="540">
        <f>IF($E$5=$J$11,VLOOKUP($F$5,$A$37:$K$78,11,0),IF($E$5=$H$11,VLOOKUP($F$5,$A$37:$K$78,9,0),IF($E$5=$F$11,VLOOKUP($F$5,$A$37:$K$78,7,0),IF($E$5=$D$11,VLOOKUP($F$5,$A$37:$K$78,5,0),IF($E$5=$B$11,VLOOKUP($F$5,$A$37:$K$78,3,0))))))</f>
        <v>405</v>
      </c>
      <c r="I5" s="540">
        <f t="shared" ref="I5:I7" si="0">H5*G5</f>
        <v>0</v>
      </c>
      <c r="J5" s="551"/>
      <c r="K5" s="552"/>
      <c r="L5" s="540">
        <f t="shared" ref="L5:L7" si="1">(I5-(I5*J5))-(I5-(I5*J5))*K5</f>
        <v>0</v>
      </c>
      <c r="M5" s="556" t="e">
        <f t="shared" ref="M5:M7" si="2">1-L5/I5</f>
        <v>#DIV/0!</v>
      </c>
      <c r="N5" s="557" t="e">
        <f t="shared" ref="N5:N7" si="3">(1-M5)*100</f>
        <v>#DIV/0!</v>
      </c>
      <c r="P5" s="566">
        <v>25</v>
      </c>
      <c r="Q5" s="566" t="s">
        <v>112</v>
      </c>
      <c r="R5" s="566">
        <v>34</v>
      </c>
      <c r="S5" s="566" t="s">
        <v>111</v>
      </c>
      <c r="T5" s="566">
        <v>100</v>
      </c>
    </row>
    <row r="6" spans="1:61" s="23" customFormat="1" ht="16.5" thickBot="1">
      <c r="B6" s="408"/>
      <c r="C6" s="407"/>
      <c r="D6" s="407"/>
      <c r="E6" s="541" t="s">
        <v>55</v>
      </c>
      <c r="F6" s="539" t="s">
        <v>79</v>
      </c>
      <c r="G6" s="539"/>
      <c r="H6" s="540">
        <f>IF($E$6=$J$11,VLOOKUP($F$6,$A$37:$K$78,11,0),IF($E$6=$H$11,VLOOKUP($F$6,$A$37:$K$78,9,0),IF($E$6=$F$11,VLOOKUP($F$6,$A$37:$K$78,7,0),IF($E$6=$D$11,VLOOKUP($F$6,$A$37:$K$78,5,0),IF($E$6=$B$11,VLOOKUP($F$6,$A$37:$K$78,3,0))))))</f>
        <v>405</v>
      </c>
      <c r="I6" s="540">
        <f t="shared" ref="I6" si="4">H6*G6</f>
        <v>0</v>
      </c>
      <c r="J6" s="551"/>
      <c r="K6" s="552"/>
      <c r="L6" s="540">
        <f t="shared" ref="L6" si="5">(I6-(I6*J6))-(I6-(I6*J6))*K6</f>
        <v>0</v>
      </c>
      <c r="M6" s="556" t="e">
        <f t="shared" ref="M6" si="6">1-L6/I6</f>
        <v>#DIV/0!</v>
      </c>
      <c r="N6" s="557" t="e">
        <f t="shared" ref="N6" si="7">(1-M6)*100</f>
        <v>#DIV/0!</v>
      </c>
      <c r="P6" s="566">
        <v>35</v>
      </c>
      <c r="Q6" s="566" t="s">
        <v>112</v>
      </c>
      <c r="R6" s="566">
        <v>99</v>
      </c>
      <c r="S6" s="566" t="s">
        <v>111</v>
      </c>
      <c r="T6" s="566">
        <v>95</v>
      </c>
    </row>
    <row r="7" spans="1:61" s="23" customFormat="1" ht="18.75" thickBot="1">
      <c r="A7" s="92" t="s">
        <v>53</v>
      </c>
      <c r="B7" s="408"/>
      <c r="C7" s="466">
        <v>30</v>
      </c>
      <c r="D7" s="407"/>
      <c r="E7" s="848" t="s">
        <v>55</v>
      </c>
      <c r="F7" s="849" t="s">
        <v>79</v>
      </c>
      <c r="G7" s="849"/>
      <c r="H7" s="850">
        <f>IF($E$7=$J$11,VLOOKUP($F$7,$A$37:$K$78,11,0),IF($E$7=$H$11,VLOOKUP($F$7,$A$37:$K$78,9,0),IF($E$7=$F$11,VLOOKUP($F$7,$A$37:$K$78,7,0),IF($E$7=$D$11,VLOOKUP($F$7,$A$37:$K$78,5,0),IF($E$7=$B$11,VLOOKUP($F$7,$A$37:$K$78,3,0))))))</f>
        <v>405</v>
      </c>
      <c r="I7" s="850">
        <f t="shared" si="0"/>
        <v>0</v>
      </c>
      <c r="J7" s="851"/>
      <c r="K7" s="852"/>
      <c r="L7" s="850">
        <f t="shared" si="1"/>
        <v>0</v>
      </c>
      <c r="M7" s="853" t="e">
        <f t="shared" si="2"/>
        <v>#DIV/0!</v>
      </c>
      <c r="N7" s="854" t="e">
        <f t="shared" si="3"/>
        <v>#DIV/0!</v>
      </c>
    </row>
    <row r="8" spans="1:61" s="23" customFormat="1" ht="18">
      <c r="A8" s="92" t="s">
        <v>162</v>
      </c>
      <c r="B8" s="408"/>
      <c r="C8" s="561"/>
      <c r="D8" s="407"/>
      <c r="E8" s="182"/>
      <c r="F8" s="182"/>
      <c r="G8" s="182"/>
      <c r="H8" s="554"/>
      <c r="I8" s="554"/>
      <c r="J8" s="558"/>
      <c r="K8" s="559"/>
      <c r="L8" s="554">
        <f>SUM(L4:L7)</f>
        <v>0</v>
      </c>
      <c r="M8" s="555"/>
      <c r="N8" s="560"/>
      <c r="O8" s="147"/>
      <c r="Q8" s="147"/>
    </row>
    <row r="9" spans="1:61" s="23" customFormat="1" ht="18.75" thickBot="1">
      <c r="A9" s="92" t="s">
        <v>163</v>
      </c>
      <c r="B9" s="408"/>
      <c r="C9" s="561"/>
      <c r="D9" s="407"/>
      <c r="E9" s="182"/>
      <c r="F9" s="182"/>
      <c r="G9" s="182"/>
      <c r="H9" s="554"/>
      <c r="I9" s="554"/>
      <c r="J9" s="558"/>
      <c r="K9" s="559"/>
      <c r="L9" s="554"/>
      <c r="M9" s="147"/>
      <c r="N9" s="147"/>
      <c r="O9" s="147"/>
      <c r="P9" s="147"/>
      <c r="Q9" s="147"/>
    </row>
    <row r="10" spans="1:61" s="23" customFormat="1" ht="18.75" thickBot="1">
      <c r="A10" s="1027" t="s">
        <v>54</v>
      </c>
      <c r="B10" s="1028"/>
      <c r="C10" s="1029"/>
      <c r="D10" s="1028"/>
      <c r="E10" s="1029"/>
      <c r="F10" s="1029"/>
      <c r="G10" s="1029"/>
      <c r="H10" s="1029"/>
      <c r="I10" s="1029"/>
      <c r="J10" s="1029"/>
      <c r="K10" s="1030"/>
    </row>
    <row r="11" spans="1:61" s="168" customFormat="1" ht="19.899999999999999" customHeight="1">
      <c r="A11" s="465"/>
      <c r="B11" s="1031" t="s">
        <v>55</v>
      </c>
      <c r="C11" s="1032"/>
      <c r="D11" s="1033" t="s">
        <v>0</v>
      </c>
      <c r="E11" s="1034"/>
      <c r="F11" s="1033" t="s">
        <v>21</v>
      </c>
      <c r="G11" s="1034"/>
      <c r="H11" s="1035" t="s">
        <v>56</v>
      </c>
      <c r="I11" s="1036"/>
      <c r="J11" s="1035" t="s">
        <v>57</v>
      </c>
      <c r="K11" s="1036"/>
    </row>
    <row r="12" spans="1:61" s="23" customFormat="1" ht="21.6" customHeight="1">
      <c r="A12" s="464" t="s">
        <v>58</v>
      </c>
      <c r="B12" s="463" t="s">
        <v>121</v>
      </c>
      <c r="C12" s="462" t="s">
        <v>59</v>
      </c>
      <c r="D12" s="463" t="s">
        <v>121</v>
      </c>
      <c r="E12" s="462" t="s">
        <v>59</v>
      </c>
      <c r="F12" s="463" t="s">
        <v>121</v>
      </c>
      <c r="G12" s="462" t="s">
        <v>59</v>
      </c>
      <c r="H12" s="463" t="s">
        <v>121</v>
      </c>
      <c r="I12" s="462" t="s">
        <v>59</v>
      </c>
      <c r="J12" s="463" t="s">
        <v>121</v>
      </c>
      <c r="K12" s="462" t="s">
        <v>59</v>
      </c>
    </row>
    <row r="13" spans="1:61" s="23" customFormat="1" ht="18">
      <c r="A13" s="457" t="s">
        <v>103</v>
      </c>
      <c r="B13" s="461">
        <v>1</v>
      </c>
      <c r="C13" s="529">
        <f t="shared" ref="C13:C45" si="8">IF(AND($C$7&gt;=$P$5,$C$7&lt;=$R$5),B13*$C$7*$T$5/100,IF(AND($C$7&gt;=$P$4,$C$7&lt;=$R$4),B13*$C$7*$T$4/100,IF(AND($C$7&gt;=$P$3,$C$7&lt;=$R$3),B13*$C$7*$T$3/100,IF($C$7&gt;=$P$6,B13*$C$7*$T$6/100))))</f>
        <v>30</v>
      </c>
      <c r="D13" s="460">
        <v>1</v>
      </c>
      <c r="E13" s="529">
        <f t="shared" ref="E13:E45" si="9">IF(AND($C$7&gt;=$P$5,$C$7&lt;=$R$5),D13*$C$7*$T$5/100,IF(AND($C$7&gt;=$P$4,$C$7&lt;=$R$4),D13*$C$7*$T$4/100,IF(AND($C$7&gt;=$P$3,$C$7&lt;=$R$3),D13*$C$7*$T$3/100,IF($C$7&gt;=$P$6,D13*$C$7*$T$6/100))))</f>
        <v>30</v>
      </c>
      <c r="F13" s="460">
        <v>1</v>
      </c>
      <c r="G13" s="530">
        <f t="shared" ref="G13:G45" si="10">IF(AND($C$7&gt;=$P$5,$C$7&lt;=$R$5),F13*$C$7*$T$5/100,IF(AND($C$7&gt;=$P$4,$C$7&lt;=$R$4),F13*$C$7*$T$4/100,IF(AND($C$7&gt;=$P$3,$C$7&lt;=$R$3),F13*$C$7*$T$3/100,IF($C$7&gt;=$P$6,F13*$C$7*$T$6/100))))</f>
        <v>30</v>
      </c>
      <c r="H13" s="459">
        <f t="shared" ref="H13:H17" si="11">((B13*5)+D13)/6</f>
        <v>1</v>
      </c>
      <c r="I13" s="458">
        <f t="shared" ref="I13:I17" si="12">((5*C13)+E13)/6</f>
        <v>30</v>
      </c>
      <c r="J13" s="459">
        <f t="shared" ref="J13:J17" si="13">((B13*5)+D13+F13)/7</f>
        <v>1</v>
      </c>
      <c r="K13" s="458">
        <f t="shared" ref="K13:K17" si="14">((5*C13)+E13+G13)/7</f>
        <v>30</v>
      </c>
    </row>
    <row r="14" spans="1:61" s="23" customFormat="1" ht="18">
      <c r="A14" s="457" t="s">
        <v>107</v>
      </c>
      <c r="B14" s="461">
        <v>1</v>
      </c>
      <c r="C14" s="529">
        <f t="shared" si="8"/>
        <v>30</v>
      </c>
      <c r="D14" s="460">
        <v>1</v>
      </c>
      <c r="E14" s="529">
        <f t="shared" si="9"/>
        <v>30</v>
      </c>
      <c r="F14" s="460">
        <v>1</v>
      </c>
      <c r="G14" s="530">
        <f t="shared" si="10"/>
        <v>30</v>
      </c>
      <c r="H14" s="459">
        <f t="shared" si="11"/>
        <v>1</v>
      </c>
      <c r="I14" s="458">
        <f t="shared" si="12"/>
        <v>30</v>
      </c>
      <c r="J14" s="459">
        <f t="shared" si="13"/>
        <v>1</v>
      </c>
      <c r="K14" s="458">
        <f t="shared" si="14"/>
        <v>30</v>
      </c>
    </row>
    <row r="15" spans="1:61" s="23" customFormat="1" ht="18">
      <c r="A15" s="457" t="s">
        <v>106</v>
      </c>
      <c r="B15" s="461">
        <v>1</v>
      </c>
      <c r="C15" s="529">
        <f t="shared" si="8"/>
        <v>30</v>
      </c>
      <c r="D15" s="460">
        <v>1</v>
      </c>
      <c r="E15" s="529">
        <f t="shared" si="9"/>
        <v>30</v>
      </c>
      <c r="F15" s="460">
        <v>1</v>
      </c>
      <c r="G15" s="530">
        <f t="shared" si="10"/>
        <v>30</v>
      </c>
      <c r="H15" s="459">
        <f t="shared" si="11"/>
        <v>1</v>
      </c>
      <c r="I15" s="458">
        <f t="shared" si="12"/>
        <v>30</v>
      </c>
      <c r="J15" s="459">
        <f t="shared" si="13"/>
        <v>1</v>
      </c>
      <c r="K15" s="458">
        <f t="shared" si="14"/>
        <v>30</v>
      </c>
    </row>
    <row r="16" spans="1:61" s="23" customFormat="1" ht="18">
      <c r="A16" s="457" t="s">
        <v>105</v>
      </c>
      <c r="B16" s="461">
        <v>1</v>
      </c>
      <c r="C16" s="529">
        <f t="shared" si="8"/>
        <v>30</v>
      </c>
      <c r="D16" s="460">
        <v>1</v>
      </c>
      <c r="E16" s="529">
        <f t="shared" si="9"/>
        <v>30</v>
      </c>
      <c r="F16" s="460">
        <v>1</v>
      </c>
      <c r="G16" s="530">
        <f t="shared" si="10"/>
        <v>30</v>
      </c>
      <c r="H16" s="459">
        <f t="shared" si="11"/>
        <v>1</v>
      </c>
      <c r="I16" s="458">
        <f t="shared" si="12"/>
        <v>30</v>
      </c>
      <c r="J16" s="459">
        <f t="shared" si="13"/>
        <v>1</v>
      </c>
      <c r="K16" s="458">
        <f t="shared" si="14"/>
        <v>30</v>
      </c>
    </row>
    <row r="17" spans="1:11" s="23" customFormat="1" ht="18">
      <c r="A17" s="457" t="s">
        <v>104</v>
      </c>
      <c r="B17" s="461">
        <v>1</v>
      </c>
      <c r="C17" s="529">
        <f t="shared" si="8"/>
        <v>30</v>
      </c>
      <c r="D17" s="460">
        <v>1</v>
      </c>
      <c r="E17" s="529">
        <f t="shared" si="9"/>
        <v>30</v>
      </c>
      <c r="F17" s="460">
        <v>1</v>
      </c>
      <c r="G17" s="530">
        <f t="shared" si="10"/>
        <v>30</v>
      </c>
      <c r="H17" s="459">
        <f t="shared" si="11"/>
        <v>1</v>
      </c>
      <c r="I17" s="458">
        <f t="shared" si="12"/>
        <v>30</v>
      </c>
      <c r="J17" s="459">
        <f t="shared" si="13"/>
        <v>1</v>
      </c>
      <c r="K17" s="458">
        <f t="shared" si="14"/>
        <v>30</v>
      </c>
    </row>
    <row r="18" spans="1:11" s="23" customFormat="1" ht="18">
      <c r="A18" s="457" t="s">
        <v>60</v>
      </c>
      <c r="B18" s="456">
        <v>5</v>
      </c>
      <c r="C18" s="529">
        <f t="shared" si="8"/>
        <v>150</v>
      </c>
      <c r="D18" s="459">
        <v>1</v>
      </c>
      <c r="E18" s="529">
        <f t="shared" si="9"/>
        <v>30</v>
      </c>
      <c r="F18" s="459">
        <v>2</v>
      </c>
      <c r="G18" s="530">
        <f t="shared" si="10"/>
        <v>60</v>
      </c>
      <c r="H18" s="459">
        <f t="shared" ref="H18:H36" si="15">((B18*5)+D18)/6</f>
        <v>4.333333333333333</v>
      </c>
      <c r="I18" s="458">
        <f t="shared" ref="I18:I36" si="16">((5*C18)+E18)/6</f>
        <v>130</v>
      </c>
      <c r="J18" s="459">
        <f t="shared" ref="J18:J36" si="17">((B18*5)+D18+F18)/7</f>
        <v>4</v>
      </c>
      <c r="K18" s="458">
        <f t="shared" ref="K18:K36" si="18">((5*C18)+E18+G18)/7</f>
        <v>120</v>
      </c>
    </row>
    <row r="19" spans="1:11" s="23" customFormat="1" ht="18">
      <c r="A19" s="457" t="s">
        <v>61</v>
      </c>
      <c r="B19" s="456">
        <v>13</v>
      </c>
      <c r="C19" s="529">
        <f t="shared" si="8"/>
        <v>390</v>
      </c>
      <c r="D19" s="459">
        <v>2</v>
      </c>
      <c r="E19" s="529">
        <f t="shared" si="9"/>
        <v>60</v>
      </c>
      <c r="F19" s="459">
        <v>3</v>
      </c>
      <c r="G19" s="530">
        <f t="shared" si="10"/>
        <v>90</v>
      </c>
      <c r="H19" s="459">
        <f t="shared" si="15"/>
        <v>11.166666666666666</v>
      </c>
      <c r="I19" s="458">
        <f t="shared" si="16"/>
        <v>335</v>
      </c>
      <c r="J19" s="459">
        <f t="shared" si="17"/>
        <v>10</v>
      </c>
      <c r="K19" s="458">
        <f t="shared" si="18"/>
        <v>300</v>
      </c>
    </row>
    <row r="20" spans="1:11" s="23" customFormat="1" ht="18">
      <c r="A20" s="457" t="s">
        <v>62</v>
      </c>
      <c r="B20" s="456">
        <v>17</v>
      </c>
      <c r="C20" s="529">
        <f t="shared" si="8"/>
        <v>510</v>
      </c>
      <c r="D20" s="459">
        <v>5</v>
      </c>
      <c r="E20" s="529">
        <f t="shared" si="9"/>
        <v>150</v>
      </c>
      <c r="F20" s="459">
        <v>4</v>
      </c>
      <c r="G20" s="530">
        <f t="shared" si="10"/>
        <v>120</v>
      </c>
      <c r="H20" s="459">
        <f t="shared" si="15"/>
        <v>15</v>
      </c>
      <c r="I20" s="458">
        <f t="shared" si="16"/>
        <v>450</v>
      </c>
      <c r="J20" s="459">
        <f t="shared" si="17"/>
        <v>13.428571428571429</v>
      </c>
      <c r="K20" s="458">
        <f t="shared" si="18"/>
        <v>402.85714285714283</v>
      </c>
    </row>
    <row r="21" spans="1:11" s="23" customFormat="1" ht="18">
      <c r="A21" s="457" t="s">
        <v>63</v>
      </c>
      <c r="B21" s="456">
        <v>17</v>
      </c>
      <c r="C21" s="529">
        <f t="shared" si="8"/>
        <v>510</v>
      </c>
      <c r="D21" s="459">
        <v>7</v>
      </c>
      <c r="E21" s="529">
        <f t="shared" si="9"/>
        <v>210</v>
      </c>
      <c r="F21" s="459">
        <v>6</v>
      </c>
      <c r="G21" s="530">
        <f t="shared" si="10"/>
        <v>180</v>
      </c>
      <c r="H21" s="459">
        <f t="shared" si="15"/>
        <v>15.333333333333334</v>
      </c>
      <c r="I21" s="458">
        <f t="shared" si="16"/>
        <v>460</v>
      </c>
      <c r="J21" s="459">
        <f t="shared" si="17"/>
        <v>14</v>
      </c>
      <c r="K21" s="458">
        <f t="shared" si="18"/>
        <v>420</v>
      </c>
    </row>
    <row r="22" spans="1:11" s="23" customFormat="1" ht="18">
      <c r="A22" s="457" t="s">
        <v>64</v>
      </c>
      <c r="B22" s="456">
        <v>16</v>
      </c>
      <c r="C22" s="529">
        <f t="shared" si="8"/>
        <v>480</v>
      </c>
      <c r="D22" s="459">
        <v>12</v>
      </c>
      <c r="E22" s="529">
        <f t="shared" si="9"/>
        <v>360</v>
      </c>
      <c r="F22" s="459">
        <v>16</v>
      </c>
      <c r="G22" s="530">
        <f t="shared" si="10"/>
        <v>480</v>
      </c>
      <c r="H22" s="459">
        <f t="shared" si="15"/>
        <v>15.333333333333334</v>
      </c>
      <c r="I22" s="458">
        <f t="shared" si="16"/>
        <v>460</v>
      </c>
      <c r="J22" s="459">
        <f t="shared" si="17"/>
        <v>15.428571428571429</v>
      </c>
      <c r="K22" s="458">
        <f t="shared" si="18"/>
        <v>462.85714285714283</v>
      </c>
    </row>
    <row r="23" spans="1:11" s="23" customFormat="1" ht="18">
      <c r="A23" s="457" t="s">
        <v>65</v>
      </c>
      <c r="B23" s="456">
        <v>13</v>
      </c>
      <c r="C23" s="529">
        <f t="shared" si="8"/>
        <v>390</v>
      </c>
      <c r="D23" s="459">
        <v>12</v>
      </c>
      <c r="E23" s="529">
        <f t="shared" si="9"/>
        <v>360</v>
      </c>
      <c r="F23" s="459">
        <v>11</v>
      </c>
      <c r="G23" s="530">
        <f t="shared" si="10"/>
        <v>330</v>
      </c>
      <c r="H23" s="459">
        <f t="shared" si="15"/>
        <v>12.833333333333334</v>
      </c>
      <c r="I23" s="458">
        <f t="shared" si="16"/>
        <v>385</v>
      </c>
      <c r="J23" s="459">
        <f t="shared" si="17"/>
        <v>12.571428571428571</v>
      </c>
      <c r="K23" s="458">
        <f t="shared" si="18"/>
        <v>377.14285714285717</v>
      </c>
    </row>
    <row r="24" spans="1:11" s="23" customFormat="1" ht="18">
      <c r="A24" s="457" t="s">
        <v>66</v>
      </c>
      <c r="B24" s="456">
        <v>13</v>
      </c>
      <c r="C24" s="529">
        <f t="shared" si="8"/>
        <v>390</v>
      </c>
      <c r="D24" s="459">
        <v>9</v>
      </c>
      <c r="E24" s="529">
        <f t="shared" si="9"/>
        <v>270</v>
      </c>
      <c r="F24" s="459">
        <v>7</v>
      </c>
      <c r="G24" s="530">
        <f t="shared" si="10"/>
        <v>210</v>
      </c>
      <c r="H24" s="459">
        <f t="shared" si="15"/>
        <v>12.333333333333334</v>
      </c>
      <c r="I24" s="458">
        <f t="shared" si="16"/>
        <v>370</v>
      </c>
      <c r="J24" s="459">
        <f t="shared" si="17"/>
        <v>11.571428571428571</v>
      </c>
      <c r="K24" s="458">
        <f t="shared" si="18"/>
        <v>347.14285714285717</v>
      </c>
    </row>
    <row r="25" spans="1:11" s="23" customFormat="1" ht="18">
      <c r="A25" s="457" t="s">
        <v>67</v>
      </c>
      <c r="B25" s="456">
        <v>13</v>
      </c>
      <c r="C25" s="529">
        <f t="shared" si="8"/>
        <v>390</v>
      </c>
      <c r="D25" s="459">
        <v>8</v>
      </c>
      <c r="E25" s="529">
        <f t="shared" si="9"/>
        <v>240</v>
      </c>
      <c r="F25" s="459">
        <v>9</v>
      </c>
      <c r="G25" s="530">
        <f t="shared" si="10"/>
        <v>270</v>
      </c>
      <c r="H25" s="459">
        <f t="shared" si="15"/>
        <v>12.166666666666666</v>
      </c>
      <c r="I25" s="458">
        <f t="shared" si="16"/>
        <v>365</v>
      </c>
      <c r="J25" s="459">
        <f t="shared" si="17"/>
        <v>11.714285714285714</v>
      </c>
      <c r="K25" s="458">
        <f t="shared" si="18"/>
        <v>351.42857142857144</v>
      </c>
    </row>
    <row r="26" spans="1:11" s="23" customFormat="1" ht="18">
      <c r="A26" s="457" t="s">
        <v>68</v>
      </c>
      <c r="B26" s="456">
        <v>12</v>
      </c>
      <c r="C26" s="529">
        <f t="shared" si="8"/>
        <v>360</v>
      </c>
      <c r="D26" s="459">
        <v>9</v>
      </c>
      <c r="E26" s="529">
        <f t="shared" si="9"/>
        <v>270</v>
      </c>
      <c r="F26" s="459">
        <v>9</v>
      </c>
      <c r="G26" s="530">
        <f t="shared" si="10"/>
        <v>270</v>
      </c>
      <c r="H26" s="459">
        <f t="shared" si="15"/>
        <v>11.5</v>
      </c>
      <c r="I26" s="458">
        <f t="shared" si="16"/>
        <v>345</v>
      </c>
      <c r="J26" s="459">
        <f t="shared" si="17"/>
        <v>11.142857142857142</v>
      </c>
      <c r="K26" s="458">
        <f t="shared" si="18"/>
        <v>334.28571428571428</v>
      </c>
    </row>
    <row r="27" spans="1:11" s="23" customFormat="1" ht="18">
      <c r="A27" s="457" t="s">
        <v>69</v>
      </c>
      <c r="B27" s="456">
        <v>12</v>
      </c>
      <c r="C27" s="529">
        <f t="shared" si="8"/>
        <v>360</v>
      </c>
      <c r="D27" s="459">
        <v>8</v>
      </c>
      <c r="E27" s="529">
        <f t="shared" si="9"/>
        <v>240</v>
      </c>
      <c r="F27" s="459">
        <v>9</v>
      </c>
      <c r="G27" s="530">
        <f t="shared" si="10"/>
        <v>270</v>
      </c>
      <c r="H27" s="459">
        <f t="shared" si="15"/>
        <v>11.333333333333334</v>
      </c>
      <c r="I27" s="458">
        <f t="shared" si="16"/>
        <v>340</v>
      </c>
      <c r="J27" s="459">
        <f t="shared" si="17"/>
        <v>11</v>
      </c>
      <c r="K27" s="458">
        <f t="shared" si="18"/>
        <v>330</v>
      </c>
    </row>
    <row r="28" spans="1:11" s="23" customFormat="1" ht="18">
      <c r="A28" s="457" t="s">
        <v>70</v>
      </c>
      <c r="B28" s="456">
        <v>12</v>
      </c>
      <c r="C28" s="529">
        <f t="shared" si="8"/>
        <v>360</v>
      </c>
      <c r="D28" s="459">
        <v>8</v>
      </c>
      <c r="E28" s="529">
        <f t="shared" si="9"/>
        <v>240</v>
      </c>
      <c r="F28" s="459">
        <v>9</v>
      </c>
      <c r="G28" s="530">
        <f t="shared" si="10"/>
        <v>270</v>
      </c>
      <c r="H28" s="459">
        <f t="shared" si="15"/>
        <v>11.333333333333334</v>
      </c>
      <c r="I28" s="458">
        <f t="shared" si="16"/>
        <v>340</v>
      </c>
      <c r="J28" s="459">
        <f t="shared" si="17"/>
        <v>11</v>
      </c>
      <c r="K28" s="458">
        <f t="shared" si="18"/>
        <v>330</v>
      </c>
    </row>
    <row r="29" spans="1:11" s="23" customFormat="1" ht="18">
      <c r="A29" s="457" t="s">
        <v>71</v>
      </c>
      <c r="B29" s="456">
        <v>15</v>
      </c>
      <c r="C29" s="529">
        <f t="shared" si="8"/>
        <v>450</v>
      </c>
      <c r="D29" s="459">
        <v>8</v>
      </c>
      <c r="E29" s="529">
        <f t="shared" si="9"/>
        <v>240</v>
      </c>
      <c r="F29" s="459">
        <v>7</v>
      </c>
      <c r="G29" s="530">
        <f t="shared" si="10"/>
        <v>210</v>
      </c>
      <c r="H29" s="459">
        <f t="shared" si="15"/>
        <v>13.833333333333334</v>
      </c>
      <c r="I29" s="458">
        <f t="shared" si="16"/>
        <v>415</v>
      </c>
      <c r="J29" s="459">
        <f t="shared" si="17"/>
        <v>12.857142857142858</v>
      </c>
      <c r="K29" s="458">
        <f t="shared" si="18"/>
        <v>385.71428571428572</v>
      </c>
    </row>
    <row r="30" spans="1:11" s="23" customFormat="1" ht="18">
      <c r="A30" s="457" t="s">
        <v>72</v>
      </c>
      <c r="B30" s="456">
        <v>9</v>
      </c>
      <c r="C30" s="529">
        <f t="shared" si="8"/>
        <v>270</v>
      </c>
      <c r="D30" s="459">
        <v>8</v>
      </c>
      <c r="E30" s="529">
        <f t="shared" si="9"/>
        <v>240</v>
      </c>
      <c r="F30" s="459">
        <v>6</v>
      </c>
      <c r="G30" s="530">
        <f t="shared" si="10"/>
        <v>180</v>
      </c>
      <c r="H30" s="459">
        <f t="shared" si="15"/>
        <v>8.8333333333333339</v>
      </c>
      <c r="I30" s="458">
        <f t="shared" si="16"/>
        <v>265</v>
      </c>
      <c r="J30" s="459">
        <f t="shared" si="17"/>
        <v>8.4285714285714288</v>
      </c>
      <c r="K30" s="458">
        <f t="shared" si="18"/>
        <v>252.85714285714286</v>
      </c>
    </row>
    <row r="31" spans="1:11" s="23" customFormat="1" ht="18">
      <c r="A31" s="457" t="s">
        <v>73</v>
      </c>
      <c r="B31" s="456">
        <v>9</v>
      </c>
      <c r="C31" s="529">
        <f t="shared" si="8"/>
        <v>270</v>
      </c>
      <c r="D31" s="459">
        <v>5</v>
      </c>
      <c r="E31" s="529">
        <f t="shared" si="9"/>
        <v>150</v>
      </c>
      <c r="F31" s="459">
        <v>6</v>
      </c>
      <c r="G31" s="530">
        <f t="shared" si="10"/>
        <v>180</v>
      </c>
      <c r="H31" s="459">
        <f t="shared" si="15"/>
        <v>8.3333333333333339</v>
      </c>
      <c r="I31" s="458">
        <f t="shared" si="16"/>
        <v>250</v>
      </c>
      <c r="J31" s="459">
        <f t="shared" si="17"/>
        <v>8</v>
      </c>
      <c r="K31" s="458">
        <f t="shared" si="18"/>
        <v>240</v>
      </c>
    </row>
    <row r="32" spans="1:11" s="23" customFormat="1" ht="18">
      <c r="A32" s="457" t="s">
        <v>74</v>
      </c>
      <c r="B32" s="456">
        <v>6</v>
      </c>
      <c r="C32" s="529">
        <f t="shared" si="8"/>
        <v>180</v>
      </c>
      <c r="D32" s="459">
        <v>3</v>
      </c>
      <c r="E32" s="529">
        <f t="shared" si="9"/>
        <v>90</v>
      </c>
      <c r="F32" s="459">
        <v>3</v>
      </c>
      <c r="G32" s="530">
        <f t="shared" si="10"/>
        <v>90</v>
      </c>
      <c r="H32" s="459">
        <f t="shared" si="15"/>
        <v>5.5</v>
      </c>
      <c r="I32" s="458">
        <f t="shared" si="16"/>
        <v>165</v>
      </c>
      <c r="J32" s="459">
        <f t="shared" si="17"/>
        <v>5.1428571428571432</v>
      </c>
      <c r="K32" s="458">
        <f t="shared" si="18"/>
        <v>154.28571428571428</v>
      </c>
    </row>
    <row r="33" spans="1:13" s="23" customFormat="1" ht="18">
      <c r="A33" s="457" t="s">
        <v>75</v>
      </c>
      <c r="B33" s="456">
        <v>2</v>
      </c>
      <c r="C33" s="529">
        <f t="shared" si="8"/>
        <v>60</v>
      </c>
      <c r="D33" s="459">
        <v>2</v>
      </c>
      <c r="E33" s="529">
        <f t="shared" si="9"/>
        <v>60</v>
      </c>
      <c r="F33" s="459">
        <v>2</v>
      </c>
      <c r="G33" s="530">
        <f t="shared" si="10"/>
        <v>60</v>
      </c>
      <c r="H33" s="459">
        <f t="shared" si="15"/>
        <v>2</v>
      </c>
      <c r="I33" s="458">
        <f t="shared" si="16"/>
        <v>60</v>
      </c>
      <c r="J33" s="459">
        <f t="shared" si="17"/>
        <v>2</v>
      </c>
      <c r="K33" s="458">
        <f t="shared" si="18"/>
        <v>60</v>
      </c>
    </row>
    <row r="34" spans="1:13" s="23" customFormat="1" ht="18">
      <c r="A34" s="457" t="s">
        <v>76</v>
      </c>
      <c r="B34" s="456">
        <v>2</v>
      </c>
      <c r="C34" s="529">
        <f t="shared" si="8"/>
        <v>60</v>
      </c>
      <c r="D34" s="459">
        <v>2</v>
      </c>
      <c r="E34" s="529">
        <f t="shared" si="9"/>
        <v>60</v>
      </c>
      <c r="F34" s="459">
        <v>1</v>
      </c>
      <c r="G34" s="530">
        <f t="shared" si="10"/>
        <v>30</v>
      </c>
      <c r="H34" s="459">
        <f t="shared" si="15"/>
        <v>2</v>
      </c>
      <c r="I34" s="458">
        <f t="shared" si="16"/>
        <v>60</v>
      </c>
      <c r="J34" s="459">
        <f t="shared" si="17"/>
        <v>1.8571428571428572</v>
      </c>
      <c r="K34" s="458">
        <f t="shared" si="18"/>
        <v>55.714285714285715</v>
      </c>
    </row>
    <row r="35" spans="1:13" s="23" customFormat="1" ht="18">
      <c r="A35" s="457" t="s">
        <v>77</v>
      </c>
      <c r="B35" s="456">
        <v>1</v>
      </c>
      <c r="C35" s="529">
        <f t="shared" si="8"/>
        <v>30</v>
      </c>
      <c r="D35" s="455">
        <v>1</v>
      </c>
      <c r="E35" s="529">
        <f t="shared" si="9"/>
        <v>30</v>
      </c>
      <c r="F35" s="455">
        <v>1</v>
      </c>
      <c r="G35" s="530">
        <f t="shared" si="10"/>
        <v>30</v>
      </c>
      <c r="H35" s="455">
        <f t="shared" si="15"/>
        <v>1</v>
      </c>
      <c r="I35" s="454">
        <f t="shared" si="16"/>
        <v>30</v>
      </c>
      <c r="J35" s="455">
        <f t="shared" si="17"/>
        <v>1</v>
      </c>
      <c r="K35" s="454">
        <f t="shared" si="18"/>
        <v>30</v>
      </c>
    </row>
    <row r="36" spans="1:13" s="23" customFormat="1" ht="18.75" thickBot="1">
      <c r="A36" s="453" t="s">
        <v>78</v>
      </c>
      <c r="B36" s="452">
        <v>1</v>
      </c>
      <c r="C36" s="529">
        <f t="shared" si="8"/>
        <v>30</v>
      </c>
      <c r="D36" s="451">
        <v>1</v>
      </c>
      <c r="E36" s="529">
        <f t="shared" si="9"/>
        <v>30</v>
      </c>
      <c r="F36" s="451">
        <v>1</v>
      </c>
      <c r="G36" s="530">
        <f t="shared" si="10"/>
        <v>30</v>
      </c>
      <c r="H36" s="450">
        <f t="shared" si="15"/>
        <v>1</v>
      </c>
      <c r="I36" s="449">
        <f t="shared" si="16"/>
        <v>30</v>
      </c>
      <c r="J36" s="450">
        <f t="shared" si="17"/>
        <v>1</v>
      </c>
      <c r="K36" s="449">
        <f t="shared" si="18"/>
        <v>30</v>
      </c>
    </row>
    <row r="37" spans="1:13" s="168" customFormat="1" ht="27.75" customHeight="1" thickBot="1">
      <c r="A37" s="448" t="s">
        <v>79</v>
      </c>
      <c r="B37" s="447">
        <f>SUM(B19:B30)/12</f>
        <v>13.5</v>
      </c>
      <c r="C37" s="447">
        <f t="shared" si="8"/>
        <v>405</v>
      </c>
      <c r="D37" s="447">
        <f>SUM(D19:D30)/12</f>
        <v>8</v>
      </c>
      <c r="E37" s="447">
        <f t="shared" si="9"/>
        <v>240</v>
      </c>
      <c r="F37" s="447">
        <f>SUM(F19:F30)/12</f>
        <v>8</v>
      </c>
      <c r="G37" s="447">
        <f t="shared" si="10"/>
        <v>240</v>
      </c>
      <c r="H37" s="447">
        <f>SUM(H19:H30)/12</f>
        <v>12.583333333333336</v>
      </c>
      <c r="I37" s="447">
        <f t="shared" ref="I37:I78" si="19">((5*C37)+E37)/6</f>
        <v>377.5</v>
      </c>
      <c r="J37" s="447">
        <f>SUM(J19:J30)/12</f>
        <v>11.928571428571425</v>
      </c>
      <c r="K37" s="447">
        <f t="shared" ref="K37:K78" si="20">((5*C37)+E37+G37)/7</f>
        <v>357.85714285714283</v>
      </c>
    </row>
    <row r="38" spans="1:13" s="168" customFormat="1" ht="21.75" customHeight="1">
      <c r="A38" s="446" t="s">
        <v>80</v>
      </c>
      <c r="B38" s="444">
        <f>SUM(B18:B22)/5</f>
        <v>13.6</v>
      </c>
      <c r="C38" s="440">
        <f t="shared" si="8"/>
        <v>408</v>
      </c>
      <c r="D38" s="444">
        <f>SUM(D18:D22)/5</f>
        <v>5.4</v>
      </c>
      <c r="E38" s="445">
        <f t="shared" si="9"/>
        <v>162</v>
      </c>
      <c r="F38" s="444">
        <f>SUM(F18:F22)/5</f>
        <v>6.2</v>
      </c>
      <c r="G38" s="440">
        <f t="shared" si="10"/>
        <v>186</v>
      </c>
      <c r="H38" s="443">
        <f>SUM(H18:H22)/5</f>
        <v>12.233333333333334</v>
      </c>
      <c r="I38" s="442">
        <f t="shared" si="19"/>
        <v>367</v>
      </c>
      <c r="J38" s="441">
        <f>SUM(J18:J22)/5</f>
        <v>11.371428571428572</v>
      </c>
      <c r="K38" s="440">
        <f t="shared" si="20"/>
        <v>341.14285714285717</v>
      </c>
    </row>
    <row r="39" spans="1:13" s="168" customFormat="1" ht="21.75" customHeight="1">
      <c r="A39" s="856" t="s">
        <v>167</v>
      </c>
      <c r="B39" s="416">
        <f>SUM(B18:B34)/17</f>
        <v>10.941176470588236</v>
      </c>
      <c r="C39" s="413">
        <f t="shared" ref="C39" si="21">IF(AND($C$7&gt;=$P$5,$C$7&lt;=$R$5),B39*$C$7*$T$5/100,IF(AND($C$7&gt;=$P$4,$C$7&lt;=$R$4),B39*$C$7*$T$4/100,IF(AND($C$7&gt;=$P$3,$C$7&lt;=$R$3),B39*$C$7*$T$3/100,IF($C$7&gt;=$P$6,B39*$C$7*$T$6/100))))</f>
        <v>328.23529411764707</v>
      </c>
      <c r="D39" s="416">
        <f>SUM(D18:D34)/17</f>
        <v>6.4117647058823533</v>
      </c>
      <c r="E39" s="414">
        <f t="shared" ref="E39" si="22">IF(AND($C$7&gt;=$P$5,$C$7&lt;=$R$5),D39*$C$7*$T$5/100,IF(AND($C$7&gt;=$P$4,$C$7&lt;=$R$4),D39*$C$7*$T$4/100,IF(AND($C$7&gt;=$P$3,$C$7&lt;=$R$3),D39*$C$7*$T$3/100,IF($C$7&gt;=$P$6,D39*$C$7*$T$6/100))))</f>
        <v>192.35294117647061</v>
      </c>
      <c r="F39" s="416">
        <f>SUM(F18:F34)/17</f>
        <v>6.4705882352941178</v>
      </c>
      <c r="G39" s="413">
        <f t="shared" ref="G39" si="23">IF(AND($C$7&gt;=$P$5,$C$7&lt;=$R$5),F39*$C$7*$T$5/100,IF(AND($C$7&gt;=$P$4,$C$7&lt;=$R$4),F39*$C$7*$T$4/100,IF(AND($C$7&gt;=$P$3,$C$7&lt;=$R$3),F39*$C$7*$T$3/100,IF($C$7&gt;=$P$6,F39*$C$7*$T$6/100))))</f>
        <v>194.11764705882354</v>
      </c>
      <c r="H39" s="427">
        <f>SUM(H18:H34)/17</f>
        <v>10.186274509803923</v>
      </c>
      <c r="I39" s="417">
        <f t="shared" ref="I39" si="24">((5*C39)+E39)/6</f>
        <v>305.58823529411762</v>
      </c>
      <c r="J39" s="425">
        <f>SUM(J18:J34)/17</f>
        <v>9.6554621848739473</v>
      </c>
      <c r="K39" s="409">
        <f t="shared" ref="K39" si="25">((5*C39)+E39+G39)/7</f>
        <v>289.66386554621846</v>
      </c>
    </row>
    <row r="40" spans="1:13" s="168" customFormat="1" ht="21.75" customHeight="1">
      <c r="A40" s="419" t="s">
        <v>102</v>
      </c>
      <c r="B40" s="416">
        <f>SUM(B18:B36)/19</f>
        <v>9.8947368421052637</v>
      </c>
      <c r="C40" s="413">
        <f t="shared" si="8"/>
        <v>296.84210526315792</v>
      </c>
      <c r="D40" s="416">
        <f>SUM(D18:D36)/19</f>
        <v>5.8421052631578947</v>
      </c>
      <c r="E40" s="414">
        <f t="shared" si="9"/>
        <v>175.26315789473682</v>
      </c>
      <c r="F40" s="416">
        <f>SUM(F18:F36)/19</f>
        <v>5.8947368421052628</v>
      </c>
      <c r="G40" s="413">
        <f t="shared" si="10"/>
        <v>176.84210526315789</v>
      </c>
      <c r="H40" s="427">
        <f>SUM(H18:H36)/19</f>
        <v>9.219298245614036</v>
      </c>
      <c r="I40" s="417">
        <f t="shared" si="19"/>
        <v>276.5789473684211</v>
      </c>
      <c r="J40" s="425">
        <f>SUM(J18:J36)/19</f>
        <v>8.7443609022556377</v>
      </c>
      <c r="K40" s="409">
        <f t="shared" si="20"/>
        <v>262.33082706766919</v>
      </c>
    </row>
    <row r="41" spans="1:13" s="168" customFormat="1" ht="21.75" customHeight="1">
      <c r="A41" s="419" t="s">
        <v>81</v>
      </c>
      <c r="B41" s="416">
        <f>SUM(B19:B21)/3</f>
        <v>15.666666666666666</v>
      </c>
      <c r="C41" s="409">
        <f t="shared" si="8"/>
        <v>470</v>
      </c>
      <c r="D41" s="416">
        <f>SUM(D19:D21)/3</f>
        <v>4.666666666666667</v>
      </c>
      <c r="E41" s="409">
        <f t="shared" si="9"/>
        <v>140</v>
      </c>
      <c r="F41" s="416">
        <f>SUM(F19:F21)/3</f>
        <v>4.333333333333333</v>
      </c>
      <c r="G41" s="413">
        <f t="shared" si="10"/>
        <v>130</v>
      </c>
      <c r="H41" s="427">
        <f>SUM(H19:H21)/3</f>
        <v>13.833333333333334</v>
      </c>
      <c r="I41" s="417">
        <f t="shared" si="19"/>
        <v>415</v>
      </c>
      <c r="J41" s="425">
        <f>SUM(J19:J21)/3</f>
        <v>12.476190476190476</v>
      </c>
      <c r="K41" s="409">
        <f t="shared" si="20"/>
        <v>374.28571428571428</v>
      </c>
    </row>
    <row r="42" spans="1:13" s="168" customFormat="1" ht="21.75" customHeight="1">
      <c r="A42" s="419" t="s">
        <v>82</v>
      </c>
      <c r="B42" s="416">
        <f>SUM(B19:B22)/4</f>
        <v>15.75</v>
      </c>
      <c r="C42" s="409">
        <f t="shared" si="8"/>
        <v>472.5</v>
      </c>
      <c r="D42" s="416">
        <f>SUM(D19:D22)/4</f>
        <v>6.5</v>
      </c>
      <c r="E42" s="414">
        <f t="shared" si="9"/>
        <v>195</v>
      </c>
      <c r="F42" s="416">
        <f>SUM(F19:F22)/4</f>
        <v>7.25</v>
      </c>
      <c r="G42" s="409">
        <f t="shared" si="10"/>
        <v>217.5</v>
      </c>
      <c r="H42" s="427">
        <f>SUM(H19:H22)/4</f>
        <v>14.208333333333334</v>
      </c>
      <c r="I42" s="423">
        <f t="shared" si="19"/>
        <v>426.25</v>
      </c>
      <c r="J42" s="425">
        <f>SUM(J19:J22)/4</f>
        <v>13.214285714285715</v>
      </c>
      <c r="K42" s="409">
        <f t="shared" si="20"/>
        <v>396.42857142857144</v>
      </c>
    </row>
    <row r="43" spans="1:13" s="168" customFormat="1" ht="21.75" customHeight="1">
      <c r="A43" s="419" t="s">
        <v>154</v>
      </c>
      <c r="B43" s="416">
        <f>SUM(B19:B26)/8</f>
        <v>14.25</v>
      </c>
      <c r="C43" s="409">
        <f t="shared" si="8"/>
        <v>427.5</v>
      </c>
      <c r="D43" s="416">
        <f>SUM(D19:D26)/8</f>
        <v>8</v>
      </c>
      <c r="E43" s="414">
        <f t="shared" si="9"/>
        <v>240</v>
      </c>
      <c r="F43" s="416">
        <f>SUM(F19:F26)/8</f>
        <v>8.125</v>
      </c>
      <c r="G43" s="409">
        <f t="shared" si="10"/>
        <v>243.75</v>
      </c>
      <c r="H43" s="427">
        <f>SUM(H19:H26)/8</f>
        <v>13.208333333333334</v>
      </c>
      <c r="I43" s="423">
        <f t="shared" ref="I43" si="26">((5*C43)+E43)/6</f>
        <v>396.25</v>
      </c>
      <c r="J43" s="425">
        <f>SUM(J19:J26)/8</f>
        <v>12.482142857142856</v>
      </c>
      <c r="K43" s="409">
        <f t="shared" ref="K43" si="27">((5*C43)+E43+G43)/7</f>
        <v>374.46428571428572</v>
      </c>
    </row>
    <row r="44" spans="1:13" s="168" customFormat="1" ht="21.75" customHeight="1">
      <c r="A44" s="419" t="s">
        <v>83</v>
      </c>
      <c r="B44" s="416">
        <f>SUM(B19:B31)/13</f>
        <v>13.153846153846153</v>
      </c>
      <c r="C44" s="414">
        <f t="shared" si="8"/>
        <v>394.61538461538458</v>
      </c>
      <c r="D44" s="416">
        <f>SUM(D19:D31)/13</f>
        <v>7.7692307692307692</v>
      </c>
      <c r="E44" s="409">
        <f t="shared" si="9"/>
        <v>233.07692307692304</v>
      </c>
      <c r="F44" s="416">
        <f>SUM(F19:F31)/13</f>
        <v>7.8461538461538458</v>
      </c>
      <c r="G44" s="414">
        <f t="shared" si="10"/>
        <v>235.38461538461539</v>
      </c>
      <c r="H44" s="427">
        <f>SUM(H19:H31)/13</f>
        <v>12.256410256410259</v>
      </c>
      <c r="I44" s="417">
        <f t="shared" si="19"/>
        <v>367.69230769230762</v>
      </c>
      <c r="J44" s="425">
        <f>SUM(J19:J31)/13</f>
        <v>11.626373626373624</v>
      </c>
      <c r="K44" s="414">
        <f t="shared" si="20"/>
        <v>348.7912087912087</v>
      </c>
    </row>
    <row r="45" spans="1:13" s="168" customFormat="1" ht="21.75" customHeight="1">
      <c r="A45" s="419" t="s">
        <v>84</v>
      </c>
      <c r="B45" s="424">
        <f>SUM(B19:B32)/14</f>
        <v>12.642857142857142</v>
      </c>
      <c r="C45" s="413">
        <f t="shared" si="8"/>
        <v>379.28571428571428</v>
      </c>
      <c r="D45" s="418">
        <f>SUM(D19:D32)/14</f>
        <v>7.4285714285714288</v>
      </c>
      <c r="E45" s="409">
        <f t="shared" si="9"/>
        <v>222.85714285714286</v>
      </c>
      <c r="F45" s="418">
        <f>SUM(F19:F32)/14</f>
        <v>7.5</v>
      </c>
      <c r="G45" s="409">
        <f t="shared" si="10"/>
        <v>225</v>
      </c>
      <c r="H45" s="439">
        <f>SUM(H19:H32)/14</f>
        <v>11.773809523809527</v>
      </c>
      <c r="I45" s="417">
        <f t="shared" si="19"/>
        <v>353.21428571428572</v>
      </c>
      <c r="J45" s="438">
        <f>SUM(J19:J32)/14</f>
        <v>11.163265306122446</v>
      </c>
      <c r="K45" s="413">
        <f t="shared" si="20"/>
        <v>334.89795918367344</v>
      </c>
      <c r="M45" s="437"/>
    </row>
    <row r="46" spans="1:13" ht="21.75" customHeight="1">
      <c r="A46" s="419" t="s">
        <v>85</v>
      </c>
      <c r="B46" s="436">
        <f>SUM(B19:B34)/16</f>
        <v>11.3125</v>
      </c>
      <c r="C46" s="428">
        <f t="shared" ref="C46:C78" si="28">IF(AND($C$7&gt;=$P$5,$C$7&lt;=$R$5),B46*$C$7*$T$5/100,IF(AND($C$7&gt;=$P$4,$C$7&lt;=$R$4),B46*$C$7*$T$4/100,IF(AND($C$7&gt;=$P$3,$C$7&lt;=$R$3),B46*$C$7*$T$3/100,IF($C$7&gt;=$P$6,B46*$C$7*$T$6/100))))</f>
        <v>339.375</v>
      </c>
      <c r="D46" s="435">
        <f>SUM(D19:D34)/16</f>
        <v>6.75</v>
      </c>
      <c r="E46" s="417">
        <f t="shared" ref="E46:E78" si="29">IF(AND($C$7&gt;=$P$5,$C$7&lt;=$R$5),D46*$C$7*$T$5/100,IF(AND($C$7&gt;=$P$4,$C$7&lt;=$R$4),D46*$C$7*$T$4/100,IF(AND($C$7&gt;=$P$3,$C$7&lt;=$R$3),D46*$C$7*$T$3/100,IF($C$7&gt;=$P$6,D46*$C$7*$T$6/100))))</f>
        <v>202.5</v>
      </c>
      <c r="F46" s="422">
        <f>SUM(F19:F34)/16</f>
        <v>6.75</v>
      </c>
      <c r="G46" s="409">
        <f t="shared" ref="G46:G78" si="30">IF(AND($C$7&gt;=$P$5,$C$7&lt;=$R$5),F46*$C$7*$T$5/100,IF(AND($C$7&gt;=$P$4,$C$7&lt;=$R$4),F46*$C$7*$T$4/100,IF(AND($C$7&gt;=$P$3,$C$7&lt;=$R$3),F46*$C$7*$T$3/100,IF($C$7&gt;=$P$6,F46*$C$7*$T$6/100))))</f>
        <v>202.5</v>
      </c>
      <c r="H46" s="434">
        <f>SUM(H19:H34)/16</f>
        <v>10.552083333333336</v>
      </c>
      <c r="I46" s="426">
        <f t="shared" si="19"/>
        <v>316.5625</v>
      </c>
      <c r="J46" s="433">
        <f>SUM(J19:J34)/16</f>
        <v>10.008928571428569</v>
      </c>
      <c r="K46" s="432">
        <f t="shared" si="20"/>
        <v>300.26785714285717</v>
      </c>
    </row>
    <row r="47" spans="1:13" s="168" customFormat="1" ht="21.75" customHeight="1">
      <c r="A47" s="419" t="s">
        <v>115</v>
      </c>
      <c r="B47" s="420">
        <f>SUM(B19:B36)/18</f>
        <v>10.166666666666666</v>
      </c>
      <c r="C47" s="413">
        <f t="shared" si="28"/>
        <v>305</v>
      </c>
      <c r="D47" s="421">
        <f>SUM(D19:D36)/18</f>
        <v>6.1111111111111107</v>
      </c>
      <c r="E47" s="409">
        <f t="shared" si="29"/>
        <v>183.33333333333331</v>
      </c>
      <c r="F47" s="420">
        <f>SUM(F19:F36)/18</f>
        <v>6.1111111111111107</v>
      </c>
      <c r="G47" s="414">
        <f t="shared" si="30"/>
        <v>183.33333333333331</v>
      </c>
      <c r="H47" s="431">
        <f>SUM(H19:H36)/18</f>
        <v>9.4907407407407423</v>
      </c>
      <c r="I47" s="423">
        <f t="shared" si="19"/>
        <v>284.72222222222223</v>
      </c>
      <c r="J47" s="430">
        <f>SUM(J19:J36)/18</f>
        <v>9.0079365079365061</v>
      </c>
      <c r="K47" s="413">
        <f t="shared" si="20"/>
        <v>270.23809523809524</v>
      </c>
    </row>
    <row r="48" spans="1:13" s="168" customFormat="1" ht="21.75" customHeight="1">
      <c r="A48" s="419" t="s">
        <v>122</v>
      </c>
      <c r="B48" s="420">
        <f>SUM(B20:B36)/17</f>
        <v>10</v>
      </c>
      <c r="C48" s="413">
        <f t="shared" si="28"/>
        <v>300</v>
      </c>
      <c r="D48" s="536">
        <f>SUM(D20:D36)/17</f>
        <v>6.3529411764705879</v>
      </c>
      <c r="E48" s="537">
        <f t="shared" si="29"/>
        <v>190.58823529411762</v>
      </c>
      <c r="F48" s="420">
        <f>SUM(F20:F36)/17</f>
        <v>6.2941176470588234</v>
      </c>
      <c r="G48" s="414">
        <f t="shared" si="30"/>
        <v>188.8235294117647</v>
      </c>
      <c r="H48" s="536">
        <f>SUM(H20:H36)/17</f>
        <v>9.3921568627450984</v>
      </c>
      <c r="I48" s="423">
        <f t="shared" si="19"/>
        <v>281.76470588235293</v>
      </c>
      <c r="J48" s="538">
        <f>SUM(J20:J36)/17</f>
        <v>8.9495798319327733</v>
      </c>
      <c r="K48" s="413">
        <f t="shared" si="20"/>
        <v>268.48739495798316</v>
      </c>
    </row>
    <row r="49" spans="1:38" s="168" customFormat="1" ht="21.75" customHeight="1">
      <c r="A49" s="419" t="s">
        <v>86</v>
      </c>
      <c r="B49" s="416">
        <f>SUM(B21:B25)/5</f>
        <v>14.4</v>
      </c>
      <c r="C49" s="413">
        <f t="shared" si="28"/>
        <v>432</v>
      </c>
      <c r="D49" s="427">
        <f>SUM(D21:D25)/5</f>
        <v>9.6</v>
      </c>
      <c r="E49" s="429">
        <f t="shared" si="29"/>
        <v>288</v>
      </c>
      <c r="F49" s="416">
        <f>SUM(F21:F25)/5</f>
        <v>9.8000000000000007</v>
      </c>
      <c r="G49" s="413">
        <f t="shared" si="30"/>
        <v>294</v>
      </c>
      <c r="H49" s="427">
        <f>SUM(H21:H25)/5</f>
        <v>13.6</v>
      </c>
      <c r="I49" s="417">
        <f t="shared" si="19"/>
        <v>408</v>
      </c>
      <c r="J49" s="425">
        <f>SUM(J21:J25)/5</f>
        <v>13.057142857142855</v>
      </c>
      <c r="K49" s="413">
        <f t="shared" si="20"/>
        <v>391.71428571428572</v>
      </c>
    </row>
    <row r="50" spans="1:38" s="168" customFormat="1" ht="21.75" customHeight="1">
      <c r="A50" s="419" t="s">
        <v>87</v>
      </c>
      <c r="B50" s="416">
        <f>SUM(B21:B30)/10</f>
        <v>13.2</v>
      </c>
      <c r="C50" s="413">
        <f t="shared" si="28"/>
        <v>396</v>
      </c>
      <c r="D50" s="416">
        <f>SUM(D21:D30)/10</f>
        <v>8.9</v>
      </c>
      <c r="E50" s="409">
        <f t="shared" si="29"/>
        <v>267</v>
      </c>
      <c r="F50" s="416">
        <f>SUM(F21:F30)/10</f>
        <v>8.9</v>
      </c>
      <c r="G50" s="409">
        <f t="shared" si="30"/>
        <v>267</v>
      </c>
      <c r="H50" s="427">
        <f>SUM(H21:H30)/10</f>
        <v>12.483333333333331</v>
      </c>
      <c r="I50" s="428">
        <f t="shared" si="19"/>
        <v>374.5</v>
      </c>
      <c r="J50" s="425">
        <f>SUM(J21:J30)/10</f>
        <v>11.971428571428572</v>
      </c>
      <c r="K50" s="409">
        <f t="shared" si="20"/>
        <v>359.14285714285717</v>
      </c>
    </row>
    <row r="51" spans="1:38" s="168" customFormat="1" ht="21.75" customHeight="1">
      <c r="A51" s="419" t="s">
        <v>100</v>
      </c>
      <c r="B51" s="416">
        <f>SUM(B21:B31)/11</f>
        <v>12.818181818181818</v>
      </c>
      <c r="C51" s="413">
        <f t="shared" si="28"/>
        <v>384.54545454545456</v>
      </c>
      <c r="D51" s="416">
        <f>SUM(D21:D31)/11</f>
        <v>8.545454545454545</v>
      </c>
      <c r="E51" s="409">
        <f t="shared" si="29"/>
        <v>256.36363636363637</v>
      </c>
      <c r="F51" s="416">
        <f>SUM(F21:F31)/11</f>
        <v>8.6363636363636367</v>
      </c>
      <c r="G51" s="409">
        <f t="shared" si="30"/>
        <v>259.09090909090912</v>
      </c>
      <c r="H51" s="427">
        <f>SUM(H21:H31)/11</f>
        <v>12.106060606060606</v>
      </c>
      <c r="I51" s="428">
        <f t="shared" si="19"/>
        <v>363.18181818181819</v>
      </c>
      <c r="J51" s="425">
        <f>SUM(J21:J31)/11</f>
        <v>11.61038961038961</v>
      </c>
      <c r="K51" s="409">
        <f t="shared" si="20"/>
        <v>348.31168831168827</v>
      </c>
    </row>
    <row r="52" spans="1:38" s="168" customFormat="1" ht="21.75" customHeight="1">
      <c r="A52" s="419" t="s">
        <v>88</v>
      </c>
      <c r="B52" s="416">
        <f>SUM(B21:B32)/12</f>
        <v>12.25</v>
      </c>
      <c r="C52" s="413">
        <f t="shared" si="28"/>
        <v>367.5</v>
      </c>
      <c r="D52" s="416">
        <f>SUM(D21:D32)/12</f>
        <v>8.0833333333333339</v>
      </c>
      <c r="E52" s="409">
        <f t="shared" si="29"/>
        <v>242.50000000000003</v>
      </c>
      <c r="F52" s="416">
        <f>SUM(F21:F32)/12</f>
        <v>8.1666666666666661</v>
      </c>
      <c r="G52" s="409">
        <f t="shared" si="30"/>
        <v>244.99999999999997</v>
      </c>
      <c r="H52" s="427">
        <f>SUM(H21:H32)/12</f>
        <v>11.555555555555555</v>
      </c>
      <c r="I52" s="428">
        <f t="shared" si="19"/>
        <v>346.66666666666669</v>
      </c>
      <c r="J52" s="425">
        <f>SUM(J21:J32)/12</f>
        <v>11.071428571428571</v>
      </c>
      <c r="K52" s="409">
        <f t="shared" si="20"/>
        <v>332.14285714285717</v>
      </c>
    </row>
    <row r="53" spans="1:38" s="168" customFormat="1" ht="21.75" customHeight="1">
      <c r="A53" s="419" t="s">
        <v>89</v>
      </c>
      <c r="B53" s="416">
        <f>SUM(B21:B34)/14</f>
        <v>10.785714285714286</v>
      </c>
      <c r="C53" s="413">
        <f t="shared" si="28"/>
        <v>323.57142857142861</v>
      </c>
      <c r="D53" s="416">
        <f>SUM(D21:D34)/14</f>
        <v>7.2142857142857144</v>
      </c>
      <c r="E53" s="409">
        <f t="shared" si="29"/>
        <v>216.42857142857144</v>
      </c>
      <c r="F53" s="416">
        <f>SUM(F21:F34)/14</f>
        <v>7.2142857142857144</v>
      </c>
      <c r="G53" s="409">
        <f t="shared" si="30"/>
        <v>216.42857142857144</v>
      </c>
      <c r="H53" s="427">
        <f>SUM(H21:H34)/14</f>
        <v>10.19047619047619</v>
      </c>
      <c r="I53" s="428">
        <f t="shared" si="19"/>
        <v>305.71428571428578</v>
      </c>
      <c r="J53" s="425">
        <f>SUM(J21:J34)/14</f>
        <v>9.7653061224489797</v>
      </c>
      <c r="K53" s="409">
        <f t="shared" si="20"/>
        <v>292.95918367346945</v>
      </c>
    </row>
    <row r="54" spans="1:38" s="3" customFormat="1" ht="21.75" customHeight="1">
      <c r="A54" s="419" t="s">
        <v>138</v>
      </c>
      <c r="B54" s="416">
        <f>SUM(B21:B36)/16</f>
        <v>9.5625</v>
      </c>
      <c r="C54" s="413">
        <f t="shared" si="28"/>
        <v>286.875</v>
      </c>
      <c r="D54" s="416">
        <f>SUM(D21:D36)/16</f>
        <v>6.4375</v>
      </c>
      <c r="E54" s="409">
        <f t="shared" si="29"/>
        <v>193.125</v>
      </c>
      <c r="F54" s="416">
        <f>SUM(F21:F36)/16</f>
        <v>6.4375</v>
      </c>
      <c r="G54" s="409">
        <f t="shared" si="30"/>
        <v>193.125</v>
      </c>
      <c r="H54" s="427">
        <f>SUM(H21:H36)/16</f>
        <v>9.0416666666666661</v>
      </c>
      <c r="I54" s="428">
        <f t="shared" si="19"/>
        <v>271.25</v>
      </c>
      <c r="J54" s="425">
        <f>SUM(J21:J36)/16</f>
        <v>8.6696428571428577</v>
      </c>
      <c r="K54" s="409">
        <f t="shared" si="20"/>
        <v>260.08928571428572</v>
      </c>
      <c r="L54" s="165"/>
      <c r="O54" s="158"/>
      <c r="P54" s="158"/>
      <c r="Q54" s="167"/>
      <c r="R54" s="166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</row>
    <row r="55" spans="1:38" s="168" customFormat="1" ht="21.75" customHeight="1">
      <c r="A55" s="419" t="s">
        <v>124</v>
      </c>
      <c r="B55" s="416">
        <f>SUM(B22:B36)/15</f>
        <v>9.0666666666666664</v>
      </c>
      <c r="C55" s="413">
        <f t="shared" si="28"/>
        <v>272</v>
      </c>
      <c r="D55" s="416">
        <f>SUM(D22:D36)/15</f>
        <v>6.4</v>
      </c>
      <c r="E55" s="409">
        <f t="shared" si="29"/>
        <v>192</v>
      </c>
      <c r="F55" s="416">
        <f>SUM(F22:F36)/15</f>
        <v>6.4666666666666668</v>
      </c>
      <c r="G55" s="409">
        <f t="shared" si="30"/>
        <v>194</v>
      </c>
      <c r="H55" s="427">
        <f>SUM(H22:H36)/15</f>
        <v>8.6222222222222218</v>
      </c>
      <c r="I55" s="428">
        <f t="shared" ref="I55:I56" si="31">((5*C55)+E55)/6</f>
        <v>258.66666666666669</v>
      </c>
      <c r="J55" s="425">
        <f>SUM(J22:J36)/15</f>
        <v>8.3142857142857149</v>
      </c>
      <c r="K55" s="409">
        <f t="shared" ref="K55:K56" si="32">((5*C55)+E55+G55)/7</f>
        <v>249.42857142857142</v>
      </c>
    </row>
    <row r="56" spans="1:38" s="168" customFormat="1" ht="21.75" customHeight="1">
      <c r="A56" s="419" t="s">
        <v>157</v>
      </c>
      <c r="B56" s="416">
        <f>SUM(B23:B27)/5</f>
        <v>12.6</v>
      </c>
      <c r="C56" s="413">
        <f t="shared" si="28"/>
        <v>378</v>
      </c>
      <c r="D56" s="416">
        <f>SUM(D23:D27)/5</f>
        <v>9.1999999999999993</v>
      </c>
      <c r="E56" s="409">
        <f t="shared" si="29"/>
        <v>276</v>
      </c>
      <c r="F56" s="416">
        <f>SUM(F23:F27)/5</f>
        <v>9</v>
      </c>
      <c r="G56" s="409">
        <f t="shared" si="30"/>
        <v>270</v>
      </c>
      <c r="H56" s="427">
        <f>SUM(H23:H27)/5</f>
        <v>12.033333333333335</v>
      </c>
      <c r="I56" s="428">
        <f t="shared" si="31"/>
        <v>361</v>
      </c>
      <c r="J56" s="425">
        <f>SUM(J23:J27)/5</f>
        <v>11.6</v>
      </c>
      <c r="K56" s="409">
        <f t="shared" si="32"/>
        <v>348</v>
      </c>
    </row>
    <row r="57" spans="1:38" s="168" customFormat="1" ht="21.75" customHeight="1">
      <c r="A57" s="419" t="s">
        <v>90</v>
      </c>
      <c r="B57" s="416">
        <f>SUM(B23:B28)/6</f>
        <v>12.5</v>
      </c>
      <c r="C57" s="413">
        <f t="shared" si="28"/>
        <v>375</v>
      </c>
      <c r="D57" s="416">
        <f>SUM(D23:D28)/6</f>
        <v>9</v>
      </c>
      <c r="E57" s="409">
        <f t="shared" si="29"/>
        <v>270</v>
      </c>
      <c r="F57" s="416">
        <f>SUM(F23:F28)/6</f>
        <v>9</v>
      </c>
      <c r="G57" s="409">
        <f t="shared" si="30"/>
        <v>270</v>
      </c>
      <c r="H57" s="427">
        <f>SUM(H23:H28)/6</f>
        <v>11.916666666666666</v>
      </c>
      <c r="I57" s="428">
        <f t="shared" si="19"/>
        <v>357.5</v>
      </c>
      <c r="J57" s="425">
        <f>SUM(J23:J28)/6</f>
        <v>11.5</v>
      </c>
      <c r="K57" s="409">
        <f t="shared" si="20"/>
        <v>345</v>
      </c>
    </row>
    <row r="58" spans="1:38" s="168" customFormat="1" ht="21.75" customHeight="1">
      <c r="A58" s="419" t="s">
        <v>91</v>
      </c>
      <c r="B58" s="416">
        <f>SUM(B23:B30)/8</f>
        <v>12.375</v>
      </c>
      <c r="C58" s="413">
        <f t="shared" si="28"/>
        <v>371.25</v>
      </c>
      <c r="D58" s="416">
        <f>SUM(D23:D30)/8</f>
        <v>8.75</v>
      </c>
      <c r="E58" s="409">
        <f t="shared" si="29"/>
        <v>262.5</v>
      </c>
      <c r="F58" s="416">
        <f>SUM(F23:F30)/8</f>
        <v>8.375</v>
      </c>
      <c r="G58" s="409">
        <f t="shared" si="30"/>
        <v>251.25</v>
      </c>
      <c r="H58" s="427">
        <f>SUM(H23:H30)/8</f>
        <v>11.770833333333332</v>
      </c>
      <c r="I58" s="428">
        <f t="shared" si="19"/>
        <v>353.125</v>
      </c>
      <c r="J58" s="425">
        <f>SUM(J23:J30)/8</f>
        <v>11.285714285714286</v>
      </c>
      <c r="K58" s="409">
        <f t="shared" si="20"/>
        <v>338.57142857142856</v>
      </c>
    </row>
    <row r="59" spans="1:38" ht="21.75" customHeight="1">
      <c r="A59" s="419" t="s">
        <v>99</v>
      </c>
      <c r="B59" s="416">
        <f>SUM(B23:B31)/9</f>
        <v>12</v>
      </c>
      <c r="C59" s="413">
        <f t="shared" si="28"/>
        <v>360</v>
      </c>
      <c r="D59" s="416">
        <f>SUM(D23:D31)/9</f>
        <v>8.3333333333333339</v>
      </c>
      <c r="E59" s="409">
        <f t="shared" si="29"/>
        <v>250.00000000000003</v>
      </c>
      <c r="F59" s="416">
        <f>SUM(F23:F31)/9</f>
        <v>8.1111111111111107</v>
      </c>
      <c r="G59" s="409">
        <f t="shared" si="30"/>
        <v>243.33333333333331</v>
      </c>
      <c r="H59" s="427">
        <f>SUM(H23:H31)/9</f>
        <v>11.388888888888888</v>
      </c>
      <c r="I59" s="428">
        <f t="shared" si="19"/>
        <v>341.66666666666669</v>
      </c>
      <c r="J59" s="425">
        <f>SUM(J23:J31)/9</f>
        <v>10.920634920634921</v>
      </c>
      <c r="K59" s="409">
        <f t="shared" si="20"/>
        <v>327.61904761904765</v>
      </c>
    </row>
    <row r="60" spans="1:38" s="168" customFormat="1" ht="21.75" customHeight="1">
      <c r="A60" s="419" t="s">
        <v>92</v>
      </c>
      <c r="B60" s="416">
        <f>SUM(B23:B32)/10</f>
        <v>11.4</v>
      </c>
      <c r="C60" s="413">
        <f t="shared" si="28"/>
        <v>342</v>
      </c>
      <c r="D60" s="416">
        <f>SUM(D23:D32)/10</f>
        <v>7.8</v>
      </c>
      <c r="E60" s="409">
        <f t="shared" si="29"/>
        <v>234</v>
      </c>
      <c r="F60" s="416">
        <f>SUM(F23:F32)/10</f>
        <v>7.6</v>
      </c>
      <c r="G60" s="409">
        <f t="shared" si="30"/>
        <v>228</v>
      </c>
      <c r="H60" s="427">
        <f>SUM(H23:H32)/10</f>
        <v>10.799999999999999</v>
      </c>
      <c r="I60" s="428">
        <f t="shared" si="19"/>
        <v>324</v>
      </c>
      <c r="J60" s="425">
        <f>SUM(J23:J32)/10</f>
        <v>10.342857142857143</v>
      </c>
      <c r="K60" s="409">
        <f t="shared" si="20"/>
        <v>310.28571428571428</v>
      </c>
    </row>
    <row r="61" spans="1:38" s="168" customFormat="1" ht="21.75" customHeight="1">
      <c r="A61" s="419" t="s">
        <v>93</v>
      </c>
      <c r="B61" s="416">
        <f>SUM(B23:B34)/12</f>
        <v>9.8333333333333339</v>
      </c>
      <c r="C61" s="413">
        <f t="shared" si="28"/>
        <v>295</v>
      </c>
      <c r="D61" s="416">
        <f>SUM(D23:D34)/12</f>
        <v>6.833333333333333</v>
      </c>
      <c r="E61" s="409">
        <f t="shared" si="29"/>
        <v>205</v>
      </c>
      <c r="F61" s="416">
        <f>SUM(F23:F34)/12</f>
        <v>6.583333333333333</v>
      </c>
      <c r="G61" s="409">
        <f t="shared" si="30"/>
        <v>197.5</v>
      </c>
      <c r="H61" s="427">
        <f>SUM(H23:H34)/12</f>
        <v>9.3333333333333321</v>
      </c>
      <c r="I61" s="428">
        <f t="shared" si="19"/>
        <v>280</v>
      </c>
      <c r="J61" s="425">
        <f>SUM(J23:J34)/12</f>
        <v>8.9404761904761916</v>
      </c>
      <c r="K61" s="409">
        <f t="shared" si="20"/>
        <v>268.21428571428572</v>
      </c>
    </row>
    <row r="62" spans="1:38" s="168" customFormat="1" ht="21.75" customHeight="1">
      <c r="A62" s="419" t="s">
        <v>108</v>
      </c>
      <c r="B62" s="416">
        <f>SUM(B23:B36)/14</f>
        <v>8.5714285714285712</v>
      </c>
      <c r="C62" s="413">
        <f t="shared" si="28"/>
        <v>257.14285714285711</v>
      </c>
      <c r="D62" s="416">
        <f>SUM(D23:D36)/14</f>
        <v>6</v>
      </c>
      <c r="E62" s="409">
        <f t="shared" si="29"/>
        <v>180</v>
      </c>
      <c r="F62" s="416">
        <f>SUM(F23:F36)/14</f>
        <v>5.7857142857142856</v>
      </c>
      <c r="G62" s="409">
        <f t="shared" si="30"/>
        <v>173.57142857142856</v>
      </c>
      <c r="H62" s="427">
        <f>SUM(H23:H36)/14</f>
        <v>8.1428571428571423</v>
      </c>
      <c r="I62" s="428">
        <f t="shared" si="19"/>
        <v>244.28571428571425</v>
      </c>
      <c r="J62" s="425">
        <f>SUM(J23:J36)/14</f>
        <v>7.8061224489795924</v>
      </c>
      <c r="K62" s="409">
        <f t="shared" si="20"/>
        <v>234.18367346938774</v>
      </c>
    </row>
    <row r="63" spans="1:38" s="168" customFormat="1" ht="21.75" customHeight="1">
      <c r="A63" s="419" t="s">
        <v>150</v>
      </c>
      <c r="B63" s="416">
        <f>SUM(B25:B36)/12</f>
        <v>7.833333333333333</v>
      </c>
      <c r="C63" s="413">
        <f t="shared" si="28"/>
        <v>235</v>
      </c>
      <c r="D63" s="416">
        <f>SUM(D25:D36)/12</f>
        <v>5.25</v>
      </c>
      <c r="E63" s="409">
        <f t="shared" si="29"/>
        <v>157.5</v>
      </c>
      <c r="F63" s="416">
        <f>SUM(F25:F36)/12</f>
        <v>5.25</v>
      </c>
      <c r="G63" s="409">
        <f t="shared" si="30"/>
        <v>157.5</v>
      </c>
      <c r="H63" s="427">
        <f>SUM(H25:H36)/12</f>
        <v>7.4027777777777777</v>
      </c>
      <c r="I63" s="428">
        <f t="shared" ref="I63:I65" si="33">((5*C63)+E63)/6</f>
        <v>222.08333333333334</v>
      </c>
      <c r="J63" s="425">
        <f>SUM(J25:J36)/12</f>
        <v>7.0952380952380949</v>
      </c>
      <c r="K63" s="409">
        <f t="shared" ref="K63:K65" si="34">((5*C63)+E63+G63)/7</f>
        <v>212.85714285714286</v>
      </c>
    </row>
    <row r="64" spans="1:38" s="168" customFormat="1" ht="21.75" customHeight="1">
      <c r="A64" s="419" t="s">
        <v>165</v>
      </c>
      <c r="B64" s="416">
        <f>SUM(B27:B31)/5</f>
        <v>11.4</v>
      </c>
      <c r="C64" s="413">
        <f t="shared" si="28"/>
        <v>342</v>
      </c>
      <c r="D64" s="416">
        <f>SUM(D27:D31)/5</f>
        <v>7.4</v>
      </c>
      <c r="E64" s="409">
        <f t="shared" si="29"/>
        <v>222</v>
      </c>
      <c r="F64" s="416">
        <f>SUM(F27:F31)/5</f>
        <v>7.4</v>
      </c>
      <c r="G64" s="409">
        <f t="shared" si="30"/>
        <v>222</v>
      </c>
      <c r="H64" s="427">
        <f>SUM(H27:H31)/5</f>
        <v>10.733333333333334</v>
      </c>
      <c r="I64" s="428">
        <f t="shared" ref="I64" si="35">((5*C64)+E64)/6</f>
        <v>322</v>
      </c>
      <c r="J64" s="425">
        <f>SUM(J27:J31)/5</f>
        <v>10.257142857142858</v>
      </c>
      <c r="K64" s="409">
        <f t="shared" ref="K64" si="36">((5*C64)+E64+G64)/7</f>
        <v>307.71428571428572</v>
      </c>
    </row>
    <row r="65" spans="1:20" s="168" customFormat="1" ht="21.75" customHeight="1">
      <c r="A65" s="419" t="s">
        <v>151</v>
      </c>
      <c r="B65" s="416">
        <f>SUM(B27:B32)/6</f>
        <v>10.5</v>
      </c>
      <c r="C65" s="413">
        <f t="shared" si="28"/>
        <v>315</v>
      </c>
      <c r="D65" s="416">
        <f>SUM(D27:D32)/6</f>
        <v>6.666666666666667</v>
      </c>
      <c r="E65" s="409">
        <f t="shared" si="29"/>
        <v>200</v>
      </c>
      <c r="F65" s="416">
        <f>SUM(F27:F32)/6</f>
        <v>6.666666666666667</v>
      </c>
      <c r="G65" s="409">
        <f t="shared" si="30"/>
        <v>200</v>
      </c>
      <c r="H65" s="427">
        <f>SUM(H27:H32)/6</f>
        <v>9.8611111111111125</v>
      </c>
      <c r="I65" s="428">
        <f t="shared" si="33"/>
        <v>295.83333333333331</v>
      </c>
      <c r="J65" s="425">
        <f>SUM(J27:J32)/6</f>
        <v>9.4047619047619069</v>
      </c>
      <c r="K65" s="409">
        <f t="shared" si="34"/>
        <v>282.14285714285717</v>
      </c>
    </row>
    <row r="66" spans="1:20" s="168" customFormat="1" ht="21.75" customHeight="1">
      <c r="A66" s="419" t="s">
        <v>149</v>
      </c>
      <c r="B66" s="416">
        <f>SUM(B27:B34)/8</f>
        <v>8.375</v>
      </c>
      <c r="C66" s="413">
        <f t="shared" si="28"/>
        <v>251.25</v>
      </c>
      <c r="D66" s="416">
        <f>SUM(D27:D34)/8</f>
        <v>5.5</v>
      </c>
      <c r="E66" s="409">
        <f t="shared" si="29"/>
        <v>165</v>
      </c>
      <c r="F66" s="416">
        <f>SUM(F27:F34)/8</f>
        <v>5.375</v>
      </c>
      <c r="G66" s="409">
        <f t="shared" si="30"/>
        <v>161.25</v>
      </c>
      <c r="H66" s="427">
        <f>SUM(H27:H34)/8</f>
        <v>7.8958333333333339</v>
      </c>
      <c r="I66" s="428">
        <f t="shared" ref="I66" si="37">((5*C66)+E66)/6</f>
        <v>236.875</v>
      </c>
      <c r="J66" s="425">
        <f>SUM(J27:J34)/8</f>
        <v>7.5357142857142865</v>
      </c>
      <c r="K66" s="409">
        <f t="shared" ref="K66" si="38">((5*C66)+E66+G66)/7</f>
        <v>226.07142857142858</v>
      </c>
    </row>
    <row r="67" spans="1:20" s="168" customFormat="1" ht="21.75" customHeight="1">
      <c r="A67" s="419" t="s">
        <v>152</v>
      </c>
      <c r="B67" s="416">
        <f>SUM(B27:B36)/10</f>
        <v>6.9</v>
      </c>
      <c r="C67" s="413">
        <f t="shared" si="28"/>
        <v>207</v>
      </c>
      <c r="D67" s="416">
        <f>SUM(D27:D36)/10</f>
        <v>4.5999999999999996</v>
      </c>
      <c r="E67" s="409">
        <f t="shared" si="29"/>
        <v>138</v>
      </c>
      <c r="F67" s="416">
        <f>SUM(F27:F36)/10</f>
        <v>4.5</v>
      </c>
      <c r="G67" s="409">
        <f t="shared" si="30"/>
        <v>135</v>
      </c>
      <c r="H67" s="427">
        <f>SUM(H27:H36)/10</f>
        <v>6.5166666666666675</v>
      </c>
      <c r="I67" s="428">
        <f t="shared" ref="I67:I69" si="39">((5*C67)+E67)/6</f>
        <v>195.5</v>
      </c>
      <c r="J67" s="425">
        <f>SUM(J27:J36)/10</f>
        <v>6.2285714285714295</v>
      </c>
      <c r="K67" s="409">
        <f t="shared" ref="K67:K69" si="40">((5*C67)+E67+G67)/7</f>
        <v>186.85714285714286</v>
      </c>
    </row>
    <row r="68" spans="1:20" s="168" customFormat="1" ht="21.75" customHeight="1">
      <c r="A68" s="419" t="s">
        <v>156</v>
      </c>
      <c r="B68" s="416">
        <f>SUM(B28:B33)/6</f>
        <v>8.8333333333333339</v>
      </c>
      <c r="C68" s="413">
        <f t="shared" si="28"/>
        <v>265</v>
      </c>
      <c r="D68" s="416">
        <f>SUM(D28:D33)/6</f>
        <v>5.666666666666667</v>
      </c>
      <c r="E68" s="409">
        <f t="shared" si="29"/>
        <v>170</v>
      </c>
      <c r="F68" s="416">
        <f>SUM(F28:F33)/6</f>
        <v>5.5</v>
      </c>
      <c r="G68" s="409">
        <f t="shared" si="30"/>
        <v>165</v>
      </c>
      <c r="H68" s="416">
        <f>SUM(H28:H33)/6</f>
        <v>8.3055555555555554</v>
      </c>
      <c r="I68" s="428">
        <f t="shared" si="39"/>
        <v>249.16666666666666</v>
      </c>
      <c r="J68" s="416">
        <f>SUM(J28:J33)/6</f>
        <v>7.9047619047619051</v>
      </c>
      <c r="K68" s="409">
        <f t="shared" si="40"/>
        <v>237.14285714285714</v>
      </c>
    </row>
    <row r="69" spans="1:20" s="168" customFormat="1" ht="21.75" customHeight="1">
      <c r="A69" s="419" t="s">
        <v>155</v>
      </c>
      <c r="B69" s="416">
        <f>SUM(B28:B34)/7</f>
        <v>7.8571428571428568</v>
      </c>
      <c r="C69" s="413">
        <f t="shared" si="28"/>
        <v>235.71428571428569</v>
      </c>
      <c r="D69" s="416">
        <f>SUM(D28:D34)/7</f>
        <v>5.1428571428571432</v>
      </c>
      <c r="E69" s="409">
        <f t="shared" si="29"/>
        <v>154.28571428571431</v>
      </c>
      <c r="F69" s="416">
        <f>SUM(F28:F34)/7</f>
        <v>4.8571428571428568</v>
      </c>
      <c r="G69" s="409">
        <f t="shared" si="30"/>
        <v>145.71428571428569</v>
      </c>
      <c r="H69" s="427">
        <f>SUM(H28:H34)/7</f>
        <v>7.4047619047619051</v>
      </c>
      <c r="I69" s="428">
        <f t="shared" si="39"/>
        <v>222.14285714285711</v>
      </c>
      <c r="J69" s="425">
        <f>SUM(J28:J34)/7</f>
        <v>7.0408163265306118</v>
      </c>
      <c r="K69" s="409">
        <f t="shared" si="40"/>
        <v>211.22448979591834</v>
      </c>
    </row>
    <row r="70" spans="1:20" s="168" customFormat="1" ht="21.75" customHeight="1">
      <c r="A70" s="419" t="s">
        <v>158</v>
      </c>
      <c r="B70" s="416">
        <f>SUM(B28:B36)/9</f>
        <v>6.333333333333333</v>
      </c>
      <c r="C70" s="413">
        <f t="shared" si="28"/>
        <v>190</v>
      </c>
      <c r="D70" s="416">
        <f>SUM(D28:D36)/9</f>
        <v>4.2222222222222223</v>
      </c>
      <c r="E70" s="409">
        <f t="shared" si="29"/>
        <v>126.66666666666669</v>
      </c>
      <c r="F70" s="416">
        <f>SUM(F28:F36)/9</f>
        <v>4</v>
      </c>
      <c r="G70" s="409">
        <f t="shared" si="30"/>
        <v>120</v>
      </c>
      <c r="H70" s="427">
        <f>SUM(H28:H36)/9</f>
        <v>5.9814814814814818</v>
      </c>
      <c r="I70" s="428">
        <f t="shared" ref="I70" si="41">((5*C70)+E70)/6</f>
        <v>179.44444444444446</v>
      </c>
      <c r="J70" s="425">
        <f>SUM(J28:J36)/9</f>
        <v>5.6984126984126986</v>
      </c>
      <c r="K70" s="409">
        <f t="shared" ref="K70" si="42">((5*C70)+E70+G70)/7</f>
        <v>170.95238095238096</v>
      </c>
    </row>
    <row r="71" spans="1:20" s="168" customFormat="1" ht="21.75" customHeight="1">
      <c r="A71" s="419" t="s">
        <v>168</v>
      </c>
      <c r="B71" s="416">
        <f>SUM(B29:B31)/3</f>
        <v>11</v>
      </c>
      <c r="C71" s="413">
        <f t="shared" ref="C71" si="43">IF(AND($C$7&gt;=$P$5,$C$7&lt;=$R$5),B71*$C$7*$T$5/100,IF(AND($C$7&gt;=$P$4,$C$7&lt;=$R$4),B71*$C$7*$T$4/100,IF(AND($C$7&gt;=$P$3,$C$7&lt;=$R$3),B71*$C$7*$T$3/100,IF($C$7&gt;=$P$6,B71*$C$7*$T$6/100))))</f>
        <v>330</v>
      </c>
      <c r="D71" s="416">
        <f>SUM(D29:D31)/3</f>
        <v>7</v>
      </c>
      <c r="E71" s="409">
        <f t="shared" ref="E71" si="44">IF(AND($C$7&gt;=$P$5,$C$7&lt;=$R$5),D71*$C$7*$T$5/100,IF(AND($C$7&gt;=$P$4,$C$7&lt;=$R$4),D71*$C$7*$T$4/100,IF(AND($C$7&gt;=$P$3,$C$7&lt;=$R$3),D71*$C$7*$T$3/100,IF($C$7&gt;=$P$6,D71*$C$7*$T$6/100))))</f>
        <v>210</v>
      </c>
      <c r="F71" s="416">
        <f>SUM(F29:F31)/3</f>
        <v>6.333333333333333</v>
      </c>
      <c r="G71" s="409">
        <f t="shared" ref="G71" si="45">IF(AND($C$7&gt;=$P$5,$C$7&lt;=$R$5),F71*$C$7*$T$5/100,IF(AND($C$7&gt;=$P$4,$C$7&lt;=$R$4),F71*$C$7*$T$4/100,IF(AND($C$7&gt;=$P$3,$C$7&lt;=$R$3),F71*$C$7*$T$3/100,IF($C$7&gt;=$P$6,F71*$C$7*$T$6/100))))</f>
        <v>190</v>
      </c>
      <c r="H71" s="427">
        <f>SUM(H29:H31)/3</f>
        <v>10.333333333333334</v>
      </c>
      <c r="I71" s="428">
        <f t="shared" ref="I71" si="46">((5*C71)+E71)/6</f>
        <v>310</v>
      </c>
      <c r="J71" s="425">
        <f>SUM(J29:J31)/3</f>
        <v>9.761904761904761</v>
      </c>
      <c r="K71" s="409">
        <f t="shared" ref="K71" si="47">((5*C71)+E71+G71)/7</f>
        <v>292.85714285714283</v>
      </c>
    </row>
    <row r="72" spans="1:20" s="168" customFormat="1" ht="21.75" customHeight="1">
      <c r="A72" s="419" t="s">
        <v>166</v>
      </c>
      <c r="B72" s="416">
        <f>SUM(B30:B31)/2</f>
        <v>9</v>
      </c>
      <c r="C72" s="413">
        <f t="shared" si="28"/>
        <v>270</v>
      </c>
      <c r="D72" s="416">
        <f>SUM(D30:D31)/2</f>
        <v>6.5</v>
      </c>
      <c r="E72" s="409">
        <f t="shared" si="29"/>
        <v>195</v>
      </c>
      <c r="F72" s="416">
        <f>SUM(F30:F31)/2</f>
        <v>6</v>
      </c>
      <c r="G72" s="409">
        <f t="shared" si="30"/>
        <v>180</v>
      </c>
      <c r="H72" s="427">
        <f>SUM(H30:H31)/2</f>
        <v>8.5833333333333339</v>
      </c>
      <c r="I72" s="428">
        <f t="shared" ref="I72" si="48">((5*C72)+E72)/6</f>
        <v>257.5</v>
      </c>
      <c r="J72" s="425">
        <f>SUM(J30:J31)/2</f>
        <v>8.2142857142857153</v>
      </c>
      <c r="K72" s="409">
        <f t="shared" ref="K72" si="49">((5*C72)+E72+G72)/7</f>
        <v>246.42857142857142</v>
      </c>
    </row>
    <row r="73" spans="1:20" s="168" customFormat="1" ht="21.75" customHeight="1">
      <c r="A73" s="419" t="s">
        <v>101</v>
      </c>
      <c r="B73" s="416">
        <f>SUM(B30:B33)/4</f>
        <v>6.5</v>
      </c>
      <c r="C73" s="413">
        <f t="shared" si="28"/>
        <v>195</v>
      </c>
      <c r="D73" s="416">
        <f>SUM(D30:D33)/4</f>
        <v>4.5</v>
      </c>
      <c r="E73" s="409">
        <f t="shared" si="29"/>
        <v>135</v>
      </c>
      <c r="F73" s="416">
        <f>SUM(F30:F33)/4</f>
        <v>4.25</v>
      </c>
      <c r="G73" s="409">
        <f t="shared" si="30"/>
        <v>127.5</v>
      </c>
      <c r="H73" s="427">
        <f>SUM(H30:H33)/4</f>
        <v>6.166666666666667</v>
      </c>
      <c r="I73" s="428">
        <f t="shared" si="19"/>
        <v>185</v>
      </c>
      <c r="J73" s="425">
        <f>SUM(J30:J33)/4</f>
        <v>5.8928571428571432</v>
      </c>
      <c r="K73" s="409">
        <f t="shared" si="20"/>
        <v>176.78571428571428</v>
      </c>
    </row>
    <row r="74" spans="1:20" s="2" customFormat="1" ht="21.75" customHeight="1">
      <c r="A74" s="419" t="s">
        <v>123</v>
      </c>
      <c r="B74" s="416">
        <f>SUM(B31:B33)/3</f>
        <v>5.666666666666667</v>
      </c>
      <c r="C74" s="413">
        <f t="shared" si="28"/>
        <v>170</v>
      </c>
      <c r="D74" s="416">
        <f>SUM(D31:D33)/3</f>
        <v>3.3333333333333335</v>
      </c>
      <c r="E74" s="409">
        <f t="shared" si="29"/>
        <v>100</v>
      </c>
      <c r="F74" s="416">
        <f>SUM(F31:F33)/3</f>
        <v>3.6666666666666665</v>
      </c>
      <c r="G74" s="409">
        <f t="shared" si="30"/>
        <v>110</v>
      </c>
      <c r="H74" s="427">
        <f>SUM(H31:H33)/3</f>
        <v>5.2777777777777777</v>
      </c>
      <c r="I74" s="428">
        <f t="shared" si="19"/>
        <v>158.33333333333334</v>
      </c>
      <c r="J74" s="425">
        <f>SUM(J31:J33)/3</f>
        <v>5.0476190476190474</v>
      </c>
      <c r="K74" s="409">
        <f t="shared" si="20"/>
        <v>151.42857142857142</v>
      </c>
    </row>
    <row r="75" spans="1:20" s="168" customFormat="1" ht="21.75" customHeight="1">
      <c r="A75" s="419" t="s">
        <v>94</v>
      </c>
      <c r="B75" s="416">
        <f>SUM(B31:B34)/4</f>
        <v>4.75</v>
      </c>
      <c r="C75" s="413">
        <f t="shared" si="28"/>
        <v>142.5</v>
      </c>
      <c r="D75" s="416">
        <f>SUM(D31:D34)/4</f>
        <v>3</v>
      </c>
      <c r="E75" s="409">
        <f t="shared" si="29"/>
        <v>90</v>
      </c>
      <c r="F75" s="416">
        <f>SUM(F31:F34)/4</f>
        <v>3</v>
      </c>
      <c r="G75" s="409">
        <f t="shared" si="30"/>
        <v>90</v>
      </c>
      <c r="H75" s="427">
        <f>SUM(H31:H34)/4</f>
        <v>4.4583333333333339</v>
      </c>
      <c r="I75" s="428">
        <f t="shared" si="19"/>
        <v>133.75</v>
      </c>
      <c r="J75" s="425">
        <f>SUM(J31:J34)/4</f>
        <v>4.25</v>
      </c>
      <c r="K75" s="409">
        <f t="shared" si="20"/>
        <v>127.5</v>
      </c>
    </row>
    <row r="76" spans="1:20" s="168" customFormat="1" ht="21.75" customHeight="1">
      <c r="A76" s="419" t="s">
        <v>95</v>
      </c>
      <c r="B76" s="416">
        <f>SUM(B31:B36)/6</f>
        <v>3.5</v>
      </c>
      <c r="C76" s="413">
        <f t="shared" si="28"/>
        <v>105</v>
      </c>
      <c r="D76" s="416">
        <f>SUM(D31:D36)/6</f>
        <v>2.3333333333333335</v>
      </c>
      <c r="E76" s="409">
        <f t="shared" si="29"/>
        <v>70</v>
      </c>
      <c r="F76" s="416">
        <f>SUM(F31:F36)/6</f>
        <v>2.3333333333333335</v>
      </c>
      <c r="G76" s="409">
        <f t="shared" si="30"/>
        <v>70</v>
      </c>
      <c r="H76" s="427">
        <f>SUM(H31:H36)/6</f>
        <v>3.3055555555555558</v>
      </c>
      <c r="I76" s="428">
        <f t="shared" si="19"/>
        <v>99.166666666666671</v>
      </c>
      <c r="J76" s="425">
        <f>SUM(J31:J36)/6</f>
        <v>3.1666666666666665</v>
      </c>
      <c r="K76" s="409">
        <f t="shared" si="20"/>
        <v>95</v>
      </c>
    </row>
    <row r="77" spans="1:20" s="168" customFormat="1" ht="21.75" customHeight="1">
      <c r="A77" s="419" t="s">
        <v>96</v>
      </c>
      <c r="B77" s="416">
        <f>SUM(B32:B36)/5</f>
        <v>2.4</v>
      </c>
      <c r="C77" s="413">
        <f t="shared" si="28"/>
        <v>72</v>
      </c>
      <c r="D77" s="416">
        <f>SUM(D32:D36)/5</f>
        <v>1.8</v>
      </c>
      <c r="E77" s="409">
        <f t="shared" si="29"/>
        <v>54</v>
      </c>
      <c r="F77" s="416">
        <f>SUM(F32:F36)/5</f>
        <v>1.6</v>
      </c>
      <c r="G77" s="409">
        <f t="shared" si="30"/>
        <v>48</v>
      </c>
      <c r="H77" s="427">
        <f>SUM(H32:H36)/5</f>
        <v>2.2999999999999998</v>
      </c>
      <c r="I77" s="428">
        <f t="shared" si="19"/>
        <v>69</v>
      </c>
      <c r="J77" s="425">
        <f>SUM(J32:J36)/5</f>
        <v>2.2000000000000002</v>
      </c>
      <c r="K77" s="409">
        <f t="shared" si="20"/>
        <v>66</v>
      </c>
    </row>
    <row r="78" spans="1:20" s="23" customFormat="1" ht="21.75" customHeight="1" thickBot="1">
      <c r="A78" s="415" t="s">
        <v>97</v>
      </c>
      <c r="B78" s="410">
        <f>SUM(B33:B36)/4</f>
        <v>1.5</v>
      </c>
      <c r="C78" s="414">
        <f t="shared" si="28"/>
        <v>45</v>
      </c>
      <c r="D78" s="410">
        <f>SUM(D33:D36)/4</f>
        <v>1.5</v>
      </c>
      <c r="E78" s="413">
        <f t="shared" si="29"/>
        <v>45</v>
      </c>
      <c r="F78" s="410">
        <f>SUM(F33:F36)/4</f>
        <v>1.25</v>
      </c>
      <c r="G78" s="412">
        <f t="shared" si="30"/>
        <v>37.5</v>
      </c>
      <c r="H78" s="410">
        <f>SUM(H33:H36)/4</f>
        <v>1.5</v>
      </c>
      <c r="I78" s="411">
        <f t="shared" si="19"/>
        <v>45</v>
      </c>
      <c r="J78" s="410">
        <f>SUM(J33:J36)/4</f>
        <v>1.4642857142857144</v>
      </c>
      <c r="K78" s="409">
        <f t="shared" si="20"/>
        <v>43.928571428571431</v>
      </c>
      <c r="T78" s="182"/>
    </row>
    <row r="115" spans="1:1">
      <c r="A115" s="1" t="s">
        <v>55</v>
      </c>
    </row>
    <row r="116" spans="1:1">
      <c r="A116" s="1" t="s">
        <v>0</v>
      </c>
    </row>
    <row r="117" spans="1:1">
      <c r="A117" s="1" t="s">
        <v>21</v>
      </c>
    </row>
    <row r="118" spans="1:1">
      <c r="A118" s="1" t="s">
        <v>136</v>
      </c>
    </row>
    <row r="119" spans="1:1">
      <c r="A119" s="1" t="s">
        <v>137</v>
      </c>
    </row>
  </sheetData>
  <mergeCells count="7">
    <mergeCell ref="E1:N1"/>
    <mergeCell ref="A10:K10"/>
    <mergeCell ref="B11:C11"/>
    <mergeCell ref="D11:E11"/>
    <mergeCell ref="F11:G11"/>
    <mergeCell ref="H11:I11"/>
    <mergeCell ref="J11:K11"/>
  </mergeCells>
  <dataValidations count="3">
    <dataValidation type="list" allowBlank="1" showInputMessage="1" showErrorMessage="1" sqref="E8:E9">
      <formula1>$B$11:$K$11</formula1>
    </dataValidation>
    <dataValidation type="list" allowBlank="1" showInputMessage="1" showErrorMessage="1" sqref="E4:E7">
      <formula1>$A$115:$A$119</formula1>
    </dataValidation>
    <dataValidation type="list" allowBlank="1" showInputMessage="1" showErrorMessage="1" sqref="F4:F9">
      <formula1>$A$37:$A$80</formula1>
    </dataValidation>
  </dataValidations>
  <pageMargins left="0.7" right="0.7" top="0.78740157499999996" bottom="0.78740157499999996" header="0.3" footer="0.3"/>
  <pageSetup paperSize="9" scale="3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7"/>
  <sheetViews>
    <sheetView zoomScale="85" zoomScaleNormal="85" workbookViewId="0">
      <selection activeCell="A4" sqref="A4:BH4"/>
    </sheetView>
  </sheetViews>
  <sheetFormatPr baseColWidth="10" defaultColWidth="14.42578125" defaultRowHeight="15" outlineLevelCol="1"/>
  <cols>
    <col min="1" max="1" width="14.42578125" style="6" customWidth="1"/>
    <col min="2" max="2" width="6" style="6" customWidth="1"/>
    <col min="3" max="4" width="8.85546875" style="76" customWidth="1"/>
    <col min="5" max="5" width="11.140625" style="76" customWidth="1"/>
    <col min="6" max="7" width="8.85546875" style="76" customWidth="1"/>
    <col min="8" max="8" width="9.85546875" style="76" customWidth="1"/>
    <col min="9" max="13" width="8.85546875" style="76" customWidth="1"/>
    <col min="14" max="34" width="4.7109375" style="6" customWidth="1"/>
    <col min="35" max="39" width="4.7109375" style="6" customWidth="1" outlineLevel="1"/>
    <col min="40" max="40" width="5.140625" style="6" customWidth="1" outlineLevel="1"/>
    <col min="41" max="55" width="4.7109375" style="6" customWidth="1" outlineLevel="1"/>
    <col min="56" max="56" width="14.42578125" style="6"/>
    <col min="57" max="57" width="0" style="6" hidden="1" customWidth="1"/>
    <col min="58" max="58" width="16.85546875" style="6" hidden="1" customWidth="1"/>
    <col min="59" max="61" width="0" style="6" hidden="1" customWidth="1"/>
    <col min="62" max="16384" width="14.42578125" style="6"/>
  </cols>
  <sheetData>
    <row r="1" spans="1:60" s="78" customFormat="1">
      <c r="A1" s="23"/>
      <c r="B1" s="23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</row>
    <row r="2" spans="1:60" s="80" customFormat="1" ht="47.25">
      <c r="A2" s="899"/>
      <c r="B2" s="899"/>
      <c r="C2" s="899"/>
      <c r="D2" s="899"/>
      <c r="E2" s="899"/>
      <c r="F2" s="899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B2" s="899"/>
      <c r="AC2" s="899"/>
      <c r="AD2" s="899"/>
      <c r="AE2" s="899"/>
      <c r="AF2" s="899"/>
      <c r="AG2" s="899"/>
      <c r="AH2" s="899"/>
      <c r="AI2" s="899"/>
      <c r="AJ2" s="899"/>
      <c r="AK2" s="899"/>
      <c r="AL2" s="899"/>
      <c r="AM2" s="899"/>
      <c r="AN2" s="899"/>
      <c r="AO2" s="899"/>
      <c r="AP2" s="899"/>
      <c r="AQ2" s="899"/>
      <c r="AR2" s="899"/>
      <c r="AS2" s="899"/>
      <c r="AT2" s="899"/>
      <c r="AU2" s="899"/>
      <c r="AV2" s="899"/>
      <c r="AW2" s="899"/>
      <c r="AX2" s="899"/>
      <c r="AY2" s="899"/>
      <c r="AZ2" s="899"/>
      <c r="BA2" s="899"/>
      <c r="BB2" s="899"/>
      <c r="BC2" s="899"/>
      <c r="BD2" s="79"/>
      <c r="BE2" s="79"/>
      <c r="BF2" s="79"/>
      <c r="BG2" s="79"/>
      <c r="BH2" s="79"/>
    </row>
    <row r="3" spans="1:60" s="78" customFormat="1" ht="11.25" customHeight="1">
      <c r="A3" s="81"/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23"/>
      <c r="BE3" s="23"/>
      <c r="BF3" s="23"/>
      <c r="BG3" s="23"/>
      <c r="BH3" s="23"/>
    </row>
    <row r="4" spans="1:60" ht="18">
      <c r="A4" s="900" t="s">
        <v>169</v>
      </c>
      <c r="B4" s="900"/>
      <c r="C4" s="900"/>
      <c r="D4" s="900"/>
      <c r="E4" s="900"/>
      <c r="F4" s="900"/>
      <c r="G4" s="900"/>
      <c r="H4" s="900"/>
      <c r="I4" s="900"/>
      <c r="J4" s="900"/>
      <c r="K4" s="900"/>
      <c r="L4" s="900"/>
      <c r="M4" s="900"/>
      <c r="N4" s="900"/>
      <c r="O4" s="900"/>
      <c r="P4" s="900"/>
      <c r="Q4" s="900"/>
      <c r="R4" s="900"/>
      <c r="S4" s="900"/>
      <c r="T4" s="900"/>
      <c r="U4" s="900"/>
      <c r="V4" s="900"/>
      <c r="W4" s="900"/>
      <c r="X4" s="900"/>
      <c r="Y4" s="900"/>
      <c r="Z4" s="900"/>
      <c r="AA4" s="900"/>
      <c r="AB4" s="900"/>
      <c r="AC4" s="900"/>
      <c r="AD4" s="900"/>
      <c r="AE4" s="900"/>
      <c r="AF4" s="900"/>
      <c r="AG4" s="900"/>
      <c r="AH4" s="900"/>
      <c r="AI4" s="900"/>
      <c r="AJ4" s="900"/>
      <c r="AK4" s="900"/>
      <c r="AL4" s="900"/>
      <c r="AM4" s="900"/>
      <c r="AN4" s="900"/>
      <c r="AO4" s="900"/>
      <c r="AP4" s="900"/>
      <c r="AQ4" s="900"/>
      <c r="AR4" s="900"/>
      <c r="AS4" s="900"/>
      <c r="AT4" s="900"/>
      <c r="AU4" s="900"/>
      <c r="AV4" s="900"/>
      <c r="AW4" s="900"/>
      <c r="AX4" s="900"/>
      <c r="AY4" s="900"/>
      <c r="AZ4" s="900"/>
      <c r="BA4" s="900"/>
      <c r="BB4" s="900"/>
      <c r="BC4" s="900"/>
      <c r="BD4" s="900"/>
      <c r="BE4" s="900"/>
      <c r="BF4" s="900"/>
      <c r="BG4" s="900"/>
      <c r="BH4" s="900"/>
    </row>
    <row r="5" spans="1:60" s="9" customFormat="1" ht="18.75" thickBot="1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7"/>
      <c r="Q5" s="12"/>
      <c r="R5" s="10"/>
      <c r="S5" s="10"/>
      <c r="T5" s="10"/>
      <c r="U5" s="10"/>
      <c r="V5" s="13"/>
      <c r="W5" s="13"/>
      <c r="X5" s="13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 spans="1:60" s="16" customFormat="1" ht="18.75" thickBot="1">
      <c r="A6" s="10"/>
      <c r="B6" s="84" t="s">
        <v>1</v>
      </c>
      <c r="C6" s="85"/>
      <c r="D6" s="391"/>
      <c r="E6" s="1037"/>
      <c r="F6" s="1038"/>
      <c r="G6" s="1039"/>
      <c r="H6" s="85"/>
      <c r="I6" s="1040" t="s">
        <v>2</v>
      </c>
      <c r="J6" s="1041"/>
      <c r="K6" s="1041"/>
      <c r="L6" s="524"/>
      <c r="M6" s="1042">
        <f>B41+F41+J41</f>
        <v>0</v>
      </c>
      <c r="N6" s="1042"/>
      <c r="O6" s="1043"/>
      <c r="P6" s="3"/>
      <c r="Q6" s="89"/>
      <c r="R6" s="143" t="s">
        <v>110</v>
      </c>
      <c r="S6" s="144"/>
      <c r="T6" s="144"/>
      <c r="U6" s="144"/>
      <c r="V6" s="145" t="s">
        <v>113</v>
      </c>
      <c r="W6" s="13"/>
      <c r="X6" s="13"/>
      <c r="Y6" s="18"/>
      <c r="Z6" s="12"/>
      <c r="AA6" s="12"/>
      <c r="AB6" s="12"/>
      <c r="AC6" s="12"/>
      <c r="AD6" s="12"/>
      <c r="AE6" s="10"/>
      <c r="AF6" s="10"/>
      <c r="AG6" s="10"/>
      <c r="AH6" s="10"/>
      <c r="AI6" s="13"/>
      <c r="AJ6" s="13"/>
      <c r="AK6" s="13"/>
      <c r="AL6" s="13"/>
      <c r="AM6" s="10"/>
      <c r="AN6" s="903"/>
      <c r="AO6" s="903"/>
      <c r="AP6" s="903"/>
      <c r="AQ6" s="903"/>
      <c r="AR6" s="903"/>
      <c r="AS6" s="903"/>
      <c r="AT6" s="903"/>
      <c r="AU6" s="903"/>
      <c r="AV6" s="903"/>
      <c r="AW6" s="10"/>
      <c r="AX6" s="10"/>
      <c r="AY6" s="10"/>
      <c r="AZ6" s="10"/>
      <c r="BA6" s="10"/>
      <c r="BB6" s="10"/>
      <c r="BC6" s="10"/>
      <c r="BD6" s="10"/>
      <c r="BE6" s="14">
        <f>WEEKDAY(AP7,2)</f>
        <v>6</v>
      </c>
      <c r="BF6" s="15">
        <f>DAYS360(AP7,AP8)+1</f>
        <v>1</v>
      </c>
      <c r="BG6" s="10"/>
      <c r="BH6" s="10"/>
    </row>
    <row r="7" spans="1:60" s="16" customFormat="1" ht="18.75" thickBot="1">
      <c r="A7" s="10"/>
      <c r="B7" s="84" t="s">
        <v>3</v>
      </c>
      <c r="C7" s="85"/>
      <c r="D7" s="391"/>
      <c r="E7" s="1037"/>
      <c r="F7" s="1038"/>
      <c r="G7" s="1039"/>
      <c r="H7" s="85"/>
      <c r="I7" s="1044" t="s">
        <v>4</v>
      </c>
      <c r="J7" s="907"/>
      <c r="K7" s="907"/>
      <c r="L7" s="393"/>
      <c r="M7" s="904">
        <f>G9*M6</f>
        <v>0</v>
      </c>
      <c r="N7" s="904"/>
      <c r="O7" s="1045"/>
      <c r="P7" s="3"/>
      <c r="Q7" s="89"/>
      <c r="R7" s="146">
        <v>1</v>
      </c>
      <c r="S7" s="147" t="s">
        <v>112</v>
      </c>
      <c r="T7" s="147">
        <v>15</v>
      </c>
      <c r="U7" s="147" t="s">
        <v>23</v>
      </c>
      <c r="V7" s="148">
        <v>110</v>
      </c>
      <c r="W7" s="13"/>
      <c r="X7" s="13"/>
      <c r="Y7" s="18"/>
      <c r="Z7" s="12"/>
      <c r="AA7" s="12"/>
      <c r="AB7" s="12"/>
      <c r="AC7" s="12"/>
      <c r="AD7" s="89"/>
      <c r="AE7" s="10"/>
      <c r="AF7" s="10"/>
      <c r="AG7" s="10"/>
      <c r="AH7" s="10"/>
      <c r="AI7" s="13"/>
      <c r="AJ7" s="13"/>
      <c r="AK7" s="13"/>
      <c r="AL7" s="13"/>
      <c r="AM7" s="10"/>
      <c r="AN7" s="18"/>
      <c r="AO7" s="18"/>
      <c r="AP7" s="19"/>
      <c r="AQ7" s="19"/>
      <c r="AR7" s="19"/>
      <c r="AS7" s="19"/>
      <c r="AT7" s="19"/>
      <c r="AU7" s="19"/>
      <c r="AV7" s="19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s="16" customFormat="1" ht="18.75" thickBot="1">
      <c r="A8" s="10"/>
      <c r="B8" s="84" t="s">
        <v>5</v>
      </c>
      <c r="C8" s="85"/>
      <c r="D8" s="391"/>
      <c r="E8" s="1037"/>
      <c r="F8" s="1038"/>
      <c r="G8" s="1039"/>
      <c r="H8" s="85"/>
      <c r="I8" s="1046" t="s">
        <v>6</v>
      </c>
      <c r="J8" s="1047"/>
      <c r="K8" s="1047"/>
      <c r="L8" s="521"/>
      <c r="M8" s="1048">
        <f>E41+I41+M41</f>
        <v>0</v>
      </c>
      <c r="N8" s="1048"/>
      <c r="O8" s="1049"/>
      <c r="P8" s="3"/>
      <c r="Q8" s="12"/>
      <c r="R8" s="146">
        <v>16</v>
      </c>
      <c r="S8" s="147" t="s">
        <v>112</v>
      </c>
      <c r="T8" s="147">
        <v>24</v>
      </c>
      <c r="U8" s="147" t="s">
        <v>23</v>
      </c>
      <c r="V8" s="148">
        <v>105</v>
      </c>
      <c r="W8" s="10"/>
      <c r="X8" s="10"/>
      <c r="Y8" s="18"/>
      <c r="Z8" s="12"/>
      <c r="AA8" s="12"/>
      <c r="AB8" s="90"/>
      <c r="AC8" s="12"/>
      <c r="AD8" s="89"/>
      <c r="AE8" s="10"/>
      <c r="AF8" s="10"/>
      <c r="AG8" s="10"/>
      <c r="AH8" s="10"/>
      <c r="AI8" s="13"/>
      <c r="AJ8" s="13"/>
      <c r="AK8" s="13"/>
      <c r="AL8" s="13"/>
      <c r="AM8" s="10"/>
      <c r="AN8" s="18"/>
      <c r="AO8" s="18"/>
      <c r="AP8" s="19"/>
      <c r="AQ8" s="19"/>
      <c r="AR8" s="19"/>
      <c r="AS8" s="19"/>
      <c r="AT8" s="19"/>
      <c r="AU8" s="19"/>
      <c r="AV8" s="19"/>
      <c r="AW8" s="10"/>
      <c r="AX8" s="20"/>
      <c r="AY8" s="10"/>
      <c r="AZ8" s="10"/>
      <c r="BA8" s="10"/>
      <c r="BB8" s="10"/>
      <c r="BC8" s="10"/>
      <c r="BD8" s="10"/>
      <c r="BE8" s="10"/>
      <c r="BF8" s="17"/>
      <c r="BG8" s="10"/>
      <c r="BH8" s="10"/>
    </row>
    <row r="9" spans="1:60" s="16" customFormat="1" ht="18.75" thickBot="1">
      <c r="A9" s="10"/>
      <c r="B9" s="3" t="s">
        <v>7</v>
      </c>
      <c r="C9" s="85"/>
      <c r="D9" s="85"/>
      <c r="E9" s="85"/>
      <c r="F9" s="85"/>
      <c r="G9" s="522">
        <v>10</v>
      </c>
      <c r="H9" s="85"/>
      <c r="I9" s="1040" t="s">
        <v>46</v>
      </c>
      <c r="J9" s="1041"/>
      <c r="K9" s="1041"/>
      <c r="L9" s="523">
        <v>0</v>
      </c>
      <c r="M9" s="1050">
        <f>M8*L9</f>
        <v>0</v>
      </c>
      <c r="N9" s="1050"/>
      <c r="O9" s="1051"/>
      <c r="P9" s="3"/>
      <c r="Q9" s="12"/>
      <c r="R9" s="146">
        <v>25</v>
      </c>
      <c r="S9" s="147" t="s">
        <v>112</v>
      </c>
      <c r="T9" s="147">
        <v>34</v>
      </c>
      <c r="U9" s="147" t="s">
        <v>23</v>
      </c>
      <c r="V9" s="148">
        <v>100</v>
      </c>
      <c r="W9" s="10"/>
      <c r="X9" s="10"/>
      <c r="Y9" s="18"/>
      <c r="Z9" s="12"/>
      <c r="AA9" s="12"/>
      <c r="AB9" s="12"/>
      <c r="AC9" s="12"/>
      <c r="AD9" s="12"/>
      <c r="AE9" s="10"/>
      <c r="AF9" s="10"/>
      <c r="AG9" s="10"/>
      <c r="AH9" s="10"/>
      <c r="AI9" s="10"/>
      <c r="AJ9" s="10"/>
      <c r="AK9" s="10"/>
      <c r="AL9" s="10"/>
      <c r="AM9" s="10"/>
      <c r="AN9" s="18"/>
      <c r="AO9" s="18"/>
      <c r="AP9" s="18"/>
      <c r="AQ9" s="18"/>
      <c r="AR9" s="18"/>
      <c r="AS9" s="18"/>
      <c r="AT9" s="18"/>
      <c r="AU9" s="18"/>
      <c r="AV9" s="18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60" s="16" customFormat="1" ht="18.75" thickBot="1">
      <c r="A10" s="10"/>
      <c r="B10" s="3" t="s">
        <v>98</v>
      </c>
      <c r="C10" s="85"/>
      <c r="D10" s="85"/>
      <c r="E10" s="85"/>
      <c r="F10" s="85"/>
      <c r="G10" s="522"/>
      <c r="H10" s="85"/>
      <c r="I10" s="1046" t="s">
        <v>47</v>
      </c>
      <c r="J10" s="1047"/>
      <c r="K10" s="1047"/>
      <c r="L10" s="521"/>
      <c r="M10" s="1048">
        <f>M8-M9</f>
        <v>0</v>
      </c>
      <c r="N10" s="1048"/>
      <c r="O10" s="1049"/>
      <c r="P10" s="3"/>
      <c r="Q10" s="12"/>
      <c r="R10" s="149">
        <v>35</v>
      </c>
      <c r="S10" s="150" t="s">
        <v>112</v>
      </c>
      <c r="T10" s="150">
        <v>99</v>
      </c>
      <c r="U10" s="150" t="s">
        <v>23</v>
      </c>
      <c r="V10" s="151">
        <v>95</v>
      </c>
      <c r="W10" s="10"/>
      <c r="X10" s="10"/>
      <c r="Y10" s="18"/>
      <c r="Z10" s="12"/>
      <c r="AA10" s="12"/>
      <c r="AB10" s="12"/>
      <c r="AC10" s="12"/>
      <c r="AD10" s="12"/>
      <c r="AE10" s="10"/>
      <c r="AF10" s="10"/>
      <c r="AG10" s="10"/>
      <c r="AH10" s="10"/>
      <c r="AI10" s="10"/>
      <c r="AJ10" s="10"/>
      <c r="AK10" s="10"/>
      <c r="AL10" s="10"/>
      <c r="AM10" s="10"/>
      <c r="AN10" s="18"/>
      <c r="AO10" s="18"/>
      <c r="AP10" s="18"/>
      <c r="AQ10" s="18"/>
      <c r="AR10" s="18"/>
      <c r="AS10" s="18"/>
      <c r="AT10" s="18"/>
      <c r="AU10" s="18"/>
      <c r="AV10" s="18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1:60" s="16" customFormat="1" ht="18.75" thickBot="1">
      <c r="A11" s="10"/>
      <c r="B11" s="3"/>
      <c r="C11" s="85"/>
      <c r="D11" s="85"/>
      <c r="E11" s="85"/>
      <c r="F11" s="85"/>
      <c r="G11" s="85"/>
      <c r="H11" s="85"/>
      <c r="I11" s="1052" t="s">
        <v>48</v>
      </c>
      <c r="J11" s="1053"/>
      <c r="K11" s="1053"/>
      <c r="L11" s="520">
        <v>0</v>
      </c>
      <c r="M11" s="1054">
        <f>M10*L11</f>
        <v>0</v>
      </c>
      <c r="N11" s="1054"/>
      <c r="O11" s="1055"/>
      <c r="P11" s="3"/>
      <c r="Q11" s="12"/>
      <c r="R11" s="10"/>
      <c r="S11" s="10"/>
      <c r="T11" s="10"/>
      <c r="U11" s="10"/>
      <c r="V11" s="13"/>
      <c r="W11" s="13"/>
      <c r="X11" s="13"/>
      <c r="Y11" s="18"/>
      <c r="Z11" s="12"/>
      <c r="AA11" s="12"/>
      <c r="AB11" s="12"/>
      <c r="AC11" s="12"/>
      <c r="AD11" s="12"/>
      <c r="AE11" s="10"/>
      <c r="AF11" s="10"/>
      <c r="AG11" s="10"/>
      <c r="AH11" s="10"/>
      <c r="AI11" s="10"/>
      <c r="AJ11" s="10"/>
      <c r="AK11" s="10"/>
      <c r="AL11" s="10"/>
      <c r="AM11" s="10"/>
      <c r="AN11" s="18"/>
      <c r="AO11" s="18"/>
      <c r="AP11" s="18"/>
      <c r="AQ11" s="18"/>
      <c r="AR11" s="18"/>
      <c r="AS11" s="18"/>
      <c r="AT11" s="18"/>
      <c r="AU11" s="18"/>
      <c r="AV11" s="18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16" customFormat="1" ht="20.25" thickBot="1">
      <c r="A12" s="10"/>
      <c r="B12" s="21"/>
      <c r="C12" s="11"/>
      <c r="D12" s="11"/>
      <c r="E12" s="11"/>
      <c r="F12" s="11"/>
      <c r="G12" s="11"/>
      <c r="H12" s="11"/>
      <c r="I12" s="1046" t="s">
        <v>49</v>
      </c>
      <c r="J12" s="1047"/>
      <c r="K12" s="1047"/>
      <c r="L12" s="519"/>
      <c r="M12" s="1056">
        <f>M10-M11</f>
        <v>0</v>
      </c>
      <c r="N12" s="1056"/>
      <c r="O12" s="1057"/>
      <c r="P12" s="10"/>
      <c r="Q12" s="89"/>
      <c r="R12" s="10"/>
      <c r="S12" s="10"/>
      <c r="T12" s="10"/>
      <c r="U12" s="10"/>
      <c r="V12" s="13"/>
      <c r="W12" s="13"/>
      <c r="X12" s="13"/>
      <c r="Y12" s="18"/>
      <c r="Z12" s="12"/>
      <c r="AA12" s="12"/>
      <c r="AB12" s="12"/>
      <c r="AC12" s="12"/>
      <c r="AD12" s="12"/>
      <c r="AE12" s="10"/>
      <c r="AF12" s="10"/>
      <c r="AG12" s="10"/>
      <c r="AH12" s="10"/>
      <c r="AI12" s="10"/>
      <c r="AJ12" s="10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spans="1:60" s="1" customFormat="1" ht="15.75" thickBot="1">
      <c r="A13" s="2"/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"/>
      <c r="BE13" s="2"/>
      <c r="BF13" s="2"/>
      <c r="BG13" s="2"/>
      <c r="BH13" s="2"/>
    </row>
    <row r="14" spans="1:60" s="25" customFormat="1" ht="15.75">
      <c r="A14" s="518" t="s">
        <v>8</v>
      </c>
      <c r="B14" s="1058" t="s">
        <v>9</v>
      </c>
      <c r="C14" s="1059"/>
      <c r="D14" s="1059"/>
      <c r="E14" s="1060"/>
      <c r="F14" s="1058" t="s">
        <v>10</v>
      </c>
      <c r="G14" s="1059"/>
      <c r="H14" s="1059"/>
      <c r="I14" s="1060"/>
      <c r="J14" s="1061" t="s">
        <v>11</v>
      </c>
      <c r="K14" s="1062"/>
      <c r="L14" s="1062"/>
      <c r="M14" s="1063"/>
      <c r="N14" s="1058" t="s">
        <v>50</v>
      </c>
      <c r="O14" s="1059"/>
      <c r="P14" s="1059"/>
      <c r="Q14" s="1059"/>
      <c r="R14" s="1059"/>
      <c r="S14" s="1059"/>
      <c r="T14" s="1060"/>
      <c r="U14" s="1058" t="s">
        <v>51</v>
      </c>
      <c r="V14" s="1059"/>
      <c r="W14" s="1059"/>
      <c r="X14" s="1059"/>
      <c r="Y14" s="1059"/>
      <c r="Z14" s="1059"/>
      <c r="AA14" s="1060"/>
      <c r="AB14" s="1058" t="s">
        <v>52</v>
      </c>
      <c r="AC14" s="1059"/>
      <c r="AD14" s="1059"/>
      <c r="AE14" s="1059"/>
      <c r="AF14" s="1059"/>
      <c r="AG14" s="1059"/>
      <c r="AH14" s="1060"/>
      <c r="AI14" s="1058" t="s">
        <v>12</v>
      </c>
      <c r="AJ14" s="1059"/>
      <c r="AK14" s="1059"/>
      <c r="AL14" s="1059"/>
      <c r="AM14" s="1059"/>
      <c r="AN14" s="1059"/>
      <c r="AO14" s="1060"/>
      <c r="AP14" s="1058" t="s">
        <v>13</v>
      </c>
      <c r="AQ14" s="1059"/>
      <c r="AR14" s="1059"/>
      <c r="AS14" s="1059"/>
      <c r="AT14" s="1059"/>
      <c r="AU14" s="1059"/>
      <c r="AV14" s="1060"/>
      <c r="AW14" s="1064" t="s">
        <v>14</v>
      </c>
      <c r="AX14" s="1065"/>
      <c r="AY14" s="1065"/>
      <c r="AZ14" s="1065"/>
      <c r="BA14" s="1065"/>
      <c r="BB14" s="1065"/>
      <c r="BC14" s="1066"/>
      <c r="BD14" s="3"/>
      <c r="BE14" s="3"/>
      <c r="BF14" s="3"/>
      <c r="BG14" s="3"/>
      <c r="BH14" s="3"/>
    </row>
    <row r="15" spans="1:60" s="35" customFormat="1">
      <c r="A15" s="517"/>
      <c r="B15" s="516"/>
      <c r="C15" s="515" t="s">
        <v>15</v>
      </c>
      <c r="D15" s="515" t="s">
        <v>15</v>
      </c>
      <c r="E15" s="514" t="s">
        <v>15</v>
      </c>
      <c r="F15" s="516"/>
      <c r="G15" s="515" t="s">
        <v>15</v>
      </c>
      <c r="H15" s="515" t="s">
        <v>15</v>
      </c>
      <c r="I15" s="514" t="s">
        <v>15</v>
      </c>
      <c r="J15" s="516"/>
      <c r="K15" s="515" t="s">
        <v>15</v>
      </c>
      <c r="L15" s="515" t="s">
        <v>15</v>
      </c>
      <c r="M15" s="514" t="s">
        <v>15</v>
      </c>
      <c r="N15" s="513" t="s">
        <v>16</v>
      </c>
      <c r="O15" s="512" t="s">
        <v>17</v>
      </c>
      <c r="P15" s="511" t="s">
        <v>18</v>
      </c>
      <c r="Q15" s="511" t="s">
        <v>19</v>
      </c>
      <c r="R15" s="511" t="s">
        <v>20</v>
      </c>
      <c r="S15" s="510" t="s">
        <v>0</v>
      </c>
      <c r="T15" s="509" t="s">
        <v>21</v>
      </c>
      <c r="U15" s="513" t="s">
        <v>16</v>
      </c>
      <c r="V15" s="512" t="s">
        <v>17</v>
      </c>
      <c r="W15" s="511" t="s">
        <v>18</v>
      </c>
      <c r="X15" s="511" t="s">
        <v>19</v>
      </c>
      <c r="Y15" s="511" t="s">
        <v>20</v>
      </c>
      <c r="Z15" s="510" t="s">
        <v>0</v>
      </c>
      <c r="AA15" s="509" t="s">
        <v>21</v>
      </c>
      <c r="AB15" s="513" t="s">
        <v>16</v>
      </c>
      <c r="AC15" s="512" t="s">
        <v>17</v>
      </c>
      <c r="AD15" s="511" t="s">
        <v>18</v>
      </c>
      <c r="AE15" s="511" t="s">
        <v>19</v>
      </c>
      <c r="AF15" s="511" t="s">
        <v>20</v>
      </c>
      <c r="AG15" s="510" t="s">
        <v>0</v>
      </c>
      <c r="AH15" s="509" t="s">
        <v>21</v>
      </c>
      <c r="AI15" s="513" t="s">
        <v>16</v>
      </c>
      <c r="AJ15" s="512" t="s">
        <v>17</v>
      </c>
      <c r="AK15" s="511" t="s">
        <v>18</v>
      </c>
      <c r="AL15" s="511" t="s">
        <v>19</v>
      </c>
      <c r="AM15" s="511" t="s">
        <v>20</v>
      </c>
      <c r="AN15" s="510" t="s">
        <v>0</v>
      </c>
      <c r="AO15" s="509" t="s">
        <v>21</v>
      </c>
      <c r="AP15" s="513" t="s">
        <v>16</v>
      </c>
      <c r="AQ15" s="512" t="s">
        <v>17</v>
      </c>
      <c r="AR15" s="511" t="s">
        <v>18</v>
      </c>
      <c r="AS15" s="511" t="s">
        <v>19</v>
      </c>
      <c r="AT15" s="511" t="s">
        <v>20</v>
      </c>
      <c r="AU15" s="510" t="s">
        <v>0</v>
      </c>
      <c r="AV15" s="509" t="s">
        <v>21</v>
      </c>
      <c r="AW15" s="513" t="s">
        <v>16</v>
      </c>
      <c r="AX15" s="512" t="s">
        <v>17</v>
      </c>
      <c r="AY15" s="511" t="s">
        <v>18</v>
      </c>
      <c r="AZ15" s="511" t="s">
        <v>19</v>
      </c>
      <c r="BA15" s="511" t="s">
        <v>20</v>
      </c>
      <c r="BB15" s="510" t="s">
        <v>0</v>
      </c>
      <c r="BC15" s="509" t="s">
        <v>21</v>
      </c>
      <c r="BD15" s="4"/>
      <c r="BE15" s="4"/>
      <c r="BF15" s="4"/>
      <c r="BG15" s="4"/>
      <c r="BH15" s="4"/>
    </row>
    <row r="16" spans="1:60" s="35" customFormat="1" ht="15.75" thickBot="1">
      <c r="A16" s="508"/>
      <c r="B16" s="507" t="s">
        <v>22</v>
      </c>
      <c r="C16" s="503" t="s">
        <v>23</v>
      </c>
      <c r="D16" s="503" t="s">
        <v>24</v>
      </c>
      <c r="E16" s="506" t="s">
        <v>25</v>
      </c>
      <c r="F16" s="507" t="s">
        <v>22</v>
      </c>
      <c r="G16" s="503" t="s">
        <v>23</v>
      </c>
      <c r="H16" s="503" t="s">
        <v>24</v>
      </c>
      <c r="I16" s="506" t="s">
        <v>25</v>
      </c>
      <c r="J16" s="507" t="s">
        <v>22</v>
      </c>
      <c r="K16" s="503" t="s">
        <v>23</v>
      </c>
      <c r="L16" s="503" t="s">
        <v>24</v>
      </c>
      <c r="M16" s="506" t="s">
        <v>25</v>
      </c>
      <c r="N16" s="505" t="str">
        <f>IF(BE6=1,1,"")</f>
        <v/>
      </c>
      <c r="O16" s="503" t="str">
        <f>IF($BE6=2,1,IF($BE6=1,2,""))</f>
        <v/>
      </c>
      <c r="P16" s="504" t="str">
        <f>IF($BE6=3,1,IF($BE6=2,2,IF(BE6=1,3,"")))</f>
        <v/>
      </c>
      <c r="Q16" s="503" t="str">
        <f>IF($BE6=4,1,IF($BE6=3,2,IF(BE6=2,3,IF(BE6=1,4,""))))</f>
        <v/>
      </c>
      <c r="R16" s="504" t="str">
        <f>IF($BE6=5,1,IF($BE6=4,2,IF(BE6=3,3,IF(BE6=2,4,IF(BE6=1,5,"")))))</f>
        <v/>
      </c>
      <c r="S16" s="503"/>
      <c r="T16" s="502"/>
      <c r="U16" s="505"/>
      <c r="V16" s="503"/>
      <c r="W16" s="504"/>
      <c r="X16" s="503"/>
      <c r="Y16" s="504"/>
      <c r="Z16" s="503"/>
      <c r="AA16" s="502"/>
      <c r="AB16" s="505"/>
      <c r="AC16" s="503"/>
      <c r="AD16" s="504"/>
      <c r="AE16" s="503"/>
      <c r="AF16" s="504"/>
      <c r="AG16" s="503"/>
      <c r="AH16" s="502"/>
      <c r="AI16" s="505"/>
      <c r="AJ16" s="503"/>
      <c r="AK16" s="504"/>
      <c r="AL16" s="503"/>
      <c r="AM16" s="504"/>
      <c r="AN16" s="503"/>
      <c r="AO16" s="502"/>
      <c r="AP16" s="505"/>
      <c r="AQ16" s="503"/>
      <c r="AR16" s="504"/>
      <c r="AS16" s="503"/>
      <c r="AT16" s="504"/>
      <c r="AU16" s="503"/>
      <c r="AV16" s="502"/>
      <c r="AW16" s="505"/>
      <c r="AX16" s="503"/>
      <c r="AY16" s="504"/>
      <c r="AZ16" s="503"/>
      <c r="BA16" s="504"/>
      <c r="BB16" s="503"/>
      <c r="BC16" s="502"/>
      <c r="BD16" s="4"/>
      <c r="BE16" s="4"/>
      <c r="BF16" s="4"/>
      <c r="BG16" s="4"/>
      <c r="BH16" s="4"/>
    </row>
    <row r="17" spans="1:60" s="1" customFormat="1" ht="15.75">
      <c r="A17" s="348" t="s">
        <v>120</v>
      </c>
      <c r="B17" s="495">
        <f t="shared" ref="B17:B40" si="0">SUM(N17:R17,U17:Y17,AB17:AF17,AI17:AM17,AP17:AT17,AW17:BA17)</f>
        <v>0</v>
      </c>
      <c r="C17" s="344">
        <f>'Preise RAHH'!B13</f>
        <v>1</v>
      </c>
      <c r="D17" s="343">
        <f>IF(AND($G$9&gt;=$R$9,$G$9&lt;=$T$9),C17*$G$9*$V$9/100,IF(AND($G$9&gt;=$R$8,$G$9&lt;=$T$8),C17*$G$9*$V$8/100,IF(AND($G$9&gt;=$R$7,$G$9&lt;=$T$7),C17*$G$9*$V$7/100,IF($G$9&gt;=$R$10,C17*$G$9*$V$10/100))))</f>
        <v>11</v>
      </c>
      <c r="E17" s="487">
        <f t="shared" ref="E17:E39" si="1">B17*D17*(100+$G$10)/100</f>
        <v>0</v>
      </c>
      <c r="F17" s="495">
        <f t="shared" ref="F17:F40" si="2">SUM(S17,Z17,AG17,AN17,AU17,BB17)</f>
        <v>0</v>
      </c>
      <c r="G17" s="344">
        <f>'Preise RAHH'!D13</f>
        <v>1</v>
      </c>
      <c r="H17" s="501">
        <f>IF(AND($G$9&gt;=$R$9,$G$9&lt;=$T$9),G17*$G$9*$V$9/100,IF(AND($G$9&gt;=$R$8,$G$9&lt;=$T$8),G17*$G$9*$V$8/100,IF(AND($G$9&gt;=$R$7,$G$9&lt;=$T$7),G17*$G$9*$V$7/100,IF($G$9&gt;=$R$10,G17*$G$9*$V$10/100))))</f>
        <v>11</v>
      </c>
      <c r="I17" s="343">
        <f t="shared" ref="I17:I21" si="3">F17*H17*(100+$G$10)/100</f>
        <v>0</v>
      </c>
      <c r="J17" s="495">
        <f t="shared" ref="J17:J40" si="4">SUM(T17,AA17,AH17,AO17,AV17,BC17)</f>
        <v>0</v>
      </c>
      <c r="K17" s="344">
        <f>'Preise RAHH'!F13</f>
        <v>1</v>
      </c>
      <c r="L17" s="501">
        <f>IF(AND($G$9&gt;=$R$9,$G$9&lt;=$T$9),K17*$G$9*$V$9/100,IF(AND($G$9&gt;=$R$8,$G$9&lt;=$T$8),K17*$G$9*$V$8/100,IF(AND($G$9&gt;=$R$7,$G$9&lt;=$T$7),K17*$G$9*$V$7/100,IF($G$9&gt;=$R$10,K17*$G$9*$V$10/100))))</f>
        <v>11</v>
      </c>
      <c r="M17" s="343">
        <f t="shared" ref="M17:M21" si="5">J17*L17*(100+$G$10)/100</f>
        <v>0</v>
      </c>
      <c r="N17" s="500"/>
      <c r="O17" s="499"/>
      <c r="P17" s="499"/>
      <c r="Q17" s="499"/>
      <c r="R17" s="499"/>
      <c r="S17" s="498"/>
      <c r="T17" s="497"/>
      <c r="U17" s="500"/>
      <c r="V17" s="499"/>
      <c r="W17" s="499"/>
      <c r="X17" s="499"/>
      <c r="Y17" s="499"/>
      <c r="Z17" s="498"/>
      <c r="AA17" s="497"/>
      <c r="AB17" s="500"/>
      <c r="AC17" s="499"/>
      <c r="AD17" s="499"/>
      <c r="AE17" s="499"/>
      <c r="AF17" s="499"/>
      <c r="AG17" s="498"/>
      <c r="AH17" s="497"/>
      <c r="AI17" s="500"/>
      <c r="AJ17" s="499"/>
      <c r="AK17" s="499"/>
      <c r="AL17" s="499"/>
      <c r="AM17" s="499"/>
      <c r="AN17" s="498"/>
      <c r="AO17" s="497"/>
      <c r="AP17" s="500"/>
      <c r="AQ17" s="499"/>
      <c r="AR17" s="499"/>
      <c r="AS17" s="499"/>
      <c r="AT17" s="499"/>
      <c r="AU17" s="498"/>
      <c r="AV17" s="497"/>
      <c r="AW17" s="500"/>
      <c r="AX17" s="499"/>
      <c r="AY17" s="499"/>
      <c r="AZ17" s="499"/>
      <c r="BA17" s="499"/>
      <c r="BB17" s="498"/>
      <c r="BC17" s="497"/>
      <c r="BD17" s="2"/>
      <c r="BE17" s="2"/>
      <c r="BF17" s="4">
        <f>IF($AJ7&lt;6000,0,0.025)</f>
        <v>0</v>
      </c>
      <c r="BG17" s="2"/>
      <c r="BH17" s="2"/>
    </row>
    <row r="18" spans="1:60" s="1" customFormat="1" ht="15.75">
      <c r="A18" s="348" t="s">
        <v>119</v>
      </c>
      <c r="B18" s="495">
        <f t="shared" si="0"/>
        <v>0</v>
      </c>
      <c r="C18" s="344">
        <f>'Preise RAHH'!B14</f>
        <v>1</v>
      </c>
      <c r="D18" s="343">
        <f t="shared" ref="D18:D40" si="6">IF(AND($G$9&gt;=$R$9,$G$9&lt;=$T$9),C18*$G$9*$V$9/100,IF(AND($G$9&gt;=$R$8,$G$9&lt;=$T$8),C18*$G$9*$V$8/100,IF(AND($G$9&gt;=$R$7,$G$9&lt;=$T$7),C18*$G$9*$V$7/100,IF($G$9&gt;=$R$10,C18*$G$9*$V$10/100))))</f>
        <v>11</v>
      </c>
      <c r="E18" s="487">
        <f t="shared" si="1"/>
        <v>0</v>
      </c>
      <c r="F18" s="495">
        <f t="shared" si="2"/>
        <v>0</v>
      </c>
      <c r="G18" s="344">
        <f>'Preise RAHH'!D14</f>
        <v>1</v>
      </c>
      <c r="H18" s="395">
        <f t="shared" ref="H18:H40" si="7">IF(AND($G$9&gt;=$R$9,$G$9&lt;=$T$9),G18*$G$9*$V$9/100,IF(AND($G$9&gt;=$R$8,$G$9&lt;=$T$8),G18*$G$9*$V$8/100,IF(AND($G$9&gt;=$R$7,$G$9&lt;=$T$7),G18*$G$9*$V$7/100,IF($G$9&gt;=$R$10,G18*$G$9*$V$10/100))))</f>
        <v>11</v>
      </c>
      <c r="I18" s="343">
        <f t="shared" si="3"/>
        <v>0</v>
      </c>
      <c r="J18" s="495">
        <f t="shared" si="4"/>
        <v>0</v>
      </c>
      <c r="K18" s="344">
        <f>'Preise RAHH'!F14</f>
        <v>1</v>
      </c>
      <c r="L18" s="395">
        <f t="shared" ref="L18:L40" si="8">IF(AND($G$9&gt;=$R$9,$G$9&lt;=$T$9),K18*$G$9*$V$9/100,IF(AND($G$9&gt;=$R$8,$G$9&lt;=$T$8),K18*$G$9*$V$8/100,IF(AND($G$9&gt;=$R$7,$G$9&lt;=$T$7),K18*$G$9*$V$7/100,IF($G$9&gt;=$R$10,K18*$G$9*$V$10/100))))</f>
        <v>11</v>
      </c>
      <c r="M18" s="343">
        <f t="shared" si="5"/>
        <v>0</v>
      </c>
      <c r="N18" s="525"/>
      <c r="O18" s="526"/>
      <c r="P18" s="398"/>
      <c r="Q18" s="398"/>
      <c r="R18" s="398"/>
      <c r="S18" s="527"/>
      <c r="T18" s="528"/>
      <c r="U18" s="525"/>
      <c r="V18" s="526"/>
      <c r="W18" s="398"/>
      <c r="X18" s="398"/>
      <c r="Y18" s="398"/>
      <c r="Z18" s="527"/>
      <c r="AA18" s="528"/>
      <c r="AB18" s="525"/>
      <c r="AC18" s="526"/>
      <c r="AD18" s="398"/>
      <c r="AE18" s="398"/>
      <c r="AF18" s="398"/>
      <c r="AG18" s="527"/>
      <c r="AH18" s="528"/>
      <c r="AI18" s="525"/>
      <c r="AJ18" s="526"/>
      <c r="AK18" s="398"/>
      <c r="AL18" s="398"/>
      <c r="AM18" s="398"/>
      <c r="AN18" s="527"/>
      <c r="AO18" s="528"/>
      <c r="AP18" s="525"/>
      <c r="AQ18" s="526"/>
      <c r="AR18" s="398"/>
      <c r="AS18" s="398"/>
      <c r="AT18" s="398"/>
      <c r="AU18" s="527"/>
      <c r="AV18" s="528"/>
      <c r="AW18" s="525"/>
      <c r="AX18" s="526"/>
      <c r="AY18" s="398"/>
      <c r="AZ18" s="398"/>
      <c r="BA18" s="398"/>
      <c r="BB18" s="527"/>
      <c r="BC18" s="528"/>
      <c r="BD18" s="2"/>
      <c r="BE18" s="2"/>
      <c r="BF18" s="4"/>
      <c r="BG18" s="2"/>
      <c r="BH18" s="2"/>
    </row>
    <row r="19" spans="1:60" s="1" customFormat="1" ht="15.75">
      <c r="A19" s="348" t="s">
        <v>118</v>
      </c>
      <c r="B19" s="495">
        <f t="shared" si="0"/>
        <v>0</v>
      </c>
      <c r="C19" s="344">
        <f>'Preise RAHH'!B15</f>
        <v>1</v>
      </c>
      <c r="D19" s="343">
        <f t="shared" si="6"/>
        <v>11</v>
      </c>
      <c r="E19" s="487">
        <f t="shared" si="1"/>
        <v>0</v>
      </c>
      <c r="F19" s="495">
        <f t="shared" si="2"/>
        <v>0</v>
      </c>
      <c r="G19" s="344">
        <f>'Preise RAHH'!D15</f>
        <v>1</v>
      </c>
      <c r="H19" s="395">
        <f t="shared" si="7"/>
        <v>11</v>
      </c>
      <c r="I19" s="343">
        <f t="shared" si="3"/>
        <v>0</v>
      </c>
      <c r="J19" s="495">
        <f t="shared" si="4"/>
        <v>0</v>
      </c>
      <c r="K19" s="344">
        <f>'Preise RAHH'!F15</f>
        <v>1</v>
      </c>
      <c r="L19" s="395">
        <f t="shared" si="8"/>
        <v>11</v>
      </c>
      <c r="M19" s="343">
        <f t="shared" si="5"/>
        <v>0</v>
      </c>
      <c r="N19" s="525"/>
      <c r="O19" s="526"/>
      <c r="P19" s="398"/>
      <c r="Q19" s="398"/>
      <c r="R19" s="398"/>
      <c r="S19" s="527"/>
      <c r="T19" s="528"/>
      <c r="U19" s="525"/>
      <c r="V19" s="526"/>
      <c r="W19" s="398"/>
      <c r="X19" s="398"/>
      <c r="Y19" s="398"/>
      <c r="Z19" s="527"/>
      <c r="AA19" s="528"/>
      <c r="AB19" s="525"/>
      <c r="AC19" s="526"/>
      <c r="AD19" s="398"/>
      <c r="AE19" s="398"/>
      <c r="AF19" s="398"/>
      <c r="AG19" s="527"/>
      <c r="AH19" s="528"/>
      <c r="AI19" s="525"/>
      <c r="AJ19" s="526"/>
      <c r="AK19" s="398"/>
      <c r="AL19" s="398"/>
      <c r="AM19" s="398"/>
      <c r="AN19" s="527"/>
      <c r="AO19" s="528"/>
      <c r="AP19" s="525"/>
      <c r="AQ19" s="526"/>
      <c r="AR19" s="398"/>
      <c r="AS19" s="398"/>
      <c r="AT19" s="398"/>
      <c r="AU19" s="527"/>
      <c r="AV19" s="528"/>
      <c r="AW19" s="525"/>
      <c r="AX19" s="526"/>
      <c r="AY19" s="398"/>
      <c r="AZ19" s="398"/>
      <c r="BA19" s="398"/>
      <c r="BB19" s="527"/>
      <c r="BC19" s="528"/>
      <c r="BD19" s="2"/>
      <c r="BE19" s="2"/>
      <c r="BF19" s="4"/>
      <c r="BG19" s="2"/>
      <c r="BH19" s="2"/>
    </row>
    <row r="20" spans="1:60" s="1" customFormat="1" ht="15.75">
      <c r="A20" s="348" t="s">
        <v>117</v>
      </c>
      <c r="B20" s="495">
        <f t="shared" si="0"/>
        <v>0</v>
      </c>
      <c r="C20" s="344">
        <f>'Preise RAHH'!B16</f>
        <v>1</v>
      </c>
      <c r="D20" s="343">
        <f t="shared" si="6"/>
        <v>11</v>
      </c>
      <c r="E20" s="487">
        <f t="shared" si="1"/>
        <v>0</v>
      </c>
      <c r="F20" s="495">
        <f t="shared" si="2"/>
        <v>0</v>
      </c>
      <c r="G20" s="344">
        <f>'Preise RAHH'!D16</f>
        <v>1</v>
      </c>
      <c r="H20" s="395">
        <f t="shared" si="7"/>
        <v>11</v>
      </c>
      <c r="I20" s="343">
        <f t="shared" si="3"/>
        <v>0</v>
      </c>
      <c r="J20" s="495">
        <f t="shared" si="4"/>
        <v>0</v>
      </c>
      <c r="K20" s="344">
        <f>'Preise RAHH'!F16</f>
        <v>1</v>
      </c>
      <c r="L20" s="395">
        <f t="shared" si="8"/>
        <v>11</v>
      </c>
      <c r="M20" s="343">
        <f t="shared" si="5"/>
        <v>0</v>
      </c>
      <c r="N20" s="525"/>
      <c r="O20" s="526"/>
      <c r="P20" s="398"/>
      <c r="Q20" s="398"/>
      <c r="R20" s="398"/>
      <c r="S20" s="527"/>
      <c r="T20" s="528"/>
      <c r="U20" s="525"/>
      <c r="V20" s="526"/>
      <c r="W20" s="398"/>
      <c r="X20" s="398"/>
      <c r="Y20" s="398"/>
      <c r="Z20" s="527"/>
      <c r="AA20" s="528"/>
      <c r="AB20" s="525"/>
      <c r="AC20" s="526"/>
      <c r="AD20" s="398"/>
      <c r="AE20" s="398"/>
      <c r="AF20" s="398"/>
      <c r="AG20" s="527"/>
      <c r="AH20" s="528"/>
      <c r="AI20" s="525"/>
      <c r="AJ20" s="526"/>
      <c r="AK20" s="398"/>
      <c r="AL20" s="398"/>
      <c r="AM20" s="398"/>
      <c r="AN20" s="527"/>
      <c r="AO20" s="528"/>
      <c r="AP20" s="525"/>
      <c r="AQ20" s="526"/>
      <c r="AR20" s="398"/>
      <c r="AS20" s="398"/>
      <c r="AT20" s="398"/>
      <c r="AU20" s="527"/>
      <c r="AV20" s="528"/>
      <c r="AW20" s="525"/>
      <c r="AX20" s="526"/>
      <c r="AY20" s="398"/>
      <c r="AZ20" s="398"/>
      <c r="BA20" s="398"/>
      <c r="BB20" s="527"/>
      <c r="BC20" s="528"/>
      <c r="BD20" s="2"/>
      <c r="BE20" s="2"/>
      <c r="BF20" s="4"/>
      <c r="BG20" s="2"/>
      <c r="BH20" s="2"/>
    </row>
    <row r="21" spans="1:60" s="1" customFormat="1" ht="15.75">
      <c r="A21" s="348" t="s">
        <v>116</v>
      </c>
      <c r="B21" s="495">
        <f t="shared" si="0"/>
        <v>0</v>
      </c>
      <c r="C21" s="344">
        <f>'Preise RAHH'!B17</f>
        <v>1</v>
      </c>
      <c r="D21" s="343">
        <f t="shared" si="6"/>
        <v>11</v>
      </c>
      <c r="E21" s="487">
        <f t="shared" si="1"/>
        <v>0</v>
      </c>
      <c r="F21" s="495">
        <f t="shared" si="2"/>
        <v>0</v>
      </c>
      <c r="G21" s="344">
        <f>'Preise RAHH'!D17</f>
        <v>1</v>
      </c>
      <c r="H21" s="395">
        <f t="shared" si="7"/>
        <v>11</v>
      </c>
      <c r="I21" s="343">
        <f t="shared" si="3"/>
        <v>0</v>
      </c>
      <c r="J21" s="495">
        <f t="shared" si="4"/>
        <v>0</v>
      </c>
      <c r="K21" s="344">
        <f>'Preise RAHH'!F17</f>
        <v>1</v>
      </c>
      <c r="L21" s="395">
        <f t="shared" si="8"/>
        <v>11</v>
      </c>
      <c r="M21" s="343">
        <f t="shared" si="5"/>
        <v>0</v>
      </c>
      <c r="N21" s="525"/>
      <c r="O21" s="526"/>
      <c r="P21" s="398"/>
      <c r="Q21" s="398"/>
      <c r="R21" s="398"/>
      <c r="S21" s="527"/>
      <c r="T21" s="528"/>
      <c r="U21" s="525"/>
      <c r="V21" s="526"/>
      <c r="W21" s="398"/>
      <c r="X21" s="398"/>
      <c r="Y21" s="398"/>
      <c r="Z21" s="527"/>
      <c r="AA21" s="528"/>
      <c r="AB21" s="525"/>
      <c r="AC21" s="526"/>
      <c r="AD21" s="398"/>
      <c r="AE21" s="398"/>
      <c r="AF21" s="398"/>
      <c r="AG21" s="527"/>
      <c r="AH21" s="528"/>
      <c r="AI21" s="525"/>
      <c r="AJ21" s="526"/>
      <c r="AK21" s="398"/>
      <c r="AL21" s="398"/>
      <c r="AM21" s="398"/>
      <c r="AN21" s="527"/>
      <c r="AO21" s="528"/>
      <c r="AP21" s="525"/>
      <c r="AQ21" s="526"/>
      <c r="AR21" s="398"/>
      <c r="AS21" s="398"/>
      <c r="AT21" s="398"/>
      <c r="AU21" s="527"/>
      <c r="AV21" s="528"/>
      <c r="AW21" s="525"/>
      <c r="AX21" s="526"/>
      <c r="AY21" s="398"/>
      <c r="AZ21" s="398"/>
      <c r="BA21" s="398"/>
      <c r="BB21" s="527"/>
      <c r="BC21" s="528"/>
      <c r="BD21" s="2"/>
      <c r="BE21" s="2"/>
      <c r="BF21" s="4"/>
      <c r="BG21" s="2"/>
      <c r="BH21" s="2"/>
    </row>
    <row r="22" spans="1:60" s="1" customFormat="1" ht="15.75">
      <c r="A22" s="348" t="s">
        <v>26</v>
      </c>
      <c r="B22" s="495">
        <f t="shared" si="0"/>
        <v>0</v>
      </c>
      <c r="C22" s="344">
        <f>'Preise RAHH'!B18</f>
        <v>5</v>
      </c>
      <c r="D22" s="343">
        <f t="shared" si="6"/>
        <v>55</v>
      </c>
      <c r="E22" s="487">
        <f t="shared" si="1"/>
        <v>0</v>
      </c>
      <c r="F22" s="495">
        <f t="shared" si="2"/>
        <v>0</v>
      </c>
      <c r="G22" s="344">
        <f>'Preise RAHH'!D18</f>
        <v>1</v>
      </c>
      <c r="H22" s="343">
        <f t="shared" si="7"/>
        <v>11</v>
      </c>
      <c r="I22" s="343">
        <f t="shared" ref="I22:I40" si="9">F22*H22*(100+$G$10)/100</f>
        <v>0</v>
      </c>
      <c r="J22" s="495">
        <f t="shared" si="4"/>
        <v>0</v>
      </c>
      <c r="K22" s="344">
        <f>'Preise RAHH'!F18</f>
        <v>2</v>
      </c>
      <c r="L22" s="343">
        <f t="shared" si="8"/>
        <v>22</v>
      </c>
      <c r="M22" s="343">
        <f t="shared" ref="M22:M40" si="10">J22*L22*(100+$G$10)/100</f>
        <v>0</v>
      </c>
      <c r="N22" s="494"/>
      <c r="O22" s="493"/>
      <c r="P22" s="340"/>
      <c r="Q22" s="340"/>
      <c r="R22" s="340"/>
      <c r="S22" s="492"/>
      <c r="T22" s="491"/>
      <c r="U22" s="494"/>
      <c r="V22" s="493"/>
      <c r="W22" s="340"/>
      <c r="X22" s="340"/>
      <c r="Y22" s="340"/>
      <c r="Z22" s="492"/>
      <c r="AA22" s="491"/>
      <c r="AB22" s="494"/>
      <c r="AC22" s="493"/>
      <c r="AD22" s="340"/>
      <c r="AE22" s="340"/>
      <c r="AF22" s="340"/>
      <c r="AG22" s="492"/>
      <c r="AH22" s="491"/>
      <c r="AI22" s="494"/>
      <c r="AJ22" s="493"/>
      <c r="AK22" s="340"/>
      <c r="AL22" s="340"/>
      <c r="AM22" s="340"/>
      <c r="AN22" s="492"/>
      <c r="AO22" s="491"/>
      <c r="AP22" s="494"/>
      <c r="AQ22" s="493"/>
      <c r="AR22" s="340"/>
      <c r="AS22" s="340"/>
      <c r="AT22" s="340"/>
      <c r="AU22" s="492"/>
      <c r="AV22" s="491"/>
      <c r="AW22" s="494"/>
      <c r="AX22" s="493"/>
      <c r="AY22" s="340"/>
      <c r="AZ22" s="340"/>
      <c r="BA22" s="340"/>
      <c r="BB22" s="492"/>
      <c r="BC22" s="491"/>
      <c r="BD22" s="2"/>
      <c r="BE22" s="2"/>
      <c r="BF22" s="4">
        <f>IF($AJ6&lt;9000,0,0.025)</f>
        <v>0</v>
      </c>
      <c r="BG22" s="2"/>
      <c r="BH22" s="2"/>
    </row>
    <row r="23" spans="1:60" s="1" customFormat="1" ht="15.75">
      <c r="A23" s="496" t="s">
        <v>27</v>
      </c>
      <c r="B23" s="495">
        <f t="shared" si="0"/>
        <v>0</v>
      </c>
      <c r="C23" s="344">
        <f>'Preise RAHH'!B19</f>
        <v>13</v>
      </c>
      <c r="D23" s="343">
        <f t="shared" si="6"/>
        <v>143</v>
      </c>
      <c r="E23" s="487">
        <f t="shared" si="1"/>
        <v>0</v>
      </c>
      <c r="F23" s="495">
        <f t="shared" si="2"/>
        <v>0</v>
      </c>
      <c r="G23" s="344">
        <f>'Preise RAHH'!D19</f>
        <v>2</v>
      </c>
      <c r="H23" s="343">
        <f t="shared" si="7"/>
        <v>22</v>
      </c>
      <c r="I23" s="343">
        <f t="shared" si="9"/>
        <v>0</v>
      </c>
      <c r="J23" s="495">
        <f t="shared" si="4"/>
        <v>0</v>
      </c>
      <c r="K23" s="344">
        <f>'Preise RAHH'!F19</f>
        <v>3</v>
      </c>
      <c r="L23" s="343">
        <f t="shared" si="8"/>
        <v>33</v>
      </c>
      <c r="M23" s="343">
        <f t="shared" si="10"/>
        <v>0</v>
      </c>
      <c r="N23" s="494"/>
      <c r="O23" s="493"/>
      <c r="P23" s="340"/>
      <c r="Q23" s="340"/>
      <c r="R23" s="340"/>
      <c r="S23" s="492"/>
      <c r="T23" s="491"/>
      <c r="U23" s="494"/>
      <c r="V23" s="493"/>
      <c r="W23" s="340"/>
      <c r="X23" s="340"/>
      <c r="Y23" s="340"/>
      <c r="Z23" s="492"/>
      <c r="AA23" s="491"/>
      <c r="AB23" s="494"/>
      <c r="AC23" s="493"/>
      <c r="AD23" s="340"/>
      <c r="AE23" s="340"/>
      <c r="AF23" s="340"/>
      <c r="AG23" s="492"/>
      <c r="AH23" s="491"/>
      <c r="AI23" s="494"/>
      <c r="AJ23" s="493"/>
      <c r="AK23" s="340"/>
      <c r="AL23" s="340"/>
      <c r="AM23" s="340"/>
      <c r="AN23" s="492"/>
      <c r="AO23" s="491"/>
      <c r="AP23" s="494"/>
      <c r="AQ23" s="493"/>
      <c r="AR23" s="340"/>
      <c r="AS23" s="340"/>
      <c r="AT23" s="340"/>
      <c r="AU23" s="492"/>
      <c r="AV23" s="491"/>
      <c r="AW23" s="494"/>
      <c r="AX23" s="493"/>
      <c r="AY23" s="340"/>
      <c r="AZ23" s="340"/>
      <c r="BA23" s="340"/>
      <c r="BB23" s="492"/>
      <c r="BC23" s="491"/>
      <c r="BD23" s="2"/>
      <c r="BE23" s="2"/>
      <c r="BF23" s="4">
        <f>IF($AJ7&lt;9000,0,0.025)</f>
        <v>0</v>
      </c>
      <c r="BG23" s="2"/>
      <c r="BH23" s="2"/>
    </row>
    <row r="24" spans="1:60" s="1" customFormat="1" ht="15.75">
      <c r="A24" s="496" t="s">
        <v>28</v>
      </c>
      <c r="B24" s="495">
        <f t="shared" si="0"/>
        <v>0</v>
      </c>
      <c r="C24" s="344">
        <f>'Preise RAHH'!B20</f>
        <v>17</v>
      </c>
      <c r="D24" s="343">
        <f t="shared" si="6"/>
        <v>187</v>
      </c>
      <c r="E24" s="487">
        <f t="shared" si="1"/>
        <v>0</v>
      </c>
      <c r="F24" s="495">
        <f t="shared" si="2"/>
        <v>0</v>
      </c>
      <c r="G24" s="344">
        <f>'Preise RAHH'!D20</f>
        <v>5</v>
      </c>
      <c r="H24" s="343">
        <f t="shared" si="7"/>
        <v>55</v>
      </c>
      <c r="I24" s="343">
        <f t="shared" si="9"/>
        <v>0</v>
      </c>
      <c r="J24" s="495">
        <f t="shared" si="4"/>
        <v>0</v>
      </c>
      <c r="K24" s="344">
        <f>'Preise RAHH'!F20</f>
        <v>4</v>
      </c>
      <c r="L24" s="343">
        <f t="shared" si="8"/>
        <v>44</v>
      </c>
      <c r="M24" s="343">
        <f t="shared" si="10"/>
        <v>0</v>
      </c>
      <c r="N24" s="494"/>
      <c r="O24" s="493"/>
      <c r="P24" s="340"/>
      <c r="Q24" s="340"/>
      <c r="R24" s="340"/>
      <c r="S24" s="492"/>
      <c r="T24" s="491"/>
      <c r="U24" s="494"/>
      <c r="V24" s="493"/>
      <c r="W24" s="340"/>
      <c r="X24" s="340"/>
      <c r="Y24" s="340"/>
      <c r="Z24" s="492"/>
      <c r="AA24" s="491"/>
      <c r="AB24" s="494"/>
      <c r="AC24" s="493"/>
      <c r="AD24" s="340"/>
      <c r="AE24" s="340"/>
      <c r="AF24" s="340"/>
      <c r="AG24" s="492"/>
      <c r="AH24" s="491"/>
      <c r="AI24" s="494"/>
      <c r="AJ24" s="493"/>
      <c r="AK24" s="340"/>
      <c r="AL24" s="340"/>
      <c r="AM24" s="340"/>
      <c r="AN24" s="492"/>
      <c r="AO24" s="491"/>
      <c r="AP24" s="494"/>
      <c r="AQ24" s="493"/>
      <c r="AR24" s="340"/>
      <c r="AS24" s="340"/>
      <c r="AT24" s="340"/>
      <c r="AU24" s="492"/>
      <c r="AV24" s="491"/>
      <c r="AW24" s="494"/>
      <c r="AX24" s="493"/>
      <c r="AY24" s="340"/>
      <c r="AZ24" s="340"/>
      <c r="BA24" s="340"/>
      <c r="BB24" s="492"/>
      <c r="BC24" s="491"/>
      <c r="BD24" s="2"/>
      <c r="BE24" s="2"/>
      <c r="BF24" s="4">
        <f>IF($AJ7&lt;12000,0,0.05)</f>
        <v>0</v>
      </c>
      <c r="BG24" s="2"/>
      <c r="BH24" s="2"/>
    </row>
    <row r="25" spans="1:60" s="1" customFormat="1" ht="15.75">
      <c r="A25" s="496" t="s">
        <v>29</v>
      </c>
      <c r="B25" s="495">
        <f t="shared" si="0"/>
        <v>0</v>
      </c>
      <c r="C25" s="344">
        <f>'Preise RAHH'!B21</f>
        <v>17</v>
      </c>
      <c r="D25" s="343">
        <f t="shared" si="6"/>
        <v>187</v>
      </c>
      <c r="E25" s="487">
        <f t="shared" si="1"/>
        <v>0</v>
      </c>
      <c r="F25" s="495">
        <f t="shared" si="2"/>
        <v>0</v>
      </c>
      <c r="G25" s="344">
        <f>'Preise RAHH'!D21</f>
        <v>7</v>
      </c>
      <c r="H25" s="343">
        <f t="shared" si="7"/>
        <v>77</v>
      </c>
      <c r="I25" s="343">
        <f t="shared" si="9"/>
        <v>0</v>
      </c>
      <c r="J25" s="495">
        <f t="shared" si="4"/>
        <v>0</v>
      </c>
      <c r="K25" s="344">
        <f>'Preise RAHH'!F21</f>
        <v>6</v>
      </c>
      <c r="L25" s="343">
        <f t="shared" si="8"/>
        <v>66</v>
      </c>
      <c r="M25" s="343">
        <f t="shared" si="10"/>
        <v>0</v>
      </c>
      <c r="N25" s="494"/>
      <c r="O25" s="493"/>
      <c r="P25" s="340"/>
      <c r="Q25" s="340"/>
      <c r="R25" s="484"/>
      <c r="S25" s="483"/>
      <c r="T25" s="482"/>
      <c r="U25" s="494"/>
      <c r="V25" s="493"/>
      <c r="W25" s="340"/>
      <c r="X25" s="340"/>
      <c r="Y25" s="340"/>
      <c r="Z25" s="492"/>
      <c r="AA25" s="491"/>
      <c r="AB25" s="494"/>
      <c r="AC25" s="493"/>
      <c r="AD25" s="340"/>
      <c r="AE25" s="340"/>
      <c r="AF25" s="340"/>
      <c r="AG25" s="492"/>
      <c r="AH25" s="491"/>
      <c r="AI25" s="494"/>
      <c r="AJ25" s="493"/>
      <c r="AK25" s="340"/>
      <c r="AL25" s="340"/>
      <c r="AM25" s="340"/>
      <c r="AN25" s="492"/>
      <c r="AO25" s="491"/>
      <c r="AP25" s="494"/>
      <c r="AQ25" s="493"/>
      <c r="AR25" s="340"/>
      <c r="AS25" s="340"/>
      <c r="AT25" s="340"/>
      <c r="AU25" s="492"/>
      <c r="AV25" s="491"/>
      <c r="AW25" s="494"/>
      <c r="AX25" s="493"/>
      <c r="AY25" s="340"/>
      <c r="AZ25" s="340"/>
      <c r="BA25" s="340"/>
      <c r="BB25" s="492"/>
      <c r="BC25" s="491"/>
      <c r="BD25" s="2"/>
      <c r="BE25" s="2"/>
      <c r="BF25" s="2">
        <f>SUM(BF17:BF24)</f>
        <v>0</v>
      </c>
      <c r="BG25" s="55">
        <f>AI8</f>
        <v>0</v>
      </c>
      <c r="BH25" s="2">
        <f>BG25*(1-BF25)</f>
        <v>0</v>
      </c>
    </row>
    <row r="26" spans="1:60" s="1" customFormat="1" ht="15.75">
      <c r="A26" s="496" t="s">
        <v>30</v>
      </c>
      <c r="B26" s="495">
        <f t="shared" si="0"/>
        <v>0</v>
      </c>
      <c r="C26" s="344">
        <f>'Preise RAHH'!B22</f>
        <v>16</v>
      </c>
      <c r="D26" s="343">
        <f t="shared" si="6"/>
        <v>176</v>
      </c>
      <c r="E26" s="487">
        <f t="shared" si="1"/>
        <v>0</v>
      </c>
      <c r="F26" s="495">
        <f t="shared" si="2"/>
        <v>0</v>
      </c>
      <c r="G26" s="344">
        <f>'Preise RAHH'!D22</f>
        <v>12</v>
      </c>
      <c r="H26" s="343">
        <f t="shared" si="7"/>
        <v>132</v>
      </c>
      <c r="I26" s="343">
        <f t="shared" si="9"/>
        <v>0</v>
      </c>
      <c r="J26" s="495">
        <f t="shared" si="4"/>
        <v>0</v>
      </c>
      <c r="K26" s="344">
        <f>'Preise RAHH'!F22</f>
        <v>16</v>
      </c>
      <c r="L26" s="343">
        <f t="shared" si="8"/>
        <v>176</v>
      </c>
      <c r="M26" s="343">
        <f t="shared" si="10"/>
        <v>0</v>
      </c>
      <c r="N26" s="494"/>
      <c r="O26" s="493"/>
      <c r="P26" s="340"/>
      <c r="Q26" s="340"/>
      <c r="R26" s="484"/>
      <c r="S26" s="483"/>
      <c r="T26" s="482"/>
      <c r="U26" s="494"/>
      <c r="V26" s="493"/>
      <c r="W26" s="340"/>
      <c r="X26" s="340"/>
      <c r="Y26" s="340"/>
      <c r="Z26" s="492"/>
      <c r="AA26" s="491"/>
      <c r="AB26" s="494"/>
      <c r="AC26" s="493"/>
      <c r="AD26" s="340"/>
      <c r="AE26" s="340"/>
      <c r="AF26" s="340"/>
      <c r="AG26" s="492"/>
      <c r="AH26" s="491"/>
      <c r="AI26" s="494"/>
      <c r="AJ26" s="493"/>
      <c r="AK26" s="340"/>
      <c r="AL26" s="340"/>
      <c r="AM26" s="340"/>
      <c r="AN26" s="492"/>
      <c r="AO26" s="491"/>
      <c r="AP26" s="494"/>
      <c r="AQ26" s="493"/>
      <c r="AR26" s="340"/>
      <c r="AS26" s="340"/>
      <c r="AT26" s="340"/>
      <c r="AU26" s="492"/>
      <c r="AV26" s="491"/>
      <c r="AW26" s="494"/>
      <c r="AX26" s="493"/>
      <c r="AY26" s="340"/>
      <c r="AZ26" s="340"/>
      <c r="BA26" s="340"/>
      <c r="BB26" s="492"/>
      <c r="BC26" s="491"/>
      <c r="BD26" s="2"/>
      <c r="BE26" s="2"/>
      <c r="BF26" s="2"/>
      <c r="BG26" s="2"/>
      <c r="BH26" s="2"/>
    </row>
    <row r="27" spans="1:60" s="1" customFormat="1" ht="15.75">
      <c r="A27" s="496" t="s">
        <v>31</v>
      </c>
      <c r="B27" s="495">
        <f t="shared" si="0"/>
        <v>0</v>
      </c>
      <c r="C27" s="344">
        <f>'Preise RAHH'!B23</f>
        <v>13</v>
      </c>
      <c r="D27" s="343">
        <f t="shared" si="6"/>
        <v>143</v>
      </c>
      <c r="E27" s="487">
        <f t="shared" si="1"/>
        <v>0</v>
      </c>
      <c r="F27" s="495">
        <f t="shared" si="2"/>
        <v>0</v>
      </c>
      <c r="G27" s="344">
        <f>'Preise RAHH'!D23</f>
        <v>12</v>
      </c>
      <c r="H27" s="343">
        <f t="shared" si="7"/>
        <v>132</v>
      </c>
      <c r="I27" s="343">
        <f t="shared" si="9"/>
        <v>0</v>
      </c>
      <c r="J27" s="495">
        <f t="shared" si="4"/>
        <v>0</v>
      </c>
      <c r="K27" s="344">
        <f>'Preise RAHH'!F23</f>
        <v>11</v>
      </c>
      <c r="L27" s="343">
        <f t="shared" si="8"/>
        <v>121</v>
      </c>
      <c r="M27" s="343">
        <f t="shared" si="10"/>
        <v>0</v>
      </c>
      <c r="N27" s="494"/>
      <c r="O27" s="493"/>
      <c r="P27" s="340"/>
      <c r="Q27" s="340"/>
      <c r="R27" s="484"/>
      <c r="S27" s="483"/>
      <c r="T27" s="482"/>
      <c r="U27" s="494"/>
      <c r="V27" s="493"/>
      <c r="W27" s="340"/>
      <c r="X27" s="340"/>
      <c r="Y27" s="340"/>
      <c r="Z27" s="492"/>
      <c r="AA27" s="491"/>
      <c r="AB27" s="494"/>
      <c r="AC27" s="493"/>
      <c r="AD27" s="340"/>
      <c r="AE27" s="340"/>
      <c r="AF27" s="340"/>
      <c r="AG27" s="492"/>
      <c r="AH27" s="491"/>
      <c r="AI27" s="494"/>
      <c r="AJ27" s="493"/>
      <c r="AK27" s="340"/>
      <c r="AL27" s="340"/>
      <c r="AM27" s="340"/>
      <c r="AN27" s="492"/>
      <c r="AO27" s="491"/>
      <c r="AP27" s="494"/>
      <c r="AQ27" s="493"/>
      <c r="AR27" s="340"/>
      <c r="AS27" s="340"/>
      <c r="AT27" s="340"/>
      <c r="AU27" s="492"/>
      <c r="AV27" s="491"/>
      <c r="AW27" s="494"/>
      <c r="AX27" s="493"/>
      <c r="AY27" s="340"/>
      <c r="AZ27" s="340"/>
      <c r="BA27" s="340"/>
      <c r="BB27" s="492"/>
      <c r="BC27" s="491"/>
      <c r="BD27" s="2"/>
      <c r="BE27" s="2"/>
      <c r="BF27" s="2"/>
      <c r="BG27" s="2"/>
      <c r="BH27" s="2"/>
    </row>
    <row r="28" spans="1:60" s="1" customFormat="1" ht="15.75">
      <c r="A28" s="496" t="s">
        <v>32</v>
      </c>
      <c r="B28" s="495">
        <f t="shared" si="0"/>
        <v>0</v>
      </c>
      <c r="C28" s="344">
        <f>'Preise RAHH'!B24</f>
        <v>13</v>
      </c>
      <c r="D28" s="343">
        <f t="shared" si="6"/>
        <v>143</v>
      </c>
      <c r="E28" s="487">
        <f t="shared" si="1"/>
        <v>0</v>
      </c>
      <c r="F28" s="495">
        <f t="shared" si="2"/>
        <v>0</v>
      </c>
      <c r="G28" s="344">
        <f>'Preise RAHH'!D24</f>
        <v>9</v>
      </c>
      <c r="H28" s="343">
        <f t="shared" si="7"/>
        <v>99</v>
      </c>
      <c r="I28" s="343">
        <f t="shared" si="9"/>
        <v>0</v>
      </c>
      <c r="J28" s="495">
        <f t="shared" si="4"/>
        <v>0</v>
      </c>
      <c r="K28" s="344">
        <f>'Preise RAHH'!F24</f>
        <v>7</v>
      </c>
      <c r="L28" s="343">
        <f t="shared" si="8"/>
        <v>77</v>
      </c>
      <c r="M28" s="343">
        <f t="shared" si="10"/>
        <v>0</v>
      </c>
      <c r="N28" s="494"/>
      <c r="O28" s="493"/>
      <c r="P28" s="340"/>
      <c r="Q28" s="340"/>
      <c r="R28" s="484"/>
      <c r="S28" s="483"/>
      <c r="T28" s="482"/>
      <c r="U28" s="494"/>
      <c r="V28" s="493"/>
      <c r="W28" s="340"/>
      <c r="X28" s="340"/>
      <c r="Y28" s="340"/>
      <c r="Z28" s="492"/>
      <c r="AA28" s="491"/>
      <c r="AB28" s="494"/>
      <c r="AC28" s="493"/>
      <c r="AD28" s="340"/>
      <c r="AE28" s="340"/>
      <c r="AF28" s="340"/>
      <c r="AG28" s="492"/>
      <c r="AH28" s="491"/>
      <c r="AI28" s="494"/>
      <c r="AJ28" s="493"/>
      <c r="AK28" s="340"/>
      <c r="AL28" s="340"/>
      <c r="AM28" s="340"/>
      <c r="AN28" s="492"/>
      <c r="AO28" s="491"/>
      <c r="AP28" s="494"/>
      <c r="AQ28" s="493"/>
      <c r="AR28" s="340"/>
      <c r="AS28" s="340"/>
      <c r="AT28" s="340"/>
      <c r="AU28" s="492"/>
      <c r="AV28" s="491"/>
      <c r="AW28" s="494"/>
      <c r="AX28" s="493"/>
      <c r="AY28" s="340"/>
      <c r="AZ28" s="340"/>
      <c r="BA28" s="340"/>
      <c r="BB28" s="492"/>
      <c r="BC28" s="491"/>
      <c r="BD28" s="2"/>
      <c r="BE28" s="2"/>
      <c r="BF28" s="2"/>
      <c r="BG28" s="2"/>
      <c r="BH28" s="2"/>
    </row>
    <row r="29" spans="1:60" s="1" customFormat="1" ht="15.75">
      <c r="A29" s="496" t="s">
        <v>33</v>
      </c>
      <c r="B29" s="495">
        <f t="shared" si="0"/>
        <v>0</v>
      </c>
      <c r="C29" s="344">
        <f>'Preise RAHH'!B25</f>
        <v>13</v>
      </c>
      <c r="D29" s="343">
        <f t="shared" si="6"/>
        <v>143</v>
      </c>
      <c r="E29" s="487">
        <f t="shared" si="1"/>
        <v>0</v>
      </c>
      <c r="F29" s="495">
        <f t="shared" si="2"/>
        <v>0</v>
      </c>
      <c r="G29" s="344">
        <f>'Preise RAHH'!D25</f>
        <v>8</v>
      </c>
      <c r="H29" s="343">
        <f t="shared" si="7"/>
        <v>88</v>
      </c>
      <c r="I29" s="343">
        <f t="shared" si="9"/>
        <v>0</v>
      </c>
      <c r="J29" s="495">
        <f t="shared" si="4"/>
        <v>0</v>
      </c>
      <c r="K29" s="344">
        <f>'Preise RAHH'!F25</f>
        <v>9</v>
      </c>
      <c r="L29" s="343">
        <f t="shared" si="8"/>
        <v>99</v>
      </c>
      <c r="M29" s="343">
        <f t="shared" si="10"/>
        <v>0</v>
      </c>
      <c r="N29" s="494"/>
      <c r="O29" s="493"/>
      <c r="P29" s="340"/>
      <c r="Q29" s="340"/>
      <c r="R29" s="484"/>
      <c r="S29" s="483"/>
      <c r="T29" s="482"/>
      <c r="U29" s="494"/>
      <c r="V29" s="493"/>
      <c r="W29" s="340"/>
      <c r="X29" s="340"/>
      <c r="Y29" s="340"/>
      <c r="Z29" s="492"/>
      <c r="AA29" s="491"/>
      <c r="AB29" s="494"/>
      <c r="AC29" s="493"/>
      <c r="AD29" s="340"/>
      <c r="AE29" s="340"/>
      <c r="AF29" s="340"/>
      <c r="AG29" s="492"/>
      <c r="AH29" s="491"/>
      <c r="AI29" s="494"/>
      <c r="AJ29" s="493"/>
      <c r="AK29" s="340"/>
      <c r="AL29" s="340"/>
      <c r="AM29" s="340"/>
      <c r="AN29" s="492"/>
      <c r="AO29" s="491"/>
      <c r="AP29" s="494"/>
      <c r="AQ29" s="493"/>
      <c r="AR29" s="340"/>
      <c r="AS29" s="340"/>
      <c r="AT29" s="340"/>
      <c r="AU29" s="492"/>
      <c r="AV29" s="491"/>
      <c r="AW29" s="494"/>
      <c r="AX29" s="493"/>
      <c r="AY29" s="340"/>
      <c r="AZ29" s="340"/>
      <c r="BA29" s="340"/>
      <c r="BB29" s="492"/>
      <c r="BC29" s="491"/>
      <c r="BD29" s="2"/>
      <c r="BE29" s="2"/>
      <c r="BF29" s="2"/>
      <c r="BG29" s="2"/>
      <c r="BH29" s="2"/>
    </row>
    <row r="30" spans="1:60" s="1" customFormat="1" ht="15.75">
      <c r="A30" s="496" t="s">
        <v>34</v>
      </c>
      <c r="B30" s="495">
        <f t="shared" si="0"/>
        <v>0</v>
      </c>
      <c r="C30" s="344">
        <f>'Preise RAHH'!B26</f>
        <v>12</v>
      </c>
      <c r="D30" s="343">
        <f t="shared" si="6"/>
        <v>132</v>
      </c>
      <c r="E30" s="487">
        <f t="shared" si="1"/>
        <v>0</v>
      </c>
      <c r="F30" s="495">
        <f t="shared" si="2"/>
        <v>0</v>
      </c>
      <c r="G30" s="344">
        <f>'Preise RAHH'!D26</f>
        <v>9</v>
      </c>
      <c r="H30" s="343">
        <f t="shared" si="7"/>
        <v>99</v>
      </c>
      <c r="I30" s="343">
        <f t="shared" si="9"/>
        <v>0</v>
      </c>
      <c r="J30" s="495">
        <f t="shared" si="4"/>
        <v>0</v>
      </c>
      <c r="K30" s="344">
        <f>'Preise RAHH'!F26</f>
        <v>9</v>
      </c>
      <c r="L30" s="343">
        <f t="shared" si="8"/>
        <v>99</v>
      </c>
      <c r="M30" s="343">
        <f t="shared" si="10"/>
        <v>0</v>
      </c>
      <c r="N30" s="494"/>
      <c r="O30" s="493"/>
      <c r="P30" s="340"/>
      <c r="Q30" s="340"/>
      <c r="R30" s="484"/>
      <c r="S30" s="483"/>
      <c r="T30" s="482"/>
      <c r="U30" s="494"/>
      <c r="V30" s="493"/>
      <c r="W30" s="340"/>
      <c r="X30" s="340"/>
      <c r="Y30" s="340"/>
      <c r="Z30" s="492"/>
      <c r="AA30" s="491"/>
      <c r="AB30" s="494"/>
      <c r="AC30" s="493"/>
      <c r="AD30" s="340"/>
      <c r="AE30" s="340"/>
      <c r="AF30" s="340"/>
      <c r="AG30" s="492"/>
      <c r="AH30" s="491"/>
      <c r="AI30" s="494"/>
      <c r="AJ30" s="493"/>
      <c r="AK30" s="340"/>
      <c r="AL30" s="340"/>
      <c r="AM30" s="340"/>
      <c r="AN30" s="492"/>
      <c r="AO30" s="491"/>
      <c r="AP30" s="494"/>
      <c r="AQ30" s="493"/>
      <c r="AR30" s="340"/>
      <c r="AS30" s="340"/>
      <c r="AT30" s="340"/>
      <c r="AU30" s="492"/>
      <c r="AV30" s="491"/>
      <c r="AW30" s="494"/>
      <c r="AX30" s="493"/>
      <c r="AY30" s="340"/>
      <c r="AZ30" s="340"/>
      <c r="BA30" s="340"/>
      <c r="BB30" s="492"/>
      <c r="BC30" s="491"/>
      <c r="BD30" s="2"/>
      <c r="BE30" s="2"/>
      <c r="BF30" s="2"/>
      <c r="BG30" s="2"/>
      <c r="BH30" s="2"/>
    </row>
    <row r="31" spans="1:60" s="1" customFormat="1" ht="15.75">
      <c r="A31" s="496" t="s">
        <v>35</v>
      </c>
      <c r="B31" s="495">
        <f t="shared" si="0"/>
        <v>0</v>
      </c>
      <c r="C31" s="344">
        <f>'Preise RAHH'!B27</f>
        <v>12</v>
      </c>
      <c r="D31" s="343">
        <f t="shared" si="6"/>
        <v>132</v>
      </c>
      <c r="E31" s="487">
        <f t="shared" si="1"/>
        <v>0</v>
      </c>
      <c r="F31" s="495">
        <f t="shared" si="2"/>
        <v>0</v>
      </c>
      <c r="G31" s="344">
        <f>'Preise RAHH'!D27</f>
        <v>8</v>
      </c>
      <c r="H31" s="343">
        <f t="shared" si="7"/>
        <v>88</v>
      </c>
      <c r="I31" s="343">
        <f t="shared" si="9"/>
        <v>0</v>
      </c>
      <c r="J31" s="495">
        <f t="shared" si="4"/>
        <v>0</v>
      </c>
      <c r="K31" s="344">
        <f>'Preise RAHH'!F27</f>
        <v>9</v>
      </c>
      <c r="L31" s="343">
        <f t="shared" si="8"/>
        <v>99</v>
      </c>
      <c r="M31" s="343">
        <f t="shared" si="10"/>
        <v>0</v>
      </c>
      <c r="N31" s="494"/>
      <c r="O31" s="493"/>
      <c r="P31" s="340"/>
      <c r="Q31" s="340"/>
      <c r="R31" s="484"/>
      <c r="S31" s="483"/>
      <c r="T31" s="482"/>
      <c r="U31" s="494"/>
      <c r="V31" s="493"/>
      <c r="W31" s="340"/>
      <c r="X31" s="340"/>
      <c r="Y31" s="340"/>
      <c r="Z31" s="492"/>
      <c r="AA31" s="491"/>
      <c r="AB31" s="494"/>
      <c r="AC31" s="493"/>
      <c r="AD31" s="340"/>
      <c r="AE31" s="340"/>
      <c r="AF31" s="340"/>
      <c r="AG31" s="492"/>
      <c r="AH31" s="491"/>
      <c r="AI31" s="494"/>
      <c r="AJ31" s="493"/>
      <c r="AK31" s="340"/>
      <c r="AL31" s="340"/>
      <c r="AM31" s="340"/>
      <c r="AN31" s="492"/>
      <c r="AO31" s="491"/>
      <c r="AP31" s="494"/>
      <c r="AQ31" s="493"/>
      <c r="AR31" s="340"/>
      <c r="AS31" s="340"/>
      <c r="AT31" s="340"/>
      <c r="AU31" s="492"/>
      <c r="AV31" s="491"/>
      <c r="AW31" s="494"/>
      <c r="AX31" s="493"/>
      <c r="AY31" s="340"/>
      <c r="AZ31" s="340"/>
      <c r="BA31" s="340"/>
      <c r="BB31" s="492"/>
      <c r="BC31" s="491"/>
      <c r="BD31" s="2"/>
      <c r="BE31" s="2"/>
      <c r="BF31" s="2"/>
      <c r="BG31" s="2"/>
      <c r="BH31" s="2"/>
    </row>
    <row r="32" spans="1:60" s="1" customFormat="1" ht="15.75">
      <c r="A32" s="496" t="s">
        <v>36</v>
      </c>
      <c r="B32" s="495">
        <f t="shared" si="0"/>
        <v>0</v>
      </c>
      <c r="C32" s="344">
        <f>'Preise RAHH'!B28</f>
        <v>12</v>
      </c>
      <c r="D32" s="343">
        <f t="shared" si="6"/>
        <v>132</v>
      </c>
      <c r="E32" s="487">
        <f t="shared" si="1"/>
        <v>0</v>
      </c>
      <c r="F32" s="495">
        <f t="shared" si="2"/>
        <v>0</v>
      </c>
      <c r="G32" s="344">
        <f>'Preise RAHH'!D28</f>
        <v>8</v>
      </c>
      <c r="H32" s="343">
        <f t="shared" si="7"/>
        <v>88</v>
      </c>
      <c r="I32" s="343">
        <f t="shared" si="9"/>
        <v>0</v>
      </c>
      <c r="J32" s="495">
        <f t="shared" si="4"/>
        <v>0</v>
      </c>
      <c r="K32" s="344">
        <f>'Preise RAHH'!F28</f>
        <v>9</v>
      </c>
      <c r="L32" s="343">
        <f t="shared" si="8"/>
        <v>99</v>
      </c>
      <c r="M32" s="343">
        <f t="shared" si="10"/>
        <v>0</v>
      </c>
      <c r="N32" s="494"/>
      <c r="O32" s="493"/>
      <c r="P32" s="340"/>
      <c r="Q32" s="340"/>
      <c r="R32" s="484"/>
      <c r="S32" s="483"/>
      <c r="T32" s="482"/>
      <c r="U32" s="494"/>
      <c r="V32" s="493"/>
      <c r="W32" s="340"/>
      <c r="X32" s="340"/>
      <c r="Y32" s="340"/>
      <c r="Z32" s="492"/>
      <c r="AA32" s="491"/>
      <c r="AB32" s="494"/>
      <c r="AC32" s="493"/>
      <c r="AD32" s="340"/>
      <c r="AE32" s="340"/>
      <c r="AF32" s="340"/>
      <c r="AG32" s="492"/>
      <c r="AH32" s="491"/>
      <c r="AI32" s="494"/>
      <c r="AJ32" s="493"/>
      <c r="AK32" s="340"/>
      <c r="AL32" s="340"/>
      <c r="AM32" s="340"/>
      <c r="AN32" s="492"/>
      <c r="AO32" s="491"/>
      <c r="AP32" s="494"/>
      <c r="AQ32" s="493"/>
      <c r="AR32" s="340"/>
      <c r="AS32" s="340"/>
      <c r="AT32" s="340"/>
      <c r="AU32" s="492"/>
      <c r="AV32" s="491"/>
      <c r="AW32" s="494"/>
      <c r="AX32" s="493"/>
      <c r="AY32" s="340"/>
      <c r="AZ32" s="340"/>
      <c r="BA32" s="340"/>
      <c r="BB32" s="492"/>
      <c r="BC32" s="491"/>
      <c r="BD32" s="2"/>
      <c r="BE32" s="2"/>
      <c r="BF32" s="2"/>
      <c r="BG32" s="2"/>
      <c r="BH32" s="2"/>
    </row>
    <row r="33" spans="1:60" s="1" customFormat="1" ht="15.75">
      <c r="A33" s="496" t="s">
        <v>37</v>
      </c>
      <c r="B33" s="495">
        <f t="shared" si="0"/>
        <v>0</v>
      </c>
      <c r="C33" s="344">
        <f>'Preise RAHH'!B29</f>
        <v>15</v>
      </c>
      <c r="D33" s="343">
        <f t="shared" si="6"/>
        <v>165</v>
      </c>
      <c r="E33" s="487">
        <f t="shared" si="1"/>
        <v>0</v>
      </c>
      <c r="F33" s="495">
        <f t="shared" si="2"/>
        <v>0</v>
      </c>
      <c r="G33" s="344">
        <f>'Preise RAHH'!D29</f>
        <v>8</v>
      </c>
      <c r="H33" s="343">
        <f t="shared" si="7"/>
        <v>88</v>
      </c>
      <c r="I33" s="343">
        <f t="shared" si="9"/>
        <v>0</v>
      </c>
      <c r="J33" s="495">
        <f t="shared" si="4"/>
        <v>0</v>
      </c>
      <c r="K33" s="344">
        <f>'Preise RAHH'!F29</f>
        <v>7</v>
      </c>
      <c r="L33" s="343">
        <f t="shared" si="8"/>
        <v>77</v>
      </c>
      <c r="M33" s="343">
        <f t="shared" si="10"/>
        <v>0</v>
      </c>
      <c r="N33" s="494"/>
      <c r="O33" s="493"/>
      <c r="P33" s="340"/>
      <c r="Q33" s="340"/>
      <c r="R33" s="484"/>
      <c r="S33" s="483"/>
      <c r="T33" s="482"/>
      <c r="U33" s="494"/>
      <c r="V33" s="493"/>
      <c r="W33" s="340"/>
      <c r="X33" s="340"/>
      <c r="Y33" s="340"/>
      <c r="Z33" s="492"/>
      <c r="AA33" s="491"/>
      <c r="AB33" s="494"/>
      <c r="AC33" s="493"/>
      <c r="AD33" s="340"/>
      <c r="AE33" s="340"/>
      <c r="AF33" s="340"/>
      <c r="AG33" s="492"/>
      <c r="AH33" s="491"/>
      <c r="AI33" s="494"/>
      <c r="AJ33" s="493"/>
      <c r="AK33" s="340"/>
      <c r="AL33" s="340"/>
      <c r="AM33" s="340"/>
      <c r="AN33" s="492"/>
      <c r="AO33" s="491"/>
      <c r="AP33" s="494"/>
      <c r="AQ33" s="493"/>
      <c r="AR33" s="340"/>
      <c r="AS33" s="340"/>
      <c r="AT33" s="340"/>
      <c r="AU33" s="492"/>
      <c r="AV33" s="491"/>
      <c r="AW33" s="494"/>
      <c r="AX33" s="493"/>
      <c r="AY33" s="340"/>
      <c r="AZ33" s="340"/>
      <c r="BA33" s="340"/>
      <c r="BB33" s="492"/>
      <c r="BC33" s="491"/>
      <c r="BD33" s="2"/>
      <c r="BE33" s="2"/>
      <c r="BF33" s="2"/>
      <c r="BG33" s="2"/>
      <c r="BH33" s="2"/>
    </row>
    <row r="34" spans="1:60" s="1" customFormat="1" ht="15.75">
      <c r="A34" s="496" t="s">
        <v>38</v>
      </c>
      <c r="B34" s="495">
        <f t="shared" si="0"/>
        <v>0</v>
      </c>
      <c r="C34" s="344">
        <f>'Preise RAHH'!B30</f>
        <v>9</v>
      </c>
      <c r="D34" s="343">
        <f t="shared" si="6"/>
        <v>99</v>
      </c>
      <c r="E34" s="487">
        <f t="shared" si="1"/>
        <v>0</v>
      </c>
      <c r="F34" s="495">
        <f t="shared" si="2"/>
        <v>0</v>
      </c>
      <c r="G34" s="344">
        <f>'Preise RAHH'!D30</f>
        <v>8</v>
      </c>
      <c r="H34" s="343">
        <f t="shared" si="7"/>
        <v>88</v>
      </c>
      <c r="I34" s="343">
        <f t="shared" si="9"/>
        <v>0</v>
      </c>
      <c r="J34" s="495">
        <f t="shared" si="4"/>
        <v>0</v>
      </c>
      <c r="K34" s="344">
        <f>'Preise RAHH'!F30</f>
        <v>6</v>
      </c>
      <c r="L34" s="343">
        <f t="shared" si="8"/>
        <v>66</v>
      </c>
      <c r="M34" s="343">
        <f t="shared" si="10"/>
        <v>0</v>
      </c>
      <c r="N34" s="494"/>
      <c r="O34" s="493"/>
      <c r="P34" s="340"/>
      <c r="Q34" s="340"/>
      <c r="R34" s="484"/>
      <c r="S34" s="483"/>
      <c r="T34" s="482"/>
      <c r="U34" s="494"/>
      <c r="V34" s="493"/>
      <c r="W34" s="340"/>
      <c r="X34" s="340"/>
      <c r="Y34" s="340"/>
      <c r="Z34" s="492"/>
      <c r="AA34" s="491"/>
      <c r="AB34" s="494"/>
      <c r="AC34" s="493"/>
      <c r="AD34" s="340"/>
      <c r="AE34" s="340"/>
      <c r="AF34" s="340"/>
      <c r="AG34" s="492"/>
      <c r="AH34" s="491"/>
      <c r="AI34" s="494"/>
      <c r="AJ34" s="493"/>
      <c r="AK34" s="340"/>
      <c r="AL34" s="340"/>
      <c r="AM34" s="340"/>
      <c r="AN34" s="492"/>
      <c r="AO34" s="491"/>
      <c r="AP34" s="494"/>
      <c r="AQ34" s="493"/>
      <c r="AR34" s="340"/>
      <c r="AS34" s="340"/>
      <c r="AT34" s="340"/>
      <c r="AU34" s="492"/>
      <c r="AV34" s="491"/>
      <c r="AW34" s="494"/>
      <c r="AX34" s="493"/>
      <c r="AY34" s="340"/>
      <c r="AZ34" s="340"/>
      <c r="BA34" s="340"/>
      <c r="BB34" s="492"/>
      <c r="BC34" s="491"/>
      <c r="BD34" s="2"/>
      <c r="BE34" s="2"/>
      <c r="BF34" s="2"/>
      <c r="BG34" s="2"/>
      <c r="BH34" s="2"/>
    </row>
    <row r="35" spans="1:60" s="1" customFormat="1" ht="15.75">
      <c r="A35" s="496" t="s">
        <v>39</v>
      </c>
      <c r="B35" s="495">
        <f t="shared" si="0"/>
        <v>0</v>
      </c>
      <c r="C35" s="344">
        <f>'Preise RAHH'!B31</f>
        <v>9</v>
      </c>
      <c r="D35" s="343">
        <f t="shared" si="6"/>
        <v>99</v>
      </c>
      <c r="E35" s="487">
        <f t="shared" si="1"/>
        <v>0</v>
      </c>
      <c r="F35" s="495">
        <f t="shared" si="2"/>
        <v>0</v>
      </c>
      <c r="G35" s="344">
        <f>'Preise RAHH'!D31</f>
        <v>5</v>
      </c>
      <c r="H35" s="343">
        <f t="shared" si="7"/>
        <v>55</v>
      </c>
      <c r="I35" s="343">
        <f t="shared" si="9"/>
        <v>0</v>
      </c>
      <c r="J35" s="495">
        <f t="shared" si="4"/>
        <v>0</v>
      </c>
      <c r="K35" s="344">
        <f>'Preise RAHH'!F31</f>
        <v>6</v>
      </c>
      <c r="L35" s="343">
        <f t="shared" si="8"/>
        <v>66</v>
      </c>
      <c r="M35" s="343">
        <f t="shared" si="10"/>
        <v>0</v>
      </c>
      <c r="N35" s="494"/>
      <c r="O35" s="493"/>
      <c r="P35" s="340"/>
      <c r="Q35" s="340"/>
      <c r="R35" s="484"/>
      <c r="S35" s="483"/>
      <c r="T35" s="482"/>
      <c r="U35" s="494"/>
      <c r="V35" s="493"/>
      <c r="W35" s="340"/>
      <c r="X35" s="340"/>
      <c r="Y35" s="340"/>
      <c r="Z35" s="492"/>
      <c r="AA35" s="491"/>
      <c r="AB35" s="494"/>
      <c r="AC35" s="493"/>
      <c r="AD35" s="340"/>
      <c r="AE35" s="340"/>
      <c r="AF35" s="340"/>
      <c r="AG35" s="492"/>
      <c r="AH35" s="491"/>
      <c r="AI35" s="494"/>
      <c r="AJ35" s="493"/>
      <c r="AK35" s="340"/>
      <c r="AL35" s="340"/>
      <c r="AM35" s="340"/>
      <c r="AN35" s="492"/>
      <c r="AO35" s="491"/>
      <c r="AP35" s="494"/>
      <c r="AQ35" s="493"/>
      <c r="AR35" s="340"/>
      <c r="AS35" s="340"/>
      <c r="AT35" s="340"/>
      <c r="AU35" s="492"/>
      <c r="AV35" s="491"/>
      <c r="AW35" s="494"/>
      <c r="AX35" s="493"/>
      <c r="AY35" s="340"/>
      <c r="AZ35" s="340"/>
      <c r="BA35" s="340"/>
      <c r="BB35" s="492"/>
      <c r="BC35" s="491"/>
      <c r="BD35" s="2"/>
      <c r="BE35" s="2"/>
      <c r="BF35" s="2"/>
      <c r="BG35" s="2"/>
      <c r="BH35" s="2"/>
    </row>
    <row r="36" spans="1:60" s="1" customFormat="1" ht="15.75">
      <c r="A36" s="496" t="s">
        <v>40</v>
      </c>
      <c r="B36" s="495">
        <f t="shared" si="0"/>
        <v>0</v>
      </c>
      <c r="C36" s="344">
        <f>'Preise RAHH'!B32</f>
        <v>6</v>
      </c>
      <c r="D36" s="343">
        <f t="shared" si="6"/>
        <v>66</v>
      </c>
      <c r="E36" s="487">
        <f t="shared" si="1"/>
        <v>0</v>
      </c>
      <c r="F36" s="495">
        <f t="shared" si="2"/>
        <v>0</v>
      </c>
      <c r="G36" s="344">
        <f>'Preise RAHH'!D32</f>
        <v>3</v>
      </c>
      <c r="H36" s="343">
        <f t="shared" si="7"/>
        <v>33</v>
      </c>
      <c r="I36" s="343">
        <f t="shared" si="9"/>
        <v>0</v>
      </c>
      <c r="J36" s="495">
        <f t="shared" si="4"/>
        <v>0</v>
      </c>
      <c r="K36" s="344">
        <f>'Preise RAHH'!F32</f>
        <v>3</v>
      </c>
      <c r="L36" s="343">
        <f t="shared" si="8"/>
        <v>33</v>
      </c>
      <c r="M36" s="343">
        <f t="shared" si="10"/>
        <v>0</v>
      </c>
      <c r="N36" s="494"/>
      <c r="O36" s="493"/>
      <c r="P36" s="340"/>
      <c r="Q36" s="340"/>
      <c r="R36" s="484"/>
      <c r="S36" s="483"/>
      <c r="T36" s="482"/>
      <c r="U36" s="494"/>
      <c r="V36" s="493"/>
      <c r="W36" s="340"/>
      <c r="X36" s="340"/>
      <c r="Y36" s="340"/>
      <c r="Z36" s="492"/>
      <c r="AA36" s="491"/>
      <c r="AB36" s="494"/>
      <c r="AC36" s="493"/>
      <c r="AD36" s="340"/>
      <c r="AE36" s="340"/>
      <c r="AF36" s="340"/>
      <c r="AG36" s="492"/>
      <c r="AH36" s="491"/>
      <c r="AI36" s="494"/>
      <c r="AJ36" s="493"/>
      <c r="AK36" s="340"/>
      <c r="AL36" s="340"/>
      <c r="AM36" s="340"/>
      <c r="AN36" s="492"/>
      <c r="AO36" s="491"/>
      <c r="AP36" s="494"/>
      <c r="AQ36" s="493"/>
      <c r="AR36" s="340"/>
      <c r="AS36" s="340"/>
      <c r="AT36" s="340"/>
      <c r="AU36" s="492"/>
      <c r="AV36" s="491"/>
      <c r="AW36" s="494"/>
      <c r="AX36" s="493"/>
      <c r="AY36" s="340"/>
      <c r="AZ36" s="340"/>
      <c r="BA36" s="340"/>
      <c r="BB36" s="492"/>
      <c r="BC36" s="491"/>
      <c r="BD36" s="2"/>
      <c r="BE36" s="2"/>
      <c r="BF36" s="2"/>
      <c r="BG36" s="2"/>
      <c r="BH36" s="2"/>
    </row>
    <row r="37" spans="1:60" s="1" customFormat="1" ht="15.75">
      <c r="A37" s="496" t="s">
        <v>41</v>
      </c>
      <c r="B37" s="495">
        <f t="shared" si="0"/>
        <v>0</v>
      </c>
      <c r="C37" s="344">
        <f>'Preise RAHH'!B33</f>
        <v>2</v>
      </c>
      <c r="D37" s="343">
        <f t="shared" si="6"/>
        <v>22</v>
      </c>
      <c r="E37" s="487">
        <f t="shared" si="1"/>
        <v>0</v>
      </c>
      <c r="F37" s="495">
        <f t="shared" si="2"/>
        <v>0</v>
      </c>
      <c r="G37" s="344">
        <f>'Preise RAHH'!D33</f>
        <v>2</v>
      </c>
      <c r="H37" s="343">
        <f t="shared" si="7"/>
        <v>22</v>
      </c>
      <c r="I37" s="343">
        <f t="shared" si="9"/>
        <v>0</v>
      </c>
      <c r="J37" s="495">
        <f t="shared" si="4"/>
        <v>0</v>
      </c>
      <c r="K37" s="344">
        <f>'Preise RAHH'!F33</f>
        <v>2</v>
      </c>
      <c r="L37" s="343">
        <f t="shared" si="8"/>
        <v>22</v>
      </c>
      <c r="M37" s="343">
        <f t="shared" si="10"/>
        <v>0</v>
      </c>
      <c r="N37" s="494"/>
      <c r="O37" s="493"/>
      <c r="P37" s="340"/>
      <c r="Q37" s="340"/>
      <c r="R37" s="484"/>
      <c r="S37" s="483"/>
      <c r="T37" s="482"/>
      <c r="U37" s="494"/>
      <c r="V37" s="493"/>
      <c r="W37" s="340"/>
      <c r="X37" s="340"/>
      <c r="Y37" s="340"/>
      <c r="Z37" s="492"/>
      <c r="AA37" s="491"/>
      <c r="AB37" s="494"/>
      <c r="AC37" s="493"/>
      <c r="AD37" s="340"/>
      <c r="AE37" s="340"/>
      <c r="AF37" s="340"/>
      <c r="AG37" s="492"/>
      <c r="AH37" s="491"/>
      <c r="AI37" s="494"/>
      <c r="AJ37" s="493"/>
      <c r="AK37" s="340"/>
      <c r="AL37" s="340"/>
      <c r="AM37" s="340"/>
      <c r="AN37" s="492"/>
      <c r="AO37" s="491"/>
      <c r="AP37" s="494"/>
      <c r="AQ37" s="493"/>
      <c r="AR37" s="340"/>
      <c r="AS37" s="340"/>
      <c r="AT37" s="340"/>
      <c r="AU37" s="492"/>
      <c r="AV37" s="491"/>
      <c r="AW37" s="494"/>
      <c r="AX37" s="493"/>
      <c r="AY37" s="340"/>
      <c r="AZ37" s="340"/>
      <c r="BA37" s="340"/>
      <c r="BB37" s="492"/>
      <c r="BC37" s="491"/>
      <c r="BD37" s="2"/>
      <c r="BE37" s="2"/>
      <c r="BF37" s="2"/>
      <c r="BG37" s="2"/>
      <c r="BH37" s="2"/>
    </row>
    <row r="38" spans="1:60" s="1" customFormat="1" ht="15.75">
      <c r="A38" s="496" t="s">
        <v>42</v>
      </c>
      <c r="B38" s="495">
        <f t="shared" si="0"/>
        <v>0</v>
      </c>
      <c r="C38" s="344">
        <f>'Preise RAHH'!B34</f>
        <v>2</v>
      </c>
      <c r="D38" s="343">
        <f t="shared" si="6"/>
        <v>22</v>
      </c>
      <c r="E38" s="487">
        <f t="shared" si="1"/>
        <v>0</v>
      </c>
      <c r="F38" s="495">
        <f t="shared" si="2"/>
        <v>0</v>
      </c>
      <c r="G38" s="344">
        <f>'Preise RAHH'!D34</f>
        <v>2</v>
      </c>
      <c r="H38" s="343">
        <f t="shared" si="7"/>
        <v>22</v>
      </c>
      <c r="I38" s="343">
        <f t="shared" si="9"/>
        <v>0</v>
      </c>
      <c r="J38" s="495">
        <f t="shared" si="4"/>
        <v>0</v>
      </c>
      <c r="K38" s="344">
        <f>'Preise RAHH'!F34</f>
        <v>1</v>
      </c>
      <c r="L38" s="343">
        <f t="shared" si="8"/>
        <v>11</v>
      </c>
      <c r="M38" s="343">
        <f t="shared" si="10"/>
        <v>0</v>
      </c>
      <c r="N38" s="494"/>
      <c r="O38" s="493"/>
      <c r="P38" s="340"/>
      <c r="Q38" s="340"/>
      <c r="R38" s="484"/>
      <c r="S38" s="483"/>
      <c r="T38" s="482"/>
      <c r="U38" s="494"/>
      <c r="V38" s="493"/>
      <c r="W38" s="340"/>
      <c r="X38" s="340"/>
      <c r="Y38" s="340"/>
      <c r="Z38" s="492"/>
      <c r="AA38" s="491"/>
      <c r="AB38" s="494"/>
      <c r="AC38" s="493"/>
      <c r="AD38" s="340"/>
      <c r="AE38" s="340"/>
      <c r="AF38" s="340"/>
      <c r="AG38" s="492"/>
      <c r="AH38" s="491"/>
      <c r="AI38" s="494"/>
      <c r="AJ38" s="493"/>
      <c r="AK38" s="340"/>
      <c r="AL38" s="340"/>
      <c r="AM38" s="340"/>
      <c r="AN38" s="492"/>
      <c r="AO38" s="491"/>
      <c r="AP38" s="494"/>
      <c r="AQ38" s="493"/>
      <c r="AR38" s="340"/>
      <c r="AS38" s="340"/>
      <c r="AT38" s="340"/>
      <c r="AU38" s="492"/>
      <c r="AV38" s="491"/>
      <c r="AW38" s="494"/>
      <c r="AX38" s="493"/>
      <c r="AY38" s="340"/>
      <c r="AZ38" s="340"/>
      <c r="BA38" s="340"/>
      <c r="BB38" s="492"/>
      <c r="BC38" s="491"/>
      <c r="BD38" s="2"/>
      <c r="BE38" s="2"/>
      <c r="BF38" s="2"/>
      <c r="BG38" s="2"/>
      <c r="BH38" s="2"/>
    </row>
    <row r="39" spans="1:60" s="1" customFormat="1" ht="15.75">
      <c r="A39" s="496" t="s">
        <v>43</v>
      </c>
      <c r="B39" s="495">
        <f t="shared" si="0"/>
        <v>0</v>
      </c>
      <c r="C39" s="344">
        <f>'Preise RAHH'!B35</f>
        <v>1</v>
      </c>
      <c r="D39" s="343">
        <f t="shared" si="6"/>
        <v>11</v>
      </c>
      <c r="E39" s="487">
        <f t="shared" si="1"/>
        <v>0</v>
      </c>
      <c r="F39" s="495">
        <f t="shared" si="2"/>
        <v>0</v>
      </c>
      <c r="G39" s="344">
        <f>'Preise RAHH'!D35</f>
        <v>1</v>
      </c>
      <c r="H39" s="343">
        <f t="shared" si="7"/>
        <v>11</v>
      </c>
      <c r="I39" s="343">
        <f t="shared" si="9"/>
        <v>0</v>
      </c>
      <c r="J39" s="495">
        <f t="shared" si="4"/>
        <v>0</v>
      </c>
      <c r="K39" s="344">
        <f>'Preise RAHH'!F35</f>
        <v>1</v>
      </c>
      <c r="L39" s="343">
        <f t="shared" si="8"/>
        <v>11</v>
      </c>
      <c r="M39" s="343">
        <f t="shared" si="10"/>
        <v>0</v>
      </c>
      <c r="N39" s="494"/>
      <c r="O39" s="493"/>
      <c r="P39" s="340"/>
      <c r="Q39" s="340"/>
      <c r="R39" s="484"/>
      <c r="S39" s="483"/>
      <c r="T39" s="482"/>
      <c r="U39" s="494"/>
      <c r="V39" s="493"/>
      <c r="W39" s="340"/>
      <c r="X39" s="340"/>
      <c r="Y39" s="340"/>
      <c r="Z39" s="492"/>
      <c r="AA39" s="491"/>
      <c r="AB39" s="494"/>
      <c r="AC39" s="493"/>
      <c r="AD39" s="340"/>
      <c r="AE39" s="340"/>
      <c r="AF39" s="340"/>
      <c r="AG39" s="492"/>
      <c r="AH39" s="491"/>
      <c r="AI39" s="494"/>
      <c r="AJ39" s="493"/>
      <c r="AK39" s="340"/>
      <c r="AL39" s="340"/>
      <c r="AM39" s="340"/>
      <c r="AN39" s="492"/>
      <c r="AO39" s="491"/>
      <c r="AP39" s="494"/>
      <c r="AQ39" s="493"/>
      <c r="AR39" s="340"/>
      <c r="AS39" s="340"/>
      <c r="AT39" s="340"/>
      <c r="AU39" s="492"/>
      <c r="AV39" s="491"/>
      <c r="AW39" s="494"/>
      <c r="AX39" s="493"/>
      <c r="AY39" s="340"/>
      <c r="AZ39" s="340"/>
      <c r="BA39" s="340"/>
      <c r="BB39" s="492"/>
      <c r="BC39" s="491"/>
      <c r="BD39" s="2"/>
      <c r="BE39" s="2"/>
      <c r="BF39" s="2"/>
      <c r="BG39" s="2"/>
      <c r="BH39" s="2"/>
    </row>
    <row r="40" spans="1:60" s="1" customFormat="1" ht="16.5" thickBot="1">
      <c r="A40" s="490" t="s">
        <v>44</v>
      </c>
      <c r="B40" s="489">
        <f t="shared" si="0"/>
        <v>0</v>
      </c>
      <c r="C40" s="344">
        <f>'Preise RAHH'!B36</f>
        <v>1</v>
      </c>
      <c r="D40" s="488">
        <f t="shared" si="6"/>
        <v>11</v>
      </c>
      <c r="E40" s="487">
        <f>B40*D40*(100+$G$10)/100</f>
        <v>0</v>
      </c>
      <c r="F40" s="486">
        <f t="shared" si="2"/>
        <v>0</v>
      </c>
      <c r="G40" s="344">
        <f>'Preise RAHH'!D36</f>
        <v>1</v>
      </c>
      <c r="H40" s="485">
        <f t="shared" si="7"/>
        <v>11</v>
      </c>
      <c r="I40" s="343">
        <f t="shared" si="9"/>
        <v>0</v>
      </c>
      <c r="J40" s="486">
        <f t="shared" si="4"/>
        <v>0</v>
      </c>
      <c r="K40" s="344">
        <f>'Preise RAHH'!F36</f>
        <v>1</v>
      </c>
      <c r="L40" s="485">
        <f t="shared" si="8"/>
        <v>11</v>
      </c>
      <c r="M40" s="343">
        <f t="shared" si="10"/>
        <v>0</v>
      </c>
      <c r="N40" s="481"/>
      <c r="O40" s="480"/>
      <c r="P40" s="480"/>
      <c r="Q40" s="480"/>
      <c r="R40" s="484"/>
      <c r="S40" s="483"/>
      <c r="T40" s="482"/>
      <c r="U40" s="481"/>
      <c r="V40" s="480"/>
      <c r="W40" s="480"/>
      <c r="X40" s="480"/>
      <c r="Y40" s="480"/>
      <c r="Z40" s="479"/>
      <c r="AA40" s="478"/>
      <c r="AB40" s="481"/>
      <c r="AC40" s="480"/>
      <c r="AD40" s="480"/>
      <c r="AE40" s="480"/>
      <c r="AF40" s="480"/>
      <c r="AG40" s="479"/>
      <c r="AH40" s="478"/>
      <c r="AI40" s="481"/>
      <c r="AJ40" s="480"/>
      <c r="AK40" s="480"/>
      <c r="AL40" s="480"/>
      <c r="AM40" s="480"/>
      <c r="AN40" s="479"/>
      <c r="AO40" s="478"/>
      <c r="AP40" s="481"/>
      <c r="AQ40" s="480"/>
      <c r="AR40" s="480"/>
      <c r="AS40" s="480"/>
      <c r="AT40" s="480"/>
      <c r="AU40" s="479"/>
      <c r="AV40" s="478"/>
      <c r="AW40" s="481"/>
      <c r="AX40" s="480"/>
      <c r="AY40" s="480"/>
      <c r="AZ40" s="480"/>
      <c r="BA40" s="480"/>
      <c r="BB40" s="479"/>
      <c r="BC40" s="478"/>
      <c r="BD40" s="2"/>
      <c r="BE40" s="2"/>
      <c r="BF40" s="2"/>
      <c r="BG40" s="2"/>
      <c r="BH40" s="2"/>
    </row>
    <row r="41" spans="1:60" s="73" customFormat="1" ht="16.5" thickBot="1">
      <c r="A41" s="477" t="s">
        <v>45</v>
      </c>
      <c r="B41" s="476">
        <f>SUM(B17:B40)</f>
        <v>0</v>
      </c>
      <c r="C41" s="475"/>
      <c r="D41" s="475"/>
      <c r="E41" s="474">
        <f>SUM(E17:E40)</f>
        <v>0</v>
      </c>
      <c r="F41" s="476">
        <f>SUM(F17:F40)</f>
        <v>0</v>
      </c>
      <c r="G41" s="475"/>
      <c r="H41" s="475"/>
      <c r="I41" s="474">
        <f>SUM(I17:I40)</f>
        <v>0</v>
      </c>
      <c r="J41" s="473">
        <f>SUM(J17:J40)</f>
        <v>0</v>
      </c>
      <c r="K41" s="472"/>
      <c r="L41" s="472"/>
      <c r="M41" s="471">
        <f t="shared" ref="M41:BC41" si="11">SUM(M17:M40)</f>
        <v>0</v>
      </c>
      <c r="N41" s="470">
        <f t="shared" si="11"/>
        <v>0</v>
      </c>
      <c r="O41" s="469">
        <f t="shared" si="11"/>
        <v>0</v>
      </c>
      <c r="P41" s="469">
        <f t="shared" si="11"/>
        <v>0</v>
      </c>
      <c r="Q41" s="469">
        <f t="shared" si="11"/>
        <v>0</v>
      </c>
      <c r="R41" s="469">
        <f t="shared" si="11"/>
        <v>0</v>
      </c>
      <c r="S41" s="469">
        <f t="shared" si="11"/>
        <v>0</v>
      </c>
      <c r="T41" s="468">
        <f t="shared" si="11"/>
        <v>0</v>
      </c>
      <c r="U41" s="470">
        <f t="shared" si="11"/>
        <v>0</v>
      </c>
      <c r="V41" s="469">
        <f t="shared" si="11"/>
        <v>0</v>
      </c>
      <c r="W41" s="469">
        <f t="shared" si="11"/>
        <v>0</v>
      </c>
      <c r="X41" s="469">
        <f t="shared" si="11"/>
        <v>0</v>
      </c>
      <c r="Y41" s="469">
        <f t="shared" si="11"/>
        <v>0</v>
      </c>
      <c r="Z41" s="469">
        <f t="shared" si="11"/>
        <v>0</v>
      </c>
      <c r="AA41" s="468">
        <f t="shared" si="11"/>
        <v>0</v>
      </c>
      <c r="AB41" s="470">
        <f t="shared" si="11"/>
        <v>0</v>
      </c>
      <c r="AC41" s="469">
        <f t="shared" si="11"/>
        <v>0</v>
      </c>
      <c r="AD41" s="469">
        <f t="shared" si="11"/>
        <v>0</v>
      </c>
      <c r="AE41" s="469">
        <f t="shared" si="11"/>
        <v>0</v>
      </c>
      <c r="AF41" s="469">
        <f t="shared" si="11"/>
        <v>0</v>
      </c>
      <c r="AG41" s="469">
        <f t="shared" si="11"/>
        <v>0</v>
      </c>
      <c r="AH41" s="468">
        <f t="shared" si="11"/>
        <v>0</v>
      </c>
      <c r="AI41" s="470">
        <f t="shared" si="11"/>
        <v>0</v>
      </c>
      <c r="AJ41" s="469">
        <f t="shared" si="11"/>
        <v>0</v>
      </c>
      <c r="AK41" s="469">
        <f t="shared" si="11"/>
        <v>0</v>
      </c>
      <c r="AL41" s="469">
        <f t="shared" si="11"/>
        <v>0</v>
      </c>
      <c r="AM41" s="469">
        <f t="shared" si="11"/>
        <v>0</v>
      </c>
      <c r="AN41" s="469">
        <f t="shared" si="11"/>
        <v>0</v>
      </c>
      <c r="AO41" s="468">
        <f t="shared" si="11"/>
        <v>0</v>
      </c>
      <c r="AP41" s="470">
        <f t="shared" si="11"/>
        <v>0</v>
      </c>
      <c r="AQ41" s="469">
        <f t="shared" si="11"/>
        <v>0</v>
      </c>
      <c r="AR41" s="469">
        <f t="shared" si="11"/>
        <v>0</v>
      </c>
      <c r="AS41" s="469">
        <f t="shared" si="11"/>
        <v>0</v>
      </c>
      <c r="AT41" s="469">
        <f t="shared" si="11"/>
        <v>0</v>
      </c>
      <c r="AU41" s="469">
        <f t="shared" si="11"/>
        <v>0</v>
      </c>
      <c r="AV41" s="468">
        <f t="shared" si="11"/>
        <v>0</v>
      </c>
      <c r="AW41" s="470">
        <f t="shared" si="11"/>
        <v>0</v>
      </c>
      <c r="AX41" s="469">
        <f t="shared" si="11"/>
        <v>0</v>
      </c>
      <c r="AY41" s="469">
        <f t="shared" si="11"/>
        <v>0</v>
      </c>
      <c r="AZ41" s="469">
        <f t="shared" si="11"/>
        <v>0</v>
      </c>
      <c r="BA41" s="469">
        <f t="shared" si="11"/>
        <v>0</v>
      </c>
      <c r="BB41" s="469">
        <f t="shared" si="11"/>
        <v>0</v>
      </c>
      <c r="BC41" s="468">
        <f t="shared" si="11"/>
        <v>0</v>
      </c>
      <c r="BD41" s="72"/>
      <c r="BE41" s="72"/>
      <c r="BF41" s="72"/>
      <c r="BG41" s="72"/>
      <c r="BH41" s="72"/>
    </row>
    <row r="42" spans="1:60" s="1" customFormat="1"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</row>
    <row r="43" spans="1:60" s="1" customFormat="1"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</row>
    <row r="44" spans="1:60" s="1" customFormat="1"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</row>
    <row r="45" spans="1:60" s="1" customForma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</row>
    <row r="46" spans="1:60" s="1" customFormat="1"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</row>
    <row r="47" spans="1:60" s="1" customFormat="1"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</row>
    <row r="48" spans="1:60" s="1" customFormat="1"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</row>
    <row r="49" spans="3:55" s="1" customFormat="1"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</row>
    <row r="50" spans="3:55" s="1" customFormat="1"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</row>
    <row r="51" spans="3:55" s="1" customFormat="1"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</row>
    <row r="52" spans="3:55" s="1" customFormat="1"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</row>
    <row r="53" spans="3:55" s="1" customFormat="1"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</row>
    <row r="54" spans="3:55" s="1" customFormat="1"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</row>
    <row r="55" spans="3:55" s="1" customFormat="1"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</row>
    <row r="56" spans="3:55" s="1" customFormat="1"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spans="3:55" s="1" customFormat="1"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3:55" s="1" customFormat="1"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3:55" s="1" customFormat="1"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</row>
    <row r="60" spans="3:55" s="1" customFormat="1"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spans="3:55" s="1" customFormat="1"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spans="3:55" s="1" customFormat="1"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spans="3:55" s="1" customFormat="1"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spans="3:55" s="1" customFormat="1"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spans="3:13" s="1" customFormat="1"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spans="3:13" s="1" customFormat="1"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spans="3:13" s="1" customFormat="1"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spans="3:13" s="1" customFormat="1"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spans="3:13" s="1" customFormat="1"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spans="3:13" s="1" customFormat="1"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3:13" s="1" customFormat="1"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spans="3:13" s="1" customFormat="1"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spans="3:13" s="1" customFormat="1"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spans="3:13" s="1" customFormat="1"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spans="3:13" s="1" customFormat="1"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spans="3:13" s="1" customFormat="1"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spans="3:13" s="1" customFormat="1"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</sheetData>
  <mergeCells count="29">
    <mergeCell ref="AW14:BC14"/>
    <mergeCell ref="U14:AA14"/>
    <mergeCell ref="AB14:AH14"/>
    <mergeCell ref="AI14:AO14"/>
    <mergeCell ref="AP14:AV14"/>
    <mergeCell ref="I12:K12"/>
    <mergeCell ref="M12:O12"/>
    <mergeCell ref="B14:E14"/>
    <mergeCell ref="F14:I14"/>
    <mergeCell ref="J14:M14"/>
    <mergeCell ref="N14:T14"/>
    <mergeCell ref="I9:K9"/>
    <mergeCell ref="M9:O9"/>
    <mergeCell ref="I10:K10"/>
    <mergeCell ref="M10:O10"/>
    <mergeCell ref="I11:K11"/>
    <mergeCell ref="M11:O11"/>
    <mergeCell ref="E7:G7"/>
    <mergeCell ref="I7:K7"/>
    <mergeCell ref="M7:O7"/>
    <mergeCell ref="E8:G8"/>
    <mergeCell ref="I8:K8"/>
    <mergeCell ref="M8:O8"/>
    <mergeCell ref="A2:BC2"/>
    <mergeCell ref="A4:BH4"/>
    <mergeCell ref="E6:G6"/>
    <mergeCell ref="I6:K6"/>
    <mergeCell ref="M6:O6"/>
    <mergeCell ref="AN6:AV6"/>
  </mergeCells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119"/>
  <sheetViews>
    <sheetView view="pageBreakPreview" zoomScale="85" zoomScaleNormal="40" zoomScaleSheetLayoutView="85" workbookViewId="0">
      <selection activeCell="A5" sqref="A5"/>
    </sheetView>
  </sheetViews>
  <sheetFormatPr baseColWidth="10" defaultColWidth="11.42578125" defaultRowHeight="15"/>
  <cols>
    <col min="1" max="1" width="14.140625" style="1" customWidth="1"/>
    <col min="2" max="2" width="17.42578125" style="99" customWidth="1"/>
    <col min="3" max="11" width="17.42578125" style="96" customWidth="1"/>
    <col min="12" max="12" width="12.85546875" style="1" customWidth="1"/>
    <col min="13" max="13" width="20.42578125" style="1" customWidth="1"/>
    <col min="14" max="14" width="10.5703125" style="1" customWidth="1"/>
    <col min="15" max="15" width="3.85546875" style="1" customWidth="1"/>
    <col min="16" max="16" width="3.5703125" style="1" customWidth="1"/>
    <col min="17" max="17" width="2.42578125" style="1" customWidth="1"/>
    <col min="18" max="18" width="3.140625" style="1" customWidth="1"/>
    <col min="19" max="19" width="10.42578125" style="1" customWidth="1"/>
    <col min="20" max="20" width="7.7109375" style="1" customWidth="1"/>
    <col min="21" max="21" width="12.85546875" style="1" bestFit="1" customWidth="1"/>
    <col min="22" max="22" width="11.7109375" style="1" bestFit="1" customWidth="1"/>
    <col min="23" max="23" width="14.42578125" style="1" bestFit="1" customWidth="1"/>
    <col min="24" max="24" width="20.42578125" style="1" bestFit="1" customWidth="1"/>
    <col min="25" max="25" width="19.5703125" style="1" bestFit="1" customWidth="1"/>
    <col min="26" max="16384" width="11.42578125" style="1"/>
  </cols>
  <sheetData>
    <row r="1" spans="1:64" ht="39" customHeight="1" thickBot="1">
      <c r="A1" s="533" t="s">
        <v>169</v>
      </c>
      <c r="B1" s="533"/>
      <c r="C1" s="533"/>
      <c r="D1" s="564"/>
      <c r="E1" s="859" t="s">
        <v>132</v>
      </c>
      <c r="F1" s="859"/>
      <c r="G1" s="859"/>
      <c r="H1" s="859"/>
      <c r="I1" s="859"/>
      <c r="J1" s="859"/>
      <c r="K1" s="859"/>
      <c r="L1" s="859"/>
      <c r="M1" s="859"/>
      <c r="N1" s="859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</row>
    <row r="2" spans="1:64" ht="23.25">
      <c r="D2" s="405"/>
      <c r="E2" s="563" t="s">
        <v>125</v>
      </c>
      <c r="F2" s="549"/>
      <c r="G2" s="549"/>
      <c r="H2" s="549"/>
      <c r="I2" s="549"/>
      <c r="J2" s="549"/>
      <c r="K2" s="549"/>
      <c r="L2" s="549"/>
      <c r="M2" s="549"/>
      <c r="N2" s="550"/>
      <c r="P2" s="565" t="s">
        <v>110</v>
      </c>
      <c r="Q2" s="565"/>
      <c r="R2" s="565"/>
      <c r="S2" s="565"/>
      <c r="T2" s="565" t="s">
        <v>113</v>
      </c>
    </row>
    <row r="3" spans="1:64" s="91" customFormat="1" ht="32.450000000000003" customHeight="1">
      <c r="A3" s="545"/>
      <c r="B3" s="545"/>
      <c r="C3" s="545"/>
      <c r="E3" s="542" t="s">
        <v>129</v>
      </c>
      <c r="F3" s="543" t="s">
        <v>153</v>
      </c>
      <c r="G3" s="543" t="s">
        <v>126</v>
      </c>
      <c r="H3" s="548" t="s">
        <v>128</v>
      </c>
      <c r="I3" s="543" t="s">
        <v>127</v>
      </c>
      <c r="J3" s="543" t="s">
        <v>130</v>
      </c>
      <c r="K3" s="543" t="s">
        <v>131</v>
      </c>
      <c r="L3" s="543" t="s">
        <v>135</v>
      </c>
      <c r="M3" s="543" t="s">
        <v>133</v>
      </c>
      <c r="N3" s="544" t="s">
        <v>134</v>
      </c>
      <c r="P3" s="566">
        <v>1</v>
      </c>
      <c r="Q3" s="566" t="s">
        <v>112</v>
      </c>
      <c r="R3" s="566">
        <v>15</v>
      </c>
      <c r="S3" s="566" t="s">
        <v>111</v>
      </c>
      <c r="T3" s="566">
        <v>110</v>
      </c>
    </row>
    <row r="4" spans="1:64" ht="15.75">
      <c r="E4" s="541" t="s">
        <v>55</v>
      </c>
      <c r="F4" s="539" t="s">
        <v>79</v>
      </c>
      <c r="G4" s="539"/>
      <c r="H4" s="540">
        <f>IF($E$4=$J$11,VLOOKUP($F$4,$A$37:$K$78,11,0),IF($E$4=$H$11,VLOOKUP($F$4,$A$37:$K$78,9,0),IF($E$4=$F$11,VLOOKUP($F$4,$A$37:$K$78,7,0),IF($E$4=$D$11,VLOOKUP($F$4,$A$37:$K$78,5,0),IF($E$4=$B$11,VLOOKUP($F$4,$A$37:$K$78,3,0))))))</f>
        <v>30</v>
      </c>
      <c r="I4" s="540">
        <f>H4*G4</f>
        <v>0</v>
      </c>
      <c r="J4" s="551"/>
      <c r="K4" s="551"/>
      <c r="L4" s="540">
        <f>(I4-(I4*J4))-(I4-(I4*J4))*K4</f>
        <v>0</v>
      </c>
      <c r="M4" s="556" t="e">
        <f>1-L4/I4</f>
        <v>#DIV/0!</v>
      </c>
      <c r="N4" s="557" t="e">
        <f>(1-M4)*100</f>
        <v>#DIV/0!</v>
      </c>
      <c r="P4" s="566">
        <v>16</v>
      </c>
      <c r="Q4" s="566" t="s">
        <v>112</v>
      </c>
      <c r="R4" s="566">
        <v>24</v>
      </c>
      <c r="S4" s="566" t="s">
        <v>111</v>
      </c>
      <c r="T4" s="566">
        <v>105</v>
      </c>
    </row>
    <row r="5" spans="1:64" s="2" customFormat="1" ht="15.75">
      <c r="B5" s="97"/>
      <c r="C5" s="95"/>
      <c r="E5" s="541" t="s">
        <v>55</v>
      </c>
      <c r="F5" s="539" t="s">
        <v>79</v>
      </c>
      <c r="G5" s="539"/>
      <c r="H5" s="540">
        <f>IF($E$5=$J$11,VLOOKUP($F$5,$A$37:$K$78,11,0),IF($E$5=$H$11,VLOOKUP($F$5,$A$37:$K$78,9,0),IF($E$5=$F$11,VLOOKUP($F$5,$A$37:$K$78,7,0),IF($E$5=$D$11,VLOOKUP($F$5,$A$37:$K$78,5,0),IF($E$5=$B$11,VLOOKUP($F$5,$A$37:$K$78,3,0))))))</f>
        <v>30</v>
      </c>
      <c r="I5" s="540">
        <f>H5*G5</f>
        <v>0</v>
      </c>
      <c r="J5" s="551"/>
      <c r="K5" s="552"/>
      <c r="L5" s="540">
        <f>(I5-(I5*J5))-(I5-(I5*J5))*K5</f>
        <v>0</v>
      </c>
      <c r="M5" s="556" t="e">
        <f>1-L5/I5</f>
        <v>#DIV/0!</v>
      </c>
      <c r="N5" s="557" t="e">
        <f>(1-M5)*100</f>
        <v>#DIV/0!</v>
      </c>
      <c r="P5" s="566">
        <v>25</v>
      </c>
      <c r="Q5" s="566" t="s">
        <v>112</v>
      </c>
      <c r="R5" s="566">
        <v>34</v>
      </c>
      <c r="S5" s="566" t="s">
        <v>111</v>
      </c>
      <c r="T5" s="566">
        <v>100</v>
      </c>
    </row>
    <row r="6" spans="1:64" s="2" customFormat="1" ht="16.5" thickBot="1">
      <c r="B6" s="97"/>
      <c r="C6" s="95"/>
      <c r="E6" s="541" t="s">
        <v>55</v>
      </c>
      <c r="F6" s="539" t="s">
        <v>79</v>
      </c>
      <c r="G6" s="539"/>
      <c r="H6" s="540">
        <f>IF($E$6=$J$11,VLOOKUP($F$6,$A$37:$K$78,11,0),IF($E$6=$H$11,VLOOKUP($F$6,$A$37:$K$78,9,0),IF($E$6=$F$11,VLOOKUP($F$6,$A$37:$K$78,7,0),IF($E$6=$D$11,VLOOKUP($F$6,$A$37:$K$78,5,0),IF($E$6=$B$11,VLOOKUP($F$6,$A$37:$K$78,3,0))))))</f>
        <v>30</v>
      </c>
      <c r="I6" s="540">
        <f>H6*G6</f>
        <v>0</v>
      </c>
      <c r="J6" s="551"/>
      <c r="K6" s="552"/>
      <c r="L6" s="540">
        <f>(I6-(I6*J6))-(I6-(I6*J6))*K6</f>
        <v>0</v>
      </c>
      <c r="M6" s="556" t="e">
        <f>1-L6/I6</f>
        <v>#DIV/0!</v>
      </c>
      <c r="N6" s="557" t="e">
        <f>(1-M6)*100</f>
        <v>#DIV/0!</v>
      </c>
      <c r="P6" s="566">
        <v>35</v>
      </c>
      <c r="Q6" s="566" t="s">
        <v>112</v>
      </c>
      <c r="R6" s="566">
        <v>99</v>
      </c>
      <c r="S6" s="566" t="s">
        <v>111</v>
      </c>
      <c r="T6" s="566">
        <v>95</v>
      </c>
    </row>
    <row r="7" spans="1:64" s="2" customFormat="1" ht="18.75" thickBot="1">
      <c r="A7" s="92" t="s">
        <v>53</v>
      </c>
      <c r="B7" s="97"/>
      <c r="C7" s="592">
        <v>30</v>
      </c>
      <c r="E7" s="848" t="s">
        <v>55</v>
      </c>
      <c r="F7" s="849" t="s">
        <v>79</v>
      </c>
      <c r="G7" s="849"/>
      <c r="H7" s="850">
        <f>IF($E$7=$J$11,VLOOKUP($F$7,$A$37:$K$78,11,0),IF($E$7=$H$11,VLOOKUP($F$7,$A$37:$K$78,9,0),IF($E$7=$F$11,VLOOKUP($F$7,$A$37:$K$78,7,0),IF($E$7=$D$11,VLOOKUP($F$7,$A$37:$K$78,5,0),IF($E$7=$B$11,VLOOKUP($F$7,$A$37:$K$78,3,0))))))</f>
        <v>30</v>
      </c>
      <c r="I7" s="850">
        <f>H7*G7</f>
        <v>0</v>
      </c>
      <c r="J7" s="851"/>
      <c r="K7" s="852"/>
      <c r="L7" s="850">
        <f>(I7-(I7*J7))-(I7-(I7*J7))*K7</f>
        <v>0</v>
      </c>
      <c r="M7" s="853" t="e">
        <f>1-L7/I7</f>
        <v>#DIV/0!</v>
      </c>
      <c r="N7" s="854" t="e">
        <f>(1-M7)*100</f>
        <v>#DIV/0!</v>
      </c>
    </row>
    <row r="8" spans="1:64" s="2" customFormat="1" ht="18">
      <c r="A8" s="92" t="s">
        <v>162</v>
      </c>
      <c r="B8" s="97"/>
      <c r="C8" s="561"/>
      <c r="E8" s="182"/>
      <c r="F8" s="182"/>
      <c r="G8" s="182"/>
      <c r="H8" s="554"/>
      <c r="I8" s="554"/>
      <c r="J8" s="558"/>
      <c r="K8" s="559"/>
      <c r="L8" s="554">
        <f>SUM(L4:L7)</f>
        <v>0</v>
      </c>
      <c r="M8" s="555"/>
      <c r="N8" s="560"/>
      <c r="O8" s="147"/>
      <c r="Q8" s="147"/>
      <c r="R8" s="147"/>
      <c r="S8" s="147"/>
    </row>
    <row r="9" spans="1:64" s="2" customFormat="1" ht="18">
      <c r="A9" s="92" t="s">
        <v>163</v>
      </c>
      <c r="B9" s="97"/>
      <c r="C9" s="561"/>
      <c r="E9" s="182"/>
      <c r="F9" s="182"/>
      <c r="G9" s="182"/>
      <c r="H9" s="554"/>
      <c r="I9" s="554"/>
      <c r="J9" s="558"/>
      <c r="K9" s="559"/>
      <c r="L9" s="554"/>
      <c r="M9" s="555"/>
      <c r="N9" s="560"/>
      <c r="O9" s="147"/>
      <c r="P9" s="147"/>
      <c r="Q9" s="147"/>
      <c r="R9" s="147"/>
      <c r="S9" s="147"/>
    </row>
    <row r="10" spans="1:64" s="2" customFormat="1" ht="18">
      <c r="A10" s="1067" t="s">
        <v>54</v>
      </c>
      <c r="B10" s="1067"/>
      <c r="C10" s="1067"/>
      <c r="D10" s="1067"/>
      <c r="E10" s="1067"/>
      <c r="F10" s="1067"/>
      <c r="G10" s="1067"/>
      <c r="H10" s="1067"/>
      <c r="I10" s="1067"/>
      <c r="J10" s="1067"/>
      <c r="K10" s="1067"/>
    </row>
    <row r="11" spans="1:64" s="3" customFormat="1" ht="19.899999999999999" customHeight="1">
      <c r="A11" s="571"/>
      <c r="B11" s="1068" t="s">
        <v>55</v>
      </c>
      <c r="C11" s="1068"/>
      <c r="D11" s="1069" t="s">
        <v>0</v>
      </c>
      <c r="E11" s="1069"/>
      <c r="F11" s="1069" t="s">
        <v>21</v>
      </c>
      <c r="G11" s="1069"/>
      <c r="H11" s="1069" t="s">
        <v>56</v>
      </c>
      <c r="I11" s="1069"/>
      <c r="J11" s="1069" t="s">
        <v>57</v>
      </c>
      <c r="K11" s="1069"/>
    </row>
    <row r="12" spans="1:64" s="2" customFormat="1" ht="38.25" customHeight="1">
      <c r="A12" s="591" t="s">
        <v>58</v>
      </c>
      <c r="B12" s="590" t="s">
        <v>114</v>
      </c>
      <c r="C12" s="589" t="s">
        <v>59</v>
      </c>
      <c r="D12" s="590" t="s">
        <v>109</v>
      </c>
      <c r="E12" s="589" t="s">
        <v>59</v>
      </c>
      <c r="F12" s="590" t="s">
        <v>109</v>
      </c>
      <c r="G12" s="589" t="s">
        <v>59</v>
      </c>
      <c r="H12" s="590" t="s">
        <v>109</v>
      </c>
      <c r="I12" s="589" t="s">
        <v>59</v>
      </c>
      <c r="J12" s="590" t="s">
        <v>109</v>
      </c>
      <c r="K12" s="589" t="s">
        <v>59</v>
      </c>
    </row>
    <row r="13" spans="1:64" s="2" customFormat="1" ht="21.6" customHeight="1">
      <c r="A13" s="588" t="s">
        <v>103</v>
      </c>
      <c r="B13" s="587">
        <v>1</v>
      </c>
      <c r="C13" s="586">
        <f t="shared" ref="C13:C45" si="0">IF(AND($C$7&gt;=$P$5,$C$7&lt;=$R$5),B13*$C$7*$T$5/100,IF(AND($C$7&gt;=$P$4,$C$7&lt;=$R$4),B13*$C$7*$T$4/100,IF(AND($C$7&gt;=$P$3,$C$7&lt;=$R$3),B13*$C$7*$T$3/100,IF($C$7&gt;=$P$6,B13*$C$7*$T$6/100))))</f>
        <v>30</v>
      </c>
      <c r="D13" s="587">
        <v>1</v>
      </c>
      <c r="E13" s="586">
        <f t="shared" ref="E13:E45" si="1">IF(AND($C$7&gt;=$P$5,$C$7&lt;=$R$5),D13*$C$7*$T$5/100,IF(AND($C$7&gt;=$P$4,$C$7&lt;=$R$4),D13*$C$7*$T$4/100,IF(AND($C$7&gt;=$P$3,$C$7&lt;=$R$3),D13*$C$7*$T$3/100,IF($C$7&gt;=$P$6,D13*$C$7*$T$6/100))))</f>
        <v>30</v>
      </c>
      <c r="F13" s="587">
        <v>1</v>
      </c>
      <c r="G13" s="586">
        <f t="shared" ref="G13:G35" si="2">IF(AND($C$7&gt;=$P$5,$C$7&lt;=$R$5),F13*$C$7*$T$5/100,IF(AND($C$7&gt;=$P$4,$C$7&lt;=$R$4),F13*$C$7*$T$4/100,IF(AND($C$7&gt;=$P$3,$C$7&lt;=$R$3),F13*$C$7*$T$3/100,IF($C$7&gt;=$P$6,F13*$C$7*$T$6/100))))</f>
        <v>30</v>
      </c>
      <c r="H13" s="586">
        <f t="shared" ref="H13:H36" si="3">((B13*5)+D13)/6</f>
        <v>1</v>
      </c>
      <c r="I13" s="586">
        <f t="shared" ref="I13:I36" si="4">IF(AND($C$7&gt;=$P$5,$C$7&lt;=$R$5),H13*$C$7*$T$5/100,IF(AND($C$7&gt;=$P$4,$C$7&lt;=$R$4),H13*$C$7*$T$4/100,IF(AND($C$7&gt;=$P$3,$C$7&lt;=$R$3),H13*$C$7*$T$3/100,IF($C$7&gt;=$P$6,H13*$C$7*$T$6/100))))</f>
        <v>30</v>
      </c>
      <c r="J13" s="586">
        <f t="shared" ref="J13:J36" si="5">((B13*5)+D13+F13)/7</f>
        <v>1</v>
      </c>
      <c r="K13" s="586">
        <f t="shared" ref="K13:K36" si="6">IF(AND($C$7&gt;=$P$5,$C$7&lt;=$R$5),J13*$C$7*$T$5/100,IF(AND($C$7&gt;=$P$4,$C$7&lt;=$R$4),J13*$C$7*$T$4/100,IF(AND($C$7&gt;=$P$3,$C$7&lt;=$R$3),J13*$C$7*$T$3/100,IF($C$7&gt;=$P$6,J13*$C$7*$T$6/100))))</f>
        <v>30</v>
      </c>
      <c r="L13" s="553"/>
      <c r="M13" s="553"/>
      <c r="N13" s="553"/>
      <c r="T13" s="140"/>
      <c r="U13" s="140"/>
    </row>
    <row r="14" spans="1:64" s="2" customFormat="1" ht="21.6" customHeight="1">
      <c r="A14" s="585" t="s">
        <v>107</v>
      </c>
      <c r="B14" s="584">
        <v>1</v>
      </c>
      <c r="C14" s="583">
        <f t="shared" si="0"/>
        <v>30</v>
      </c>
      <c r="D14" s="584">
        <v>1</v>
      </c>
      <c r="E14" s="583">
        <f t="shared" si="1"/>
        <v>30</v>
      </c>
      <c r="F14" s="584">
        <v>1</v>
      </c>
      <c r="G14" s="583">
        <f t="shared" si="2"/>
        <v>30</v>
      </c>
      <c r="H14" s="583">
        <f t="shared" si="3"/>
        <v>1</v>
      </c>
      <c r="I14" s="583">
        <f t="shared" si="4"/>
        <v>30</v>
      </c>
      <c r="J14" s="583">
        <f t="shared" si="5"/>
        <v>1</v>
      </c>
      <c r="K14" s="583">
        <f t="shared" si="6"/>
        <v>30</v>
      </c>
      <c r="T14" s="140"/>
      <c r="U14" s="140"/>
    </row>
    <row r="15" spans="1:64" s="2" customFormat="1" ht="21.6" customHeight="1">
      <c r="A15" s="585" t="s">
        <v>106</v>
      </c>
      <c r="B15" s="584">
        <v>1</v>
      </c>
      <c r="C15" s="583">
        <f t="shared" si="0"/>
        <v>30</v>
      </c>
      <c r="D15" s="584">
        <v>1</v>
      </c>
      <c r="E15" s="583">
        <f t="shared" si="1"/>
        <v>30</v>
      </c>
      <c r="F15" s="584">
        <v>1</v>
      </c>
      <c r="G15" s="583">
        <f t="shared" si="2"/>
        <v>30</v>
      </c>
      <c r="H15" s="583">
        <f t="shared" si="3"/>
        <v>1</v>
      </c>
      <c r="I15" s="583">
        <f t="shared" si="4"/>
        <v>30</v>
      </c>
      <c r="J15" s="583">
        <f t="shared" si="5"/>
        <v>1</v>
      </c>
      <c r="K15" s="583">
        <f t="shared" si="6"/>
        <v>30</v>
      </c>
      <c r="T15" s="140"/>
      <c r="U15" s="140"/>
    </row>
    <row r="16" spans="1:64" s="2" customFormat="1" ht="21.6" customHeight="1">
      <c r="A16" s="585" t="s">
        <v>105</v>
      </c>
      <c r="B16" s="584">
        <v>1</v>
      </c>
      <c r="C16" s="583">
        <f t="shared" si="0"/>
        <v>30</v>
      </c>
      <c r="D16" s="584">
        <v>1</v>
      </c>
      <c r="E16" s="583">
        <f t="shared" si="1"/>
        <v>30</v>
      </c>
      <c r="F16" s="584">
        <v>1</v>
      </c>
      <c r="G16" s="583">
        <f t="shared" si="2"/>
        <v>30</v>
      </c>
      <c r="H16" s="583">
        <f t="shared" si="3"/>
        <v>1</v>
      </c>
      <c r="I16" s="583">
        <f t="shared" si="4"/>
        <v>30</v>
      </c>
      <c r="J16" s="583">
        <f t="shared" si="5"/>
        <v>1</v>
      </c>
      <c r="K16" s="583">
        <f t="shared" si="6"/>
        <v>30</v>
      </c>
    </row>
    <row r="17" spans="1:26" s="2" customFormat="1" ht="18">
      <c r="A17" s="585" t="s">
        <v>104</v>
      </c>
      <c r="B17" s="584">
        <v>1</v>
      </c>
      <c r="C17" s="583">
        <f t="shared" si="0"/>
        <v>30</v>
      </c>
      <c r="D17" s="584">
        <v>1</v>
      </c>
      <c r="E17" s="583">
        <f t="shared" si="1"/>
        <v>30</v>
      </c>
      <c r="F17" s="584">
        <v>1</v>
      </c>
      <c r="G17" s="583">
        <f t="shared" si="2"/>
        <v>30</v>
      </c>
      <c r="H17" s="583">
        <f t="shared" si="3"/>
        <v>1</v>
      </c>
      <c r="I17" s="583">
        <f t="shared" si="4"/>
        <v>30</v>
      </c>
      <c r="J17" s="583">
        <f t="shared" si="5"/>
        <v>1</v>
      </c>
      <c r="K17" s="583">
        <f t="shared" si="6"/>
        <v>30</v>
      </c>
      <c r="S17" s="141"/>
      <c r="V17" s="1"/>
      <c r="W17" s="1"/>
      <c r="X17" s="1"/>
      <c r="Y17" s="1"/>
      <c r="Z17" s="1"/>
    </row>
    <row r="18" spans="1:26" s="2" customFormat="1" ht="18">
      <c r="A18" s="585" t="s">
        <v>60</v>
      </c>
      <c r="B18" s="584">
        <v>1</v>
      </c>
      <c r="C18" s="583">
        <f t="shared" si="0"/>
        <v>30</v>
      </c>
      <c r="D18" s="584">
        <v>1</v>
      </c>
      <c r="E18" s="583">
        <f t="shared" si="1"/>
        <v>30</v>
      </c>
      <c r="F18" s="584">
        <v>1</v>
      </c>
      <c r="G18" s="583">
        <f t="shared" si="2"/>
        <v>30</v>
      </c>
      <c r="H18" s="583">
        <f t="shared" si="3"/>
        <v>1</v>
      </c>
      <c r="I18" s="583">
        <f t="shared" si="4"/>
        <v>30</v>
      </c>
      <c r="J18" s="583">
        <f t="shared" si="5"/>
        <v>1</v>
      </c>
      <c r="K18" s="583">
        <f t="shared" si="6"/>
        <v>30</v>
      </c>
      <c r="V18" s="3"/>
      <c r="W18" s="404"/>
      <c r="X18" s="3"/>
      <c r="Y18" s="3"/>
      <c r="Z18" s="3"/>
    </row>
    <row r="19" spans="1:26" s="2" customFormat="1" ht="18">
      <c r="A19" s="585" t="s">
        <v>61</v>
      </c>
      <c r="B19" s="584">
        <v>1</v>
      </c>
      <c r="C19" s="583">
        <f t="shared" si="0"/>
        <v>30</v>
      </c>
      <c r="D19" s="584">
        <v>1</v>
      </c>
      <c r="E19" s="583">
        <f t="shared" si="1"/>
        <v>30</v>
      </c>
      <c r="F19" s="584">
        <v>1</v>
      </c>
      <c r="G19" s="583">
        <f t="shared" si="2"/>
        <v>30</v>
      </c>
      <c r="H19" s="583">
        <f t="shared" si="3"/>
        <v>1</v>
      </c>
      <c r="I19" s="583">
        <f t="shared" si="4"/>
        <v>30</v>
      </c>
      <c r="J19" s="583">
        <f t="shared" si="5"/>
        <v>1</v>
      </c>
      <c r="K19" s="583">
        <f t="shared" si="6"/>
        <v>30</v>
      </c>
      <c r="V19" s="3"/>
      <c r="W19" s="3"/>
      <c r="X19" s="3"/>
      <c r="Y19" s="3"/>
      <c r="Z19" s="3"/>
    </row>
    <row r="20" spans="1:26" s="2" customFormat="1" ht="18">
      <c r="A20" s="585" t="s">
        <v>62</v>
      </c>
      <c r="B20" s="584">
        <v>1</v>
      </c>
      <c r="C20" s="583">
        <f t="shared" si="0"/>
        <v>30</v>
      </c>
      <c r="D20" s="584">
        <v>1</v>
      </c>
      <c r="E20" s="583">
        <f t="shared" si="1"/>
        <v>30</v>
      </c>
      <c r="F20" s="584">
        <v>1</v>
      </c>
      <c r="G20" s="583">
        <f t="shared" si="2"/>
        <v>30</v>
      </c>
      <c r="H20" s="583">
        <f t="shared" si="3"/>
        <v>1</v>
      </c>
      <c r="I20" s="583">
        <f t="shared" si="4"/>
        <v>30</v>
      </c>
      <c r="J20" s="583">
        <f t="shared" si="5"/>
        <v>1</v>
      </c>
      <c r="K20" s="583">
        <f t="shared" si="6"/>
        <v>30</v>
      </c>
      <c r="V20" s="3"/>
      <c r="W20" s="3"/>
      <c r="X20" s="3"/>
      <c r="Y20" s="3"/>
      <c r="Z20" s="3"/>
    </row>
    <row r="21" spans="1:26" s="2" customFormat="1" ht="18">
      <c r="A21" s="585" t="s">
        <v>63</v>
      </c>
      <c r="B21" s="584">
        <v>1</v>
      </c>
      <c r="C21" s="583">
        <f t="shared" si="0"/>
        <v>30</v>
      </c>
      <c r="D21" s="584">
        <v>1</v>
      </c>
      <c r="E21" s="583">
        <f t="shared" si="1"/>
        <v>30</v>
      </c>
      <c r="F21" s="584">
        <v>1</v>
      </c>
      <c r="G21" s="583">
        <f t="shared" si="2"/>
        <v>30</v>
      </c>
      <c r="H21" s="583">
        <f t="shared" si="3"/>
        <v>1</v>
      </c>
      <c r="I21" s="583">
        <f t="shared" si="4"/>
        <v>30</v>
      </c>
      <c r="J21" s="583">
        <f t="shared" si="5"/>
        <v>1</v>
      </c>
      <c r="K21" s="583">
        <f t="shared" si="6"/>
        <v>30</v>
      </c>
      <c r="V21" s="3"/>
      <c r="W21" s="3"/>
      <c r="X21" s="3"/>
      <c r="Y21" s="3"/>
      <c r="Z21" s="3"/>
    </row>
    <row r="22" spans="1:26" s="2" customFormat="1" ht="18">
      <c r="A22" s="585" t="s">
        <v>64</v>
      </c>
      <c r="B22" s="584">
        <v>1</v>
      </c>
      <c r="C22" s="583">
        <f t="shared" si="0"/>
        <v>30</v>
      </c>
      <c r="D22" s="584">
        <v>1</v>
      </c>
      <c r="E22" s="583">
        <f t="shared" si="1"/>
        <v>30</v>
      </c>
      <c r="F22" s="584">
        <v>1</v>
      </c>
      <c r="G22" s="583">
        <f t="shared" si="2"/>
        <v>30</v>
      </c>
      <c r="H22" s="583">
        <f t="shared" si="3"/>
        <v>1</v>
      </c>
      <c r="I22" s="583">
        <f t="shared" si="4"/>
        <v>30</v>
      </c>
      <c r="J22" s="583">
        <f t="shared" si="5"/>
        <v>1</v>
      </c>
      <c r="K22" s="583">
        <f t="shared" si="6"/>
        <v>30</v>
      </c>
    </row>
    <row r="23" spans="1:26" s="2" customFormat="1" ht="18">
      <c r="A23" s="585" t="s">
        <v>65</v>
      </c>
      <c r="B23" s="584">
        <v>1</v>
      </c>
      <c r="C23" s="583">
        <f t="shared" si="0"/>
        <v>30</v>
      </c>
      <c r="D23" s="584">
        <v>1</v>
      </c>
      <c r="E23" s="583">
        <f t="shared" si="1"/>
        <v>30</v>
      </c>
      <c r="F23" s="584">
        <v>1</v>
      </c>
      <c r="G23" s="583">
        <f t="shared" si="2"/>
        <v>30</v>
      </c>
      <c r="H23" s="583">
        <f t="shared" si="3"/>
        <v>1</v>
      </c>
      <c r="I23" s="583">
        <f t="shared" si="4"/>
        <v>30</v>
      </c>
      <c r="J23" s="583">
        <f t="shared" si="5"/>
        <v>1</v>
      </c>
      <c r="K23" s="583">
        <f t="shared" si="6"/>
        <v>30</v>
      </c>
    </row>
    <row r="24" spans="1:26" s="2" customFormat="1" ht="18">
      <c r="A24" s="585" t="s">
        <v>66</v>
      </c>
      <c r="B24" s="584">
        <v>1</v>
      </c>
      <c r="C24" s="583">
        <f t="shared" si="0"/>
        <v>30</v>
      </c>
      <c r="D24" s="584">
        <v>1</v>
      </c>
      <c r="E24" s="583">
        <f t="shared" si="1"/>
        <v>30</v>
      </c>
      <c r="F24" s="584">
        <v>1</v>
      </c>
      <c r="G24" s="583">
        <f t="shared" si="2"/>
        <v>30</v>
      </c>
      <c r="H24" s="583">
        <f t="shared" si="3"/>
        <v>1</v>
      </c>
      <c r="I24" s="583">
        <f t="shared" si="4"/>
        <v>30</v>
      </c>
      <c r="J24" s="583">
        <f t="shared" si="5"/>
        <v>1</v>
      </c>
      <c r="K24" s="583">
        <f t="shared" si="6"/>
        <v>30</v>
      </c>
    </row>
    <row r="25" spans="1:26" s="2" customFormat="1" ht="18">
      <c r="A25" s="585" t="s">
        <v>67</v>
      </c>
      <c r="B25" s="584">
        <v>1</v>
      </c>
      <c r="C25" s="583">
        <f t="shared" si="0"/>
        <v>30</v>
      </c>
      <c r="D25" s="584">
        <v>1</v>
      </c>
      <c r="E25" s="583">
        <f t="shared" si="1"/>
        <v>30</v>
      </c>
      <c r="F25" s="584">
        <v>1</v>
      </c>
      <c r="G25" s="583">
        <f t="shared" si="2"/>
        <v>30</v>
      </c>
      <c r="H25" s="583">
        <f t="shared" si="3"/>
        <v>1</v>
      </c>
      <c r="I25" s="583">
        <f t="shared" si="4"/>
        <v>30</v>
      </c>
      <c r="J25" s="583">
        <f t="shared" si="5"/>
        <v>1</v>
      </c>
      <c r="K25" s="583">
        <f t="shared" si="6"/>
        <v>30</v>
      </c>
    </row>
    <row r="26" spans="1:26" s="2" customFormat="1" ht="18">
      <c r="A26" s="585" t="s">
        <v>68</v>
      </c>
      <c r="B26" s="584">
        <v>1</v>
      </c>
      <c r="C26" s="583">
        <f t="shared" si="0"/>
        <v>30</v>
      </c>
      <c r="D26" s="584">
        <v>1</v>
      </c>
      <c r="E26" s="583">
        <f t="shared" si="1"/>
        <v>30</v>
      </c>
      <c r="F26" s="584">
        <v>1</v>
      </c>
      <c r="G26" s="583">
        <f t="shared" si="2"/>
        <v>30</v>
      </c>
      <c r="H26" s="583">
        <f t="shared" si="3"/>
        <v>1</v>
      </c>
      <c r="I26" s="583">
        <f t="shared" si="4"/>
        <v>30</v>
      </c>
      <c r="J26" s="583">
        <f t="shared" si="5"/>
        <v>1</v>
      </c>
      <c r="K26" s="583">
        <f t="shared" si="6"/>
        <v>30</v>
      </c>
    </row>
    <row r="27" spans="1:26" s="2" customFormat="1" ht="18">
      <c r="A27" s="585" t="s">
        <v>69</v>
      </c>
      <c r="B27" s="584">
        <v>1</v>
      </c>
      <c r="C27" s="583">
        <f t="shared" si="0"/>
        <v>30</v>
      </c>
      <c r="D27" s="584">
        <v>1</v>
      </c>
      <c r="E27" s="583">
        <f t="shared" si="1"/>
        <v>30</v>
      </c>
      <c r="F27" s="584">
        <v>1</v>
      </c>
      <c r="G27" s="583">
        <f t="shared" si="2"/>
        <v>30</v>
      </c>
      <c r="H27" s="583">
        <f t="shared" si="3"/>
        <v>1</v>
      </c>
      <c r="I27" s="583">
        <f t="shared" si="4"/>
        <v>30</v>
      </c>
      <c r="J27" s="583">
        <f t="shared" si="5"/>
        <v>1</v>
      </c>
      <c r="K27" s="583">
        <f t="shared" si="6"/>
        <v>30</v>
      </c>
    </row>
    <row r="28" spans="1:26" s="2" customFormat="1" ht="18">
      <c r="A28" s="585" t="s">
        <v>70</v>
      </c>
      <c r="B28" s="584">
        <v>1</v>
      </c>
      <c r="C28" s="583">
        <f t="shared" si="0"/>
        <v>30</v>
      </c>
      <c r="D28" s="584">
        <v>1</v>
      </c>
      <c r="E28" s="583">
        <f t="shared" si="1"/>
        <v>30</v>
      </c>
      <c r="F28" s="584">
        <v>1</v>
      </c>
      <c r="G28" s="583">
        <f t="shared" si="2"/>
        <v>30</v>
      </c>
      <c r="H28" s="583">
        <f t="shared" si="3"/>
        <v>1</v>
      </c>
      <c r="I28" s="583">
        <f t="shared" si="4"/>
        <v>30</v>
      </c>
      <c r="J28" s="583">
        <f t="shared" si="5"/>
        <v>1</v>
      </c>
      <c r="K28" s="583">
        <f t="shared" si="6"/>
        <v>30</v>
      </c>
    </row>
    <row r="29" spans="1:26" s="2" customFormat="1" ht="18">
      <c r="A29" s="585" t="s">
        <v>71</v>
      </c>
      <c r="B29" s="584">
        <v>1</v>
      </c>
      <c r="C29" s="583">
        <f t="shared" si="0"/>
        <v>30</v>
      </c>
      <c r="D29" s="584">
        <v>1</v>
      </c>
      <c r="E29" s="583">
        <f t="shared" si="1"/>
        <v>30</v>
      </c>
      <c r="F29" s="584">
        <v>1</v>
      </c>
      <c r="G29" s="583">
        <f t="shared" si="2"/>
        <v>30</v>
      </c>
      <c r="H29" s="583">
        <f t="shared" si="3"/>
        <v>1</v>
      </c>
      <c r="I29" s="583">
        <f t="shared" si="4"/>
        <v>30</v>
      </c>
      <c r="J29" s="583">
        <f t="shared" si="5"/>
        <v>1</v>
      </c>
      <c r="K29" s="583">
        <f t="shared" si="6"/>
        <v>30</v>
      </c>
    </row>
    <row r="30" spans="1:26" s="2" customFormat="1" ht="18">
      <c r="A30" s="585" t="s">
        <v>72</v>
      </c>
      <c r="B30" s="584">
        <v>1</v>
      </c>
      <c r="C30" s="583">
        <f t="shared" si="0"/>
        <v>30</v>
      </c>
      <c r="D30" s="584">
        <v>1</v>
      </c>
      <c r="E30" s="583">
        <f t="shared" si="1"/>
        <v>30</v>
      </c>
      <c r="F30" s="584">
        <v>1</v>
      </c>
      <c r="G30" s="583">
        <f t="shared" si="2"/>
        <v>30</v>
      </c>
      <c r="H30" s="583">
        <f t="shared" si="3"/>
        <v>1</v>
      </c>
      <c r="I30" s="583">
        <f t="shared" si="4"/>
        <v>30</v>
      </c>
      <c r="J30" s="583">
        <f t="shared" si="5"/>
        <v>1</v>
      </c>
      <c r="K30" s="583">
        <f t="shared" si="6"/>
        <v>30</v>
      </c>
    </row>
    <row r="31" spans="1:26" s="2" customFormat="1" ht="18">
      <c r="A31" s="585" t="s">
        <v>73</v>
      </c>
      <c r="B31" s="584">
        <v>1</v>
      </c>
      <c r="C31" s="583">
        <f t="shared" si="0"/>
        <v>30</v>
      </c>
      <c r="D31" s="584">
        <v>1</v>
      </c>
      <c r="E31" s="583">
        <f t="shared" si="1"/>
        <v>30</v>
      </c>
      <c r="F31" s="584">
        <v>1</v>
      </c>
      <c r="G31" s="583">
        <f t="shared" si="2"/>
        <v>30</v>
      </c>
      <c r="H31" s="583">
        <f t="shared" si="3"/>
        <v>1</v>
      </c>
      <c r="I31" s="583">
        <f t="shared" si="4"/>
        <v>30</v>
      </c>
      <c r="J31" s="583">
        <f t="shared" si="5"/>
        <v>1</v>
      </c>
      <c r="K31" s="583">
        <f t="shared" si="6"/>
        <v>30</v>
      </c>
    </row>
    <row r="32" spans="1:26" s="2" customFormat="1" ht="18">
      <c r="A32" s="585" t="s">
        <v>74</v>
      </c>
      <c r="B32" s="584">
        <v>1</v>
      </c>
      <c r="C32" s="583">
        <f t="shared" si="0"/>
        <v>30</v>
      </c>
      <c r="D32" s="584">
        <v>1</v>
      </c>
      <c r="E32" s="583">
        <f t="shared" si="1"/>
        <v>30</v>
      </c>
      <c r="F32" s="584">
        <v>1</v>
      </c>
      <c r="G32" s="583">
        <f t="shared" si="2"/>
        <v>30</v>
      </c>
      <c r="H32" s="583">
        <f t="shared" si="3"/>
        <v>1</v>
      </c>
      <c r="I32" s="583">
        <f t="shared" si="4"/>
        <v>30</v>
      </c>
      <c r="J32" s="583">
        <f t="shared" si="5"/>
        <v>1</v>
      </c>
      <c r="K32" s="583">
        <f t="shared" si="6"/>
        <v>30</v>
      </c>
    </row>
    <row r="33" spans="1:19" s="2" customFormat="1" ht="18">
      <c r="A33" s="585" t="s">
        <v>75</v>
      </c>
      <c r="B33" s="584">
        <v>1</v>
      </c>
      <c r="C33" s="583">
        <f t="shared" si="0"/>
        <v>30</v>
      </c>
      <c r="D33" s="584">
        <v>1</v>
      </c>
      <c r="E33" s="583">
        <f t="shared" si="1"/>
        <v>30</v>
      </c>
      <c r="F33" s="584">
        <v>1</v>
      </c>
      <c r="G33" s="583">
        <f t="shared" si="2"/>
        <v>30</v>
      </c>
      <c r="H33" s="583">
        <f t="shared" si="3"/>
        <v>1</v>
      </c>
      <c r="I33" s="583">
        <f t="shared" si="4"/>
        <v>30</v>
      </c>
      <c r="J33" s="583">
        <f t="shared" si="5"/>
        <v>1</v>
      </c>
      <c r="K33" s="583">
        <f t="shared" si="6"/>
        <v>30</v>
      </c>
    </row>
    <row r="34" spans="1:19" s="2" customFormat="1" ht="18">
      <c r="A34" s="585" t="s">
        <v>76</v>
      </c>
      <c r="B34" s="584">
        <v>1</v>
      </c>
      <c r="C34" s="583">
        <f t="shared" si="0"/>
        <v>30</v>
      </c>
      <c r="D34" s="584">
        <v>1</v>
      </c>
      <c r="E34" s="583">
        <f t="shared" si="1"/>
        <v>30</v>
      </c>
      <c r="F34" s="584">
        <v>1</v>
      </c>
      <c r="G34" s="583">
        <f t="shared" si="2"/>
        <v>30</v>
      </c>
      <c r="H34" s="583">
        <f t="shared" si="3"/>
        <v>1</v>
      </c>
      <c r="I34" s="583">
        <f t="shared" si="4"/>
        <v>30</v>
      </c>
      <c r="J34" s="583">
        <f t="shared" si="5"/>
        <v>1</v>
      </c>
      <c r="K34" s="583">
        <f t="shared" si="6"/>
        <v>30</v>
      </c>
    </row>
    <row r="35" spans="1:19" s="2" customFormat="1" ht="18">
      <c r="A35" s="585" t="s">
        <v>77</v>
      </c>
      <c r="B35" s="584">
        <v>1</v>
      </c>
      <c r="C35" s="583">
        <f t="shared" si="0"/>
        <v>30</v>
      </c>
      <c r="D35" s="584">
        <v>1</v>
      </c>
      <c r="E35" s="583">
        <f t="shared" si="1"/>
        <v>30</v>
      </c>
      <c r="F35" s="584">
        <v>1</v>
      </c>
      <c r="G35" s="583">
        <f t="shared" si="2"/>
        <v>30</v>
      </c>
      <c r="H35" s="583">
        <f t="shared" si="3"/>
        <v>1</v>
      </c>
      <c r="I35" s="583">
        <f t="shared" si="4"/>
        <v>30</v>
      </c>
      <c r="J35" s="583">
        <f t="shared" si="5"/>
        <v>1</v>
      </c>
      <c r="K35" s="583">
        <f t="shared" si="6"/>
        <v>30</v>
      </c>
      <c r="R35" s="140"/>
    </row>
    <row r="36" spans="1:19" s="2" customFormat="1" ht="18">
      <c r="A36" s="582" t="s">
        <v>78</v>
      </c>
      <c r="B36" s="581">
        <v>1</v>
      </c>
      <c r="C36" s="580">
        <f t="shared" si="0"/>
        <v>30</v>
      </c>
      <c r="D36" s="581">
        <v>1</v>
      </c>
      <c r="E36" s="580">
        <f t="shared" si="1"/>
        <v>30</v>
      </c>
      <c r="F36" s="581">
        <v>1</v>
      </c>
      <c r="G36" s="580">
        <f>F36*$C$7</f>
        <v>30</v>
      </c>
      <c r="H36" s="580">
        <f t="shared" si="3"/>
        <v>1</v>
      </c>
      <c r="I36" s="580">
        <f t="shared" si="4"/>
        <v>30</v>
      </c>
      <c r="J36" s="580">
        <f t="shared" si="5"/>
        <v>1</v>
      </c>
      <c r="K36" s="580">
        <f t="shared" si="6"/>
        <v>30</v>
      </c>
    </row>
    <row r="37" spans="1:19" s="3" customFormat="1" ht="27.75" customHeight="1">
      <c r="A37" s="579" t="s">
        <v>79</v>
      </c>
      <c r="B37" s="578">
        <f>SUM(B19:B30)/12</f>
        <v>1</v>
      </c>
      <c r="C37" s="576">
        <f t="shared" si="0"/>
        <v>30</v>
      </c>
      <c r="D37" s="576">
        <f>SUM(D19:D30)/12</f>
        <v>1</v>
      </c>
      <c r="E37" s="576">
        <f t="shared" si="1"/>
        <v>30</v>
      </c>
      <c r="F37" s="576">
        <f>SUM(F19:F30)/12</f>
        <v>1</v>
      </c>
      <c r="G37" s="576">
        <f t="shared" ref="G37:G78" si="7">IF(AND($C$7&gt;=$P$5,$C$7&lt;=$R$5),F37*$C$7*$T$5/100,IF(AND($C$7&gt;=$P$4,$C$7&lt;=$R$4),F37*$C$7*$T$4/100,IF(AND($C$7&gt;=$P$3,$C$7&lt;=$R$3),F37*$C$7*$T$3/100,IF($C$7&gt;=$P$6,F37*$C$7*$T$6/100))))</f>
        <v>30</v>
      </c>
      <c r="H37" s="576">
        <f>SUM(H19:H30)/12</f>
        <v>1</v>
      </c>
      <c r="I37" s="576">
        <f t="shared" ref="I37:I78" si="8">((5*C37)+E37)/6</f>
        <v>30</v>
      </c>
      <c r="J37" s="577">
        <f>SUM(J19:J30)/12</f>
        <v>1</v>
      </c>
      <c r="K37" s="576">
        <f t="shared" ref="K37:K78" si="9">((5*C37)+E37+G37)/7</f>
        <v>30</v>
      </c>
    </row>
    <row r="38" spans="1:19" s="3" customFormat="1" ht="21.75" customHeight="1">
      <c r="A38" s="571" t="s">
        <v>80</v>
      </c>
      <c r="B38" s="575">
        <f>SUM(B18:B22)/5</f>
        <v>1</v>
      </c>
      <c r="C38" s="574">
        <f t="shared" si="0"/>
        <v>30</v>
      </c>
      <c r="D38" s="574">
        <f>SUM(D18:D22)/5</f>
        <v>1</v>
      </c>
      <c r="E38" s="574">
        <f t="shared" si="1"/>
        <v>30</v>
      </c>
      <c r="F38" s="574">
        <f>SUM(F18:F22)/5</f>
        <v>1</v>
      </c>
      <c r="G38" s="574">
        <f t="shared" si="7"/>
        <v>30</v>
      </c>
      <c r="H38" s="574">
        <f>SUM(H18:H22)/5</f>
        <v>1</v>
      </c>
      <c r="I38" s="574">
        <f t="shared" si="8"/>
        <v>30</v>
      </c>
      <c r="J38" s="574">
        <f>SUM(J18:J22)/5</f>
        <v>1</v>
      </c>
      <c r="K38" s="574">
        <f t="shared" si="9"/>
        <v>30</v>
      </c>
    </row>
    <row r="39" spans="1:19" s="3" customFormat="1" ht="21.75" customHeight="1">
      <c r="A39" s="571" t="s">
        <v>167</v>
      </c>
      <c r="B39" s="570">
        <f>SUM(B18:B34)/17</f>
        <v>1</v>
      </c>
      <c r="C39" s="569">
        <f t="shared" ref="C39" si="10">IF(AND($C$7&gt;=$P$5,$C$7&lt;=$R$5),B39*$C$7*$T$5/100,IF(AND($C$7&gt;=$P$4,$C$7&lt;=$R$4),B39*$C$7*$T$4/100,IF(AND($C$7&gt;=$P$3,$C$7&lt;=$R$3),B39*$C$7*$T$3/100,IF($C$7&gt;=$P$6,B39*$C$7*$T$6/100))))</f>
        <v>30</v>
      </c>
      <c r="D39" s="572">
        <f>SUM(D18:D34)/17</f>
        <v>1</v>
      </c>
      <c r="E39" s="569">
        <f t="shared" ref="E39" si="11">IF(AND($C$7&gt;=$P$5,$C$7&lt;=$R$5),D39*$C$7*$T$5/100,IF(AND($C$7&gt;=$P$4,$C$7&lt;=$R$4),D39*$C$7*$T$4/100,IF(AND($C$7&gt;=$P$3,$C$7&lt;=$R$3),D39*$C$7*$T$3/100,IF($C$7&gt;=$P$6,D39*$C$7*$T$6/100))))</f>
        <v>30</v>
      </c>
      <c r="F39" s="572">
        <f>SUM(F18:F34)/17</f>
        <v>1</v>
      </c>
      <c r="G39" s="569">
        <f t="shared" ref="G39" si="12">IF(AND($C$7&gt;=$P$5,$C$7&lt;=$R$5),F39*$C$7*$T$5/100,IF(AND($C$7&gt;=$P$4,$C$7&lt;=$R$4),F39*$C$7*$T$4/100,IF(AND($C$7&gt;=$P$3,$C$7&lt;=$R$3),F39*$C$7*$T$3/100,IF($C$7&gt;=$P$6,F39*$C$7*$T$6/100))))</f>
        <v>30</v>
      </c>
      <c r="H39" s="572">
        <f>SUM(H18:H34)/17</f>
        <v>1</v>
      </c>
      <c r="I39" s="569">
        <f t="shared" ref="I39" si="13">((5*C39)+E39)/6</f>
        <v>30</v>
      </c>
      <c r="J39" s="572">
        <f>SUM(J18:J34)/17</f>
        <v>1</v>
      </c>
      <c r="K39" s="569">
        <f t="shared" ref="K39" si="14">((5*C39)+E39+G39)/7</f>
        <v>30</v>
      </c>
    </row>
    <row r="40" spans="1:19" s="3" customFormat="1" ht="21.75" customHeight="1">
      <c r="A40" s="571" t="s">
        <v>102</v>
      </c>
      <c r="B40" s="570">
        <f>SUM(B18:B36)/19</f>
        <v>1</v>
      </c>
      <c r="C40" s="569">
        <f t="shared" si="0"/>
        <v>30</v>
      </c>
      <c r="D40" s="572">
        <f>SUM(D18:D36)/19</f>
        <v>1</v>
      </c>
      <c r="E40" s="569">
        <f t="shared" si="1"/>
        <v>30</v>
      </c>
      <c r="F40" s="572">
        <f>SUM(F18:F36)/19</f>
        <v>1</v>
      </c>
      <c r="G40" s="569">
        <f t="shared" si="7"/>
        <v>30</v>
      </c>
      <c r="H40" s="572">
        <f>SUM(H18:H36)/19</f>
        <v>1</v>
      </c>
      <c r="I40" s="569">
        <f t="shared" si="8"/>
        <v>30</v>
      </c>
      <c r="J40" s="572">
        <f>SUM(J18:J36)/19</f>
        <v>1</v>
      </c>
      <c r="K40" s="569">
        <f t="shared" si="9"/>
        <v>30</v>
      </c>
      <c r="S40" s="128"/>
    </row>
    <row r="41" spans="1:19" s="3" customFormat="1" ht="21.75" customHeight="1">
      <c r="A41" s="571" t="s">
        <v>81</v>
      </c>
      <c r="B41" s="570">
        <f>SUM(B19:B21)/3</f>
        <v>1</v>
      </c>
      <c r="C41" s="569">
        <f t="shared" si="0"/>
        <v>30</v>
      </c>
      <c r="D41" s="569">
        <f>SUM(D19:D21)/3</f>
        <v>1</v>
      </c>
      <c r="E41" s="569">
        <f t="shared" si="1"/>
        <v>30</v>
      </c>
      <c r="F41" s="569">
        <f>SUM(F19:F21)/3</f>
        <v>1</v>
      </c>
      <c r="G41" s="569">
        <f t="shared" si="7"/>
        <v>30</v>
      </c>
      <c r="H41" s="569">
        <f>SUM(H19:H21)/3</f>
        <v>1</v>
      </c>
      <c r="I41" s="569">
        <f t="shared" si="8"/>
        <v>30</v>
      </c>
      <c r="J41" s="569">
        <f>SUM(J19:J21)/3</f>
        <v>1</v>
      </c>
      <c r="K41" s="569">
        <f t="shared" si="9"/>
        <v>30</v>
      </c>
    </row>
    <row r="42" spans="1:19" s="3" customFormat="1" ht="21.75" customHeight="1">
      <c r="A42" s="571" t="s">
        <v>82</v>
      </c>
      <c r="B42" s="570">
        <f>SUM(B19:B22)/4</f>
        <v>1</v>
      </c>
      <c r="C42" s="569">
        <f t="shared" si="0"/>
        <v>30</v>
      </c>
      <c r="D42" s="569">
        <f>SUM(D19:D22)/4</f>
        <v>1</v>
      </c>
      <c r="E42" s="569">
        <f t="shared" si="1"/>
        <v>30</v>
      </c>
      <c r="F42" s="569">
        <f>SUM(F19:F22)/4</f>
        <v>1</v>
      </c>
      <c r="G42" s="569">
        <f t="shared" si="7"/>
        <v>30</v>
      </c>
      <c r="H42" s="569">
        <f>SUM(H19:H22)/4</f>
        <v>1</v>
      </c>
      <c r="I42" s="569">
        <f t="shared" si="8"/>
        <v>30</v>
      </c>
      <c r="J42" s="569">
        <f>SUM(J19:J22)/4</f>
        <v>1</v>
      </c>
      <c r="K42" s="569">
        <f t="shared" si="9"/>
        <v>30</v>
      </c>
    </row>
    <row r="43" spans="1:19" s="3" customFormat="1" ht="21.75" customHeight="1">
      <c r="A43" s="571" t="s">
        <v>154</v>
      </c>
      <c r="B43" s="570">
        <f>SUM(B19:B26)/8</f>
        <v>1</v>
      </c>
      <c r="C43" s="569">
        <f t="shared" si="0"/>
        <v>30</v>
      </c>
      <c r="D43" s="569">
        <f>SUM(D19:D26)/8</f>
        <v>1</v>
      </c>
      <c r="E43" s="569">
        <f t="shared" si="1"/>
        <v>30</v>
      </c>
      <c r="F43" s="569">
        <f>SUM(F19:F26)/8</f>
        <v>1</v>
      </c>
      <c r="G43" s="569">
        <f t="shared" si="7"/>
        <v>30</v>
      </c>
      <c r="H43" s="569">
        <f>SUM(H19:H26)/8</f>
        <v>1</v>
      </c>
      <c r="I43" s="569">
        <f t="shared" ref="I43" si="15">((5*C43)+E43)/6</f>
        <v>30</v>
      </c>
      <c r="J43" s="569">
        <f>SUM(J19:J26)/8</f>
        <v>1</v>
      </c>
      <c r="K43" s="569">
        <f t="shared" ref="K43" si="16">((5*C43)+E43+G43)/7</f>
        <v>30</v>
      </c>
    </row>
    <row r="44" spans="1:19" s="3" customFormat="1" ht="21.75" customHeight="1">
      <c r="A44" s="571" t="s">
        <v>83</v>
      </c>
      <c r="B44" s="570">
        <f>SUM(B19:B31)/13</f>
        <v>1</v>
      </c>
      <c r="C44" s="569">
        <f t="shared" si="0"/>
        <v>30</v>
      </c>
      <c r="D44" s="569">
        <f>SUM(D19:D31)/13</f>
        <v>1</v>
      </c>
      <c r="E44" s="569">
        <f t="shared" si="1"/>
        <v>30</v>
      </c>
      <c r="F44" s="569">
        <f>SUM(F19:F31)/13</f>
        <v>1</v>
      </c>
      <c r="G44" s="569">
        <f t="shared" si="7"/>
        <v>30</v>
      </c>
      <c r="H44" s="569">
        <f>SUM(H19:H31)/13</f>
        <v>1</v>
      </c>
      <c r="I44" s="569">
        <f t="shared" si="8"/>
        <v>30</v>
      </c>
      <c r="J44" s="569">
        <f>SUM(J19:J31)/13</f>
        <v>1</v>
      </c>
      <c r="K44" s="569">
        <f t="shared" si="9"/>
        <v>30</v>
      </c>
    </row>
    <row r="45" spans="1:19" s="3" customFormat="1" ht="21.75" customHeight="1">
      <c r="A45" s="571" t="s">
        <v>84</v>
      </c>
      <c r="B45" s="570">
        <f>SUM(B19:B32)/14</f>
        <v>1</v>
      </c>
      <c r="C45" s="569">
        <f t="shared" si="0"/>
        <v>30</v>
      </c>
      <c r="D45" s="569">
        <f>SUM(D19:D32)/14</f>
        <v>1</v>
      </c>
      <c r="E45" s="569">
        <f t="shared" si="1"/>
        <v>30</v>
      </c>
      <c r="F45" s="569">
        <f>SUM(F19:F32)/14</f>
        <v>1</v>
      </c>
      <c r="G45" s="569">
        <f t="shared" si="7"/>
        <v>30</v>
      </c>
      <c r="H45" s="569">
        <f>SUM(H19:H32)/14</f>
        <v>1</v>
      </c>
      <c r="I45" s="569">
        <f t="shared" si="8"/>
        <v>30</v>
      </c>
      <c r="J45" s="569">
        <f>SUM(J19:J32)/14</f>
        <v>1</v>
      </c>
      <c r="K45" s="569">
        <f t="shared" si="9"/>
        <v>30</v>
      </c>
    </row>
    <row r="46" spans="1:19" s="3" customFormat="1" ht="21.75" customHeight="1">
      <c r="A46" s="571" t="s">
        <v>85</v>
      </c>
      <c r="B46" s="573">
        <f>SUM(B19:B34)/16</f>
        <v>1</v>
      </c>
      <c r="C46" s="569">
        <f t="shared" ref="C46:C78" si="17">IF(AND($C$7&gt;=$P$5,$C$7&lt;=$R$5),B46*$C$7*$T$5/100,IF(AND($C$7&gt;=$P$4,$C$7&lt;=$R$4),B46*$C$7*$T$4/100,IF(AND($C$7&gt;=$P$3,$C$7&lt;=$R$3),B46*$C$7*$T$3/100,IF($C$7&gt;=$P$6,B46*$C$7*$T$6/100))))</f>
        <v>30</v>
      </c>
      <c r="D46" s="569">
        <f>SUM(D19:D34)/16</f>
        <v>1</v>
      </c>
      <c r="E46" s="569">
        <f t="shared" ref="E46:E78" si="18">IF(AND($C$7&gt;=$P$5,$C$7&lt;=$R$5),D46*$C$7*$T$5/100,IF(AND($C$7&gt;=$P$4,$C$7&lt;=$R$4),D46*$C$7*$T$4/100,IF(AND($C$7&gt;=$P$3,$C$7&lt;=$R$3),D46*$C$7*$T$3/100,IF($C$7&gt;=$P$6,D46*$C$7*$T$6/100))))</f>
        <v>30</v>
      </c>
      <c r="F46" s="569">
        <f>SUM(F19:F34)/16</f>
        <v>1</v>
      </c>
      <c r="G46" s="569">
        <f t="shared" si="7"/>
        <v>30</v>
      </c>
      <c r="H46" s="569">
        <f>SUM(H19:H34)/16</f>
        <v>1</v>
      </c>
      <c r="I46" s="569">
        <f t="shared" si="8"/>
        <v>30</v>
      </c>
      <c r="J46" s="569">
        <f>SUM(J19:J34)/16</f>
        <v>1</v>
      </c>
      <c r="K46" s="569">
        <f t="shared" si="9"/>
        <v>30</v>
      </c>
    </row>
    <row r="47" spans="1:19" ht="21.75" customHeight="1">
      <c r="A47" s="571" t="s">
        <v>115</v>
      </c>
      <c r="B47" s="570">
        <f>SUM(B19:B36)/18</f>
        <v>1</v>
      </c>
      <c r="C47" s="569">
        <f t="shared" si="17"/>
        <v>30</v>
      </c>
      <c r="D47" s="569">
        <f>SUM(D19:D36)/18</f>
        <v>1</v>
      </c>
      <c r="E47" s="569">
        <f t="shared" si="18"/>
        <v>30</v>
      </c>
      <c r="F47" s="569">
        <f>SUM(F19:F36)/18</f>
        <v>1</v>
      </c>
      <c r="G47" s="569">
        <f t="shared" si="7"/>
        <v>30</v>
      </c>
      <c r="H47" s="569">
        <f>SUM(H19:H36)/18</f>
        <v>1</v>
      </c>
      <c r="I47" s="569">
        <f t="shared" si="8"/>
        <v>30</v>
      </c>
      <c r="J47" s="569">
        <f>SUM(J19:J36)/18</f>
        <v>1</v>
      </c>
      <c r="K47" s="569">
        <f t="shared" si="9"/>
        <v>30</v>
      </c>
    </row>
    <row r="48" spans="1:19" ht="21.75" customHeight="1">
      <c r="A48" s="571" t="s">
        <v>122</v>
      </c>
      <c r="B48" s="570">
        <f>SUM(B20:B36)/17</f>
        <v>1</v>
      </c>
      <c r="C48" s="569">
        <f t="shared" si="17"/>
        <v>30</v>
      </c>
      <c r="D48" s="569">
        <f>SUM(D20:D36)/17</f>
        <v>1</v>
      </c>
      <c r="E48" s="569">
        <f t="shared" si="18"/>
        <v>30</v>
      </c>
      <c r="F48" s="569">
        <f>SUM(F20:F36)/17</f>
        <v>1</v>
      </c>
      <c r="G48" s="569">
        <f t="shared" si="7"/>
        <v>30</v>
      </c>
      <c r="H48" s="569">
        <f>SUM(H20:H36)/17</f>
        <v>1</v>
      </c>
      <c r="I48" s="569">
        <f t="shared" si="8"/>
        <v>30</v>
      </c>
      <c r="J48" s="569">
        <f>SUM(J20:J36)/17</f>
        <v>1</v>
      </c>
      <c r="K48" s="569">
        <f t="shared" si="9"/>
        <v>30</v>
      </c>
    </row>
    <row r="49" spans="1:38" s="3" customFormat="1" ht="21.75" customHeight="1">
      <c r="A49" s="571" t="s">
        <v>86</v>
      </c>
      <c r="B49" s="570">
        <f>SUM(B21:B25)/5</f>
        <v>1</v>
      </c>
      <c r="C49" s="569">
        <f t="shared" si="17"/>
        <v>30</v>
      </c>
      <c r="D49" s="569">
        <f>SUM(D21:D25)/5</f>
        <v>1</v>
      </c>
      <c r="E49" s="569">
        <f t="shared" si="18"/>
        <v>30</v>
      </c>
      <c r="F49" s="569">
        <f>SUM(F21:F25)/5</f>
        <v>1</v>
      </c>
      <c r="G49" s="569">
        <f t="shared" si="7"/>
        <v>30</v>
      </c>
      <c r="H49" s="569">
        <f>SUM(H21:H25)/5</f>
        <v>1</v>
      </c>
      <c r="I49" s="569">
        <f t="shared" si="8"/>
        <v>30</v>
      </c>
      <c r="J49" s="569">
        <f>SUM(J21:J25)/5</f>
        <v>1</v>
      </c>
      <c r="K49" s="569">
        <f t="shared" si="9"/>
        <v>30</v>
      </c>
    </row>
    <row r="50" spans="1:38" s="3" customFormat="1" ht="21.75" customHeight="1">
      <c r="A50" s="571" t="s">
        <v>87</v>
      </c>
      <c r="B50" s="570">
        <f>SUM(B21:B30)/10</f>
        <v>1</v>
      </c>
      <c r="C50" s="569">
        <f t="shared" si="17"/>
        <v>30</v>
      </c>
      <c r="D50" s="569">
        <f>SUM(D21:D30)/10</f>
        <v>1</v>
      </c>
      <c r="E50" s="569">
        <f t="shared" si="18"/>
        <v>30</v>
      </c>
      <c r="F50" s="569">
        <f>SUM(F21:F30)/10</f>
        <v>1</v>
      </c>
      <c r="G50" s="569">
        <f t="shared" si="7"/>
        <v>30</v>
      </c>
      <c r="H50" s="569">
        <f>SUM(H21:H30)/10</f>
        <v>1</v>
      </c>
      <c r="I50" s="569">
        <f t="shared" si="8"/>
        <v>30</v>
      </c>
      <c r="J50" s="569">
        <f>SUM(J21:J30)/10</f>
        <v>1</v>
      </c>
      <c r="K50" s="569">
        <f t="shared" si="9"/>
        <v>30</v>
      </c>
    </row>
    <row r="51" spans="1:38" s="3" customFormat="1" ht="21.75" customHeight="1">
      <c r="A51" s="571" t="s">
        <v>100</v>
      </c>
      <c r="B51" s="570">
        <f>SUM(B21:B31)/11</f>
        <v>1</v>
      </c>
      <c r="C51" s="569">
        <f t="shared" si="17"/>
        <v>30</v>
      </c>
      <c r="D51" s="569">
        <f>SUM(D21:D31)/11</f>
        <v>1</v>
      </c>
      <c r="E51" s="569">
        <f t="shared" si="18"/>
        <v>30</v>
      </c>
      <c r="F51" s="569">
        <f>SUM(F21:F31)/11</f>
        <v>1</v>
      </c>
      <c r="G51" s="569">
        <f t="shared" si="7"/>
        <v>30</v>
      </c>
      <c r="H51" s="569">
        <f>SUM(H21:H31)/11</f>
        <v>1</v>
      </c>
      <c r="I51" s="569">
        <f t="shared" si="8"/>
        <v>30</v>
      </c>
      <c r="J51" s="569">
        <f>SUM(J21:J31)/11</f>
        <v>1</v>
      </c>
      <c r="K51" s="569">
        <f t="shared" si="9"/>
        <v>30</v>
      </c>
    </row>
    <row r="52" spans="1:38" s="3" customFormat="1" ht="21.75" customHeight="1">
      <c r="A52" s="571" t="s">
        <v>88</v>
      </c>
      <c r="B52" s="570">
        <f>SUM(B21:B32)/12</f>
        <v>1</v>
      </c>
      <c r="C52" s="569">
        <f t="shared" si="17"/>
        <v>30</v>
      </c>
      <c r="D52" s="569">
        <f>SUM(D21:D32)/12</f>
        <v>1</v>
      </c>
      <c r="E52" s="569">
        <f t="shared" si="18"/>
        <v>30</v>
      </c>
      <c r="F52" s="569">
        <f>SUM(F21:F32)/12</f>
        <v>1</v>
      </c>
      <c r="G52" s="569">
        <f t="shared" si="7"/>
        <v>30</v>
      </c>
      <c r="H52" s="569">
        <f>SUM(H21:H32)/12</f>
        <v>1</v>
      </c>
      <c r="I52" s="569">
        <f t="shared" si="8"/>
        <v>30</v>
      </c>
      <c r="J52" s="569">
        <f>SUM(J21:J32)/12</f>
        <v>1</v>
      </c>
      <c r="K52" s="569">
        <f t="shared" si="9"/>
        <v>30</v>
      </c>
    </row>
    <row r="53" spans="1:38" s="3" customFormat="1" ht="21.75" customHeight="1">
      <c r="A53" s="571" t="s">
        <v>89</v>
      </c>
      <c r="B53" s="570">
        <f>SUM(B21:B34)/14</f>
        <v>1</v>
      </c>
      <c r="C53" s="569">
        <f t="shared" si="17"/>
        <v>30</v>
      </c>
      <c r="D53" s="569">
        <f>SUM(D21:D34)/14</f>
        <v>1</v>
      </c>
      <c r="E53" s="569">
        <f t="shared" si="18"/>
        <v>30</v>
      </c>
      <c r="F53" s="569">
        <f>SUM(F21:F34)/14</f>
        <v>1</v>
      </c>
      <c r="G53" s="569">
        <f t="shared" si="7"/>
        <v>30</v>
      </c>
      <c r="H53" s="569">
        <f>SUM(H21:H34)/14</f>
        <v>1</v>
      </c>
      <c r="I53" s="569">
        <f t="shared" si="8"/>
        <v>30</v>
      </c>
      <c r="J53" s="569">
        <f>SUM(J21:J34)/14</f>
        <v>1</v>
      </c>
      <c r="K53" s="569">
        <f t="shared" si="9"/>
        <v>30</v>
      </c>
    </row>
    <row r="54" spans="1:38" s="3" customFormat="1" ht="21.75" customHeight="1">
      <c r="A54" s="571" t="s">
        <v>138</v>
      </c>
      <c r="B54" s="570">
        <f>SUM(B21:B36)/16</f>
        <v>1</v>
      </c>
      <c r="C54" s="570">
        <f t="shared" si="17"/>
        <v>30</v>
      </c>
      <c r="D54" s="569">
        <f>SUM(D21:D36)/16</f>
        <v>1</v>
      </c>
      <c r="E54" s="569">
        <f t="shared" si="18"/>
        <v>30</v>
      </c>
      <c r="F54" s="569">
        <f>SUM(F21:F36)/16</f>
        <v>1</v>
      </c>
      <c r="G54" s="569">
        <f t="shared" si="7"/>
        <v>30</v>
      </c>
      <c r="H54" s="569">
        <f>SUM(H21:H36)/16</f>
        <v>1</v>
      </c>
      <c r="I54" s="569">
        <f t="shared" si="8"/>
        <v>30</v>
      </c>
      <c r="J54" s="569">
        <f>SUM(J21:J36)/16</f>
        <v>1</v>
      </c>
      <c r="K54" s="569">
        <f t="shared" si="9"/>
        <v>30</v>
      </c>
      <c r="L54" s="165"/>
      <c r="O54" s="158"/>
      <c r="P54" s="158"/>
      <c r="Q54" s="167"/>
      <c r="R54" s="166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</row>
    <row r="55" spans="1:38" s="3" customFormat="1" ht="21.75" customHeight="1">
      <c r="A55" s="571" t="s">
        <v>124</v>
      </c>
      <c r="B55" s="570">
        <f>SUM(B22:B36)/15</f>
        <v>1</v>
      </c>
      <c r="C55" s="569">
        <f t="shared" si="17"/>
        <v>30</v>
      </c>
      <c r="D55" s="569">
        <f>SUM(D22:D36)/15</f>
        <v>1</v>
      </c>
      <c r="E55" s="569">
        <f t="shared" si="18"/>
        <v>30</v>
      </c>
      <c r="F55" s="569">
        <f>SUM(F22:F36)/15</f>
        <v>1</v>
      </c>
      <c r="G55" s="569">
        <f t="shared" si="7"/>
        <v>30</v>
      </c>
      <c r="H55" s="569">
        <f>SUM(H22:H36)/15</f>
        <v>1</v>
      </c>
      <c r="I55" s="569">
        <f t="shared" si="8"/>
        <v>30</v>
      </c>
      <c r="J55" s="569">
        <f>SUM(J22:J36)/15</f>
        <v>1</v>
      </c>
      <c r="K55" s="569">
        <f t="shared" si="9"/>
        <v>30</v>
      </c>
    </row>
    <row r="56" spans="1:38" s="3" customFormat="1" ht="21.75" customHeight="1">
      <c r="A56" s="571" t="s">
        <v>157</v>
      </c>
      <c r="B56" s="570">
        <f>SUM(B23:B27)/5</f>
        <v>1</v>
      </c>
      <c r="C56" s="569">
        <f t="shared" si="17"/>
        <v>30</v>
      </c>
      <c r="D56" s="569">
        <f>SUM(D23:D27)/5</f>
        <v>1</v>
      </c>
      <c r="E56" s="569">
        <f t="shared" si="18"/>
        <v>30</v>
      </c>
      <c r="F56" s="569">
        <f>SUM(F23:F27)/5</f>
        <v>1</v>
      </c>
      <c r="G56" s="569">
        <f t="shared" si="7"/>
        <v>30</v>
      </c>
      <c r="H56" s="569">
        <f>SUM(H23:H27)/5</f>
        <v>1</v>
      </c>
      <c r="I56" s="569">
        <f t="shared" ref="I56" si="19">((5*C56)+E56)/6</f>
        <v>30</v>
      </c>
      <c r="J56" s="569">
        <f>SUM(J23:J27)/5</f>
        <v>1</v>
      </c>
      <c r="K56" s="569">
        <f t="shared" ref="K56" si="20">((5*C56)+E56+G56)/7</f>
        <v>30</v>
      </c>
    </row>
    <row r="57" spans="1:38" s="3" customFormat="1" ht="21.75" customHeight="1">
      <c r="A57" s="571" t="s">
        <v>90</v>
      </c>
      <c r="B57" s="570">
        <f>SUM(B23:B28)/6</f>
        <v>1</v>
      </c>
      <c r="C57" s="569">
        <f t="shared" si="17"/>
        <v>30</v>
      </c>
      <c r="D57" s="569">
        <f>SUM(D23:D28)/6</f>
        <v>1</v>
      </c>
      <c r="E57" s="569">
        <f t="shared" si="18"/>
        <v>30</v>
      </c>
      <c r="F57" s="569">
        <f>SUM(F23:F28)/6</f>
        <v>1</v>
      </c>
      <c r="G57" s="569">
        <f t="shared" si="7"/>
        <v>30</v>
      </c>
      <c r="H57" s="569">
        <f>SUM(H23:H28)/6</f>
        <v>1</v>
      </c>
      <c r="I57" s="569">
        <f t="shared" si="8"/>
        <v>30</v>
      </c>
      <c r="J57" s="569">
        <f>SUM(J23:J28)/6</f>
        <v>1</v>
      </c>
      <c r="K57" s="569">
        <f t="shared" si="9"/>
        <v>30</v>
      </c>
    </row>
    <row r="58" spans="1:38" s="3" customFormat="1" ht="21.75" customHeight="1">
      <c r="A58" s="571" t="s">
        <v>91</v>
      </c>
      <c r="B58" s="570">
        <f>SUM(B23:B30)/8</f>
        <v>1</v>
      </c>
      <c r="C58" s="569">
        <f t="shared" si="17"/>
        <v>30</v>
      </c>
      <c r="D58" s="569">
        <f>SUM(D23:D30)/8</f>
        <v>1</v>
      </c>
      <c r="E58" s="569">
        <f t="shared" si="18"/>
        <v>30</v>
      </c>
      <c r="F58" s="569">
        <f>SUM(F23:F30)/8</f>
        <v>1</v>
      </c>
      <c r="G58" s="569">
        <f t="shared" si="7"/>
        <v>30</v>
      </c>
      <c r="H58" s="569">
        <f>SUM(H23:H30)/8</f>
        <v>1</v>
      </c>
      <c r="I58" s="569">
        <f t="shared" si="8"/>
        <v>30</v>
      </c>
      <c r="J58" s="569">
        <f>SUM(J23:J30)/8</f>
        <v>1</v>
      </c>
      <c r="K58" s="569">
        <f t="shared" si="9"/>
        <v>30</v>
      </c>
    </row>
    <row r="59" spans="1:38" s="3" customFormat="1" ht="21.75" customHeight="1">
      <c r="A59" s="571" t="s">
        <v>99</v>
      </c>
      <c r="B59" s="570">
        <f>SUM(B23:B31)/9</f>
        <v>1</v>
      </c>
      <c r="C59" s="569">
        <f t="shared" si="17"/>
        <v>30</v>
      </c>
      <c r="D59" s="572">
        <f>SUM(D23:D31)/9</f>
        <v>1</v>
      </c>
      <c r="E59" s="569">
        <f t="shared" si="18"/>
        <v>30</v>
      </c>
      <c r="F59" s="572">
        <f>SUM(F23:F31)/9</f>
        <v>1</v>
      </c>
      <c r="G59" s="569">
        <f t="shared" si="7"/>
        <v>30</v>
      </c>
      <c r="H59" s="572">
        <f>SUM(H23:H31)/9</f>
        <v>1</v>
      </c>
      <c r="I59" s="569">
        <f t="shared" si="8"/>
        <v>30</v>
      </c>
      <c r="J59" s="572">
        <f>SUM(J23:J31)/9</f>
        <v>1</v>
      </c>
      <c r="K59" s="569">
        <f t="shared" si="9"/>
        <v>30</v>
      </c>
    </row>
    <row r="60" spans="1:38" s="3" customFormat="1" ht="21.75" customHeight="1">
      <c r="A60" s="571" t="s">
        <v>92</v>
      </c>
      <c r="B60" s="570">
        <f>SUM(B23:B32)/10</f>
        <v>1</v>
      </c>
      <c r="C60" s="569">
        <f t="shared" si="17"/>
        <v>30</v>
      </c>
      <c r="D60" s="569">
        <f>SUM(D23:D32)/10</f>
        <v>1</v>
      </c>
      <c r="E60" s="569">
        <f t="shared" si="18"/>
        <v>30</v>
      </c>
      <c r="F60" s="569">
        <f>SUM(F23:F32)/10</f>
        <v>1</v>
      </c>
      <c r="G60" s="569">
        <f t="shared" si="7"/>
        <v>30</v>
      </c>
      <c r="H60" s="569">
        <f>SUM(H23:H32)/10</f>
        <v>1</v>
      </c>
      <c r="I60" s="569">
        <f t="shared" si="8"/>
        <v>30</v>
      </c>
      <c r="J60" s="569">
        <f>SUM(J23:J32)/10</f>
        <v>1</v>
      </c>
      <c r="K60" s="569">
        <f t="shared" si="9"/>
        <v>30</v>
      </c>
    </row>
    <row r="61" spans="1:38" s="3" customFormat="1" ht="21.75" customHeight="1">
      <c r="A61" s="571" t="s">
        <v>93</v>
      </c>
      <c r="B61" s="570">
        <f>SUM(B23:B34)/12</f>
        <v>1</v>
      </c>
      <c r="C61" s="569">
        <f t="shared" si="17"/>
        <v>30</v>
      </c>
      <c r="D61" s="569">
        <f>SUM(D23:D34)/12</f>
        <v>1</v>
      </c>
      <c r="E61" s="569">
        <f t="shared" si="18"/>
        <v>30</v>
      </c>
      <c r="F61" s="569">
        <f>SUM(F23:F34)/12</f>
        <v>1</v>
      </c>
      <c r="G61" s="569">
        <f t="shared" si="7"/>
        <v>30</v>
      </c>
      <c r="H61" s="569">
        <f>SUM(H23:H34)/12</f>
        <v>1</v>
      </c>
      <c r="I61" s="569">
        <f t="shared" si="8"/>
        <v>30</v>
      </c>
      <c r="J61" s="569">
        <f>SUM(J23:J34)/12</f>
        <v>1</v>
      </c>
      <c r="K61" s="569">
        <f t="shared" si="9"/>
        <v>30</v>
      </c>
      <c r="S61" s="128"/>
    </row>
    <row r="62" spans="1:38" s="3" customFormat="1" ht="21.75" customHeight="1">
      <c r="A62" s="571" t="s">
        <v>108</v>
      </c>
      <c r="B62" s="570">
        <f>SUM(B23:B36)/14</f>
        <v>1</v>
      </c>
      <c r="C62" s="569">
        <f t="shared" si="17"/>
        <v>30</v>
      </c>
      <c r="D62" s="569">
        <f>SUM(D23:D36)/14</f>
        <v>1</v>
      </c>
      <c r="E62" s="569">
        <f t="shared" si="18"/>
        <v>30</v>
      </c>
      <c r="F62" s="569">
        <f>SUM(F23:F36)/14</f>
        <v>1</v>
      </c>
      <c r="G62" s="569">
        <f t="shared" si="7"/>
        <v>30</v>
      </c>
      <c r="H62" s="569">
        <f>SUM(H23:H36)/14</f>
        <v>1</v>
      </c>
      <c r="I62" s="569">
        <f t="shared" si="8"/>
        <v>30</v>
      </c>
      <c r="J62" s="569">
        <f>SUM(J23:J36)/14</f>
        <v>1</v>
      </c>
      <c r="K62" s="569">
        <f t="shared" si="9"/>
        <v>30</v>
      </c>
      <c r="S62" s="128"/>
    </row>
    <row r="63" spans="1:38" s="3" customFormat="1" ht="21.75" customHeight="1">
      <c r="A63" s="571" t="s">
        <v>150</v>
      </c>
      <c r="B63" s="570">
        <f>SUM(B25:B36)/12</f>
        <v>1</v>
      </c>
      <c r="C63" s="569">
        <f t="shared" si="17"/>
        <v>30</v>
      </c>
      <c r="D63" s="569">
        <f>SUM(D25:D36)/12</f>
        <v>1</v>
      </c>
      <c r="E63" s="569">
        <f t="shared" si="18"/>
        <v>30</v>
      </c>
      <c r="F63" s="569">
        <f>SUM(F25:F36)/12</f>
        <v>1</v>
      </c>
      <c r="G63" s="569">
        <f t="shared" si="7"/>
        <v>30</v>
      </c>
      <c r="H63" s="569">
        <f>SUM(H25:H36)/12</f>
        <v>1</v>
      </c>
      <c r="I63" s="569">
        <f t="shared" ref="I63:I65" si="21">((5*C63)+E63)/6</f>
        <v>30</v>
      </c>
      <c r="J63" s="569">
        <f>SUM(J25:J36)/12</f>
        <v>1</v>
      </c>
      <c r="K63" s="569">
        <f t="shared" ref="K63:K65" si="22">((5*C63)+E63+G63)/7</f>
        <v>30</v>
      </c>
      <c r="S63" s="128"/>
    </row>
    <row r="64" spans="1:38" s="3" customFormat="1" ht="21.75" customHeight="1">
      <c r="A64" s="571" t="s">
        <v>165</v>
      </c>
      <c r="B64" s="570">
        <f>SUM(B27:B31)/5</f>
        <v>1</v>
      </c>
      <c r="C64" s="569">
        <f t="shared" si="17"/>
        <v>30</v>
      </c>
      <c r="D64" s="569">
        <f>SUM(D27:D31)/5</f>
        <v>1</v>
      </c>
      <c r="E64" s="569">
        <f t="shared" si="18"/>
        <v>30</v>
      </c>
      <c r="F64" s="569">
        <f>SUM(F27:F31)/5</f>
        <v>1</v>
      </c>
      <c r="G64" s="569">
        <f t="shared" si="7"/>
        <v>30</v>
      </c>
      <c r="H64" s="569">
        <f>SUM(H27:H31)/5</f>
        <v>1</v>
      </c>
      <c r="I64" s="569">
        <f t="shared" ref="I64" si="23">((5*C64)+E64)/6</f>
        <v>30</v>
      </c>
      <c r="J64" s="569">
        <f>SUM(J27:J31)/5</f>
        <v>1</v>
      </c>
      <c r="K64" s="569">
        <f t="shared" ref="K64" si="24">((5*C64)+E64+G64)/7</f>
        <v>30</v>
      </c>
      <c r="S64" s="128"/>
    </row>
    <row r="65" spans="1:19" s="3" customFormat="1" ht="21.75" customHeight="1">
      <c r="A65" s="571" t="s">
        <v>151</v>
      </c>
      <c r="B65" s="570">
        <f>SUM(B27:B32)/6</f>
        <v>1</v>
      </c>
      <c r="C65" s="569">
        <f t="shared" si="17"/>
        <v>30</v>
      </c>
      <c r="D65" s="569">
        <f>SUM(D27:D32)/6</f>
        <v>1</v>
      </c>
      <c r="E65" s="569">
        <f t="shared" si="18"/>
        <v>30</v>
      </c>
      <c r="F65" s="569">
        <f>SUM(F27:F32)/6</f>
        <v>1</v>
      </c>
      <c r="G65" s="569">
        <f t="shared" si="7"/>
        <v>30</v>
      </c>
      <c r="H65" s="569">
        <f>SUM(H27:H32)/6</f>
        <v>1</v>
      </c>
      <c r="I65" s="569">
        <f t="shared" si="21"/>
        <v>30</v>
      </c>
      <c r="J65" s="569">
        <f>SUM(J27:J32)/6</f>
        <v>1</v>
      </c>
      <c r="K65" s="569">
        <f t="shared" si="22"/>
        <v>30</v>
      </c>
      <c r="S65" s="128"/>
    </row>
    <row r="66" spans="1:19" s="3" customFormat="1" ht="21.75" customHeight="1">
      <c r="A66" s="571" t="s">
        <v>149</v>
      </c>
      <c r="B66" s="570">
        <f>SUM(B27:B34)/8</f>
        <v>1</v>
      </c>
      <c r="C66" s="569">
        <f t="shared" si="17"/>
        <v>30</v>
      </c>
      <c r="D66" s="569">
        <f>SUM(D27:D34)/8</f>
        <v>1</v>
      </c>
      <c r="E66" s="569">
        <f t="shared" si="18"/>
        <v>30</v>
      </c>
      <c r="F66" s="569">
        <f>SUM(F27:F34)/8</f>
        <v>1</v>
      </c>
      <c r="G66" s="569">
        <f t="shared" si="7"/>
        <v>30</v>
      </c>
      <c r="H66" s="569">
        <f>SUM(H27:H34)/8</f>
        <v>1</v>
      </c>
      <c r="I66" s="569">
        <f t="shared" ref="I66" si="25">((5*C66)+E66)/6</f>
        <v>30</v>
      </c>
      <c r="J66" s="569">
        <f>SUM(J27:J34)/8</f>
        <v>1</v>
      </c>
      <c r="K66" s="569">
        <f t="shared" ref="K66" si="26">((5*C66)+E66+G66)/7</f>
        <v>30</v>
      </c>
      <c r="S66" s="128"/>
    </row>
    <row r="67" spans="1:19" s="3" customFormat="1" ht="21.75" customHeight="1">
      <c r="A67" s="571" t="s">
        <v>152</v>
      </c>
      <c r="B67" s="570">
        <f>SUM(B27:B36)/10</f>
        <v>1</v>
      </c>
      <c r="C67" s="569">
        <f t="shared" si="17"/>
        <v>30</v>
      </c>
      <c r="D67" s="569">
        <f>SUM(D27:D36)/10</f>
        <v>1</v>
      </c>
      <c r="E67" s="569">
        <f t="shared" si="18"/>
        <v>30</v>
      </c>
      <c r="F67" s="569">
        <f>SUM(F27:F36)/10</f>
        <v>1</v>
      </c>
      <c r="G67" s="569">
        <f t="shared" si="7"/>
        <v>30</v>
      </c>
      <c r="H67" s="569">
        <f>SUM(H27:H36)/10</f>
        <v>1</v>
      </c>
      <c r="I67" s="569">
        <f t="shared" ref="I67:I69" si="27">((5*C67)+E67)/6</f>
        <v>30</v>
      </c>
      <c r="J67" s="569">
        <f>SUM(J27:J36)/10</f>
        <v>1</v>
      </c>
      <c r="K67" s="569">
        <f t="shared" ref="K67:K69" si="28">((5*C67)+E67+G67)/7</f>
        <v>30</v>
      </c>
      <c r="S67" s="128"/>
    </row>
    <row r="68" spans="1:19" s="3" customFormat="1" ht="21.75" customHeight="1">
      <c r="A68" s="571" t="s">
        <v>156</v>
      </c>
      <c r="B68" s="570">
        <f>SUM(B28:B33)/6</f>
        <v>1</v>
      </c>
      <c r="C68" s="569">
        <f t="shared" si="17"/>
        <v>30</v>
      </c>
      <c r="D68" s="570">
        <f>SUM(D28:D33)/6</f>
        <v>1</v>
      </c>
      <c r="E68" s="569">
        <f t="shared" si="18"/>
        <v>30</v>
      </c>
      <c r="F68" s="570">
        <f>SUM(F28:F33)/6</f>
        <v>1</v>
      </c>
      <c r="G68" s="569">
        <f t="shared" si="7"/>
        <v>30</v>
      </c>
      <c r="H68" s="570">
        <f>SUM(H28:H33)/6</f>
        <v>1</v>
      </c>
      <c r="I68" s="569">
        <f t="shared" si="27"/>
        <v>30</v>
      </c>
      <c r="J68" s="570">
        <f>SUM(J28:J33)/6</f>
        <v>1</v>
      </c>
      <c r="K68" s="569">
        <f t="shared" si="28"/>
        <v>30</v>
      </c>
      <c r="S68" s="128"/>
    </row>
    <row r="69" spans="1:19" s="3" customFormat="1" ht="21.75" customHeight="1">
      <c r="A69" s="571" t="s">
        <v>155</v>
      </c>
      <c r="B69" s="570">
        <f>SUM(B28:B34)/7</f>
        <v>1</v>
      </c>
      <c r="C69" s="569">
        <f t="shared" si="17"/>
        <v>30</v>
      </c>
      <c r="D69" s="569">
        <f>SUM(D28:D34)/7</f>
        <v>1</v>
      </c>
      <c r="E69" s="569">
        <f t="shared" si="18"/>
        <v>30</v>
      </c>
      <c r="F69" s="569">
        <f>SUM(F28:F34)/7</f>
        <v>1</v>
      </c>
      <c r="G69" s="569">
        <f t="shared" si="7"/>
        <v>30</v>
      </c>
      <c r="H69" s="569">
        <f>SUM(H28:H34)/7</f>
        <v>1</v>
      </c>
      <c r="I69" s="569">
        <f t="shared" si="27"/>
        <v>30</v>
      </c>
      <c r="J69" s="569">
        <f>SUM(J28:J34)/7</f>
        <v>1</v>
      </c>
      <c r="K69" s="569">
        <f t="shared" si="28"/>
        <v>30</v>
      </c>
      <c r="S69" s="128"/>
    </row>
    <row r="70" spans="1:19" s="3" customFormat="1" ht="21.75" customHeight="1">
      <c r="A70" s="571" t="s">
        <v>158</v>
      </c>
      <c r="B70" s="570">
        <f>SUM(B28:B36)/9</f>
        <v>1</v>
      </c>
      <c r="C70" s="569">
        <f t="shared" si="17"/>
        <v>30</v>
      </c>
      <c r="D70" s="569">
        <f>SUM(D28:D36)/9</f>
        <v>1</v>
      </c>
      <c r="E70" s="569">
        <f t="shared" si="18"/>
        <v>30</v>
      </c>
      <c r="F70" s="569">
        <f>SUM(F28:F36)/9</f>
        <v>1</v>
      </c>
      <c r="G70" s="569">
        <f t="shared" si="7"/>
        <v>30</v>
      </c>
      <c r="H70" s="569">
        <f>SUM(H28:H36)/9</f>
        <v>1</v>
      </c>
      <c r="I70" s="569">
        <f t="shared" ref="I70" si="29">((5*C70)+E70)/6</f>
        <v>30</v>
      </c>
      <c r="J70" s="569">
        <f>SUM(J28:J36)/9</f>
        <v>1</v>
      </c>
      <c r="K70" s="569">
        <f t="shared" ref="K70" si="30">((5*C70)+E70+G70)/7</f>
        <v>30</v>
      </c>
      <c r="S70" s="128"/>
    </row>
    <row r="71" spans="1:19" s="3" customFormat="1" ht="21.75" customHeight="1">
      <c r="A71" s="571" t="s">
        <v>168</v>
      </c>
      <c r="B71" s="570">
        <f>SUM(B29:B31)/3</f>
        <v>1</v>
      </c>
      <c r="C71" s="569">
        <f t="shared" ref="C71" si="31">IF(AND($C$7&gt;=$P$5,$C$7&lt;=$R$5),B71*$C$7*$T$5/100,IF(AND($C$7&gt;=$P$4,$C$7&lt;=$R$4),B71*$C$7*$T$4/100,IF(AND($C$7&gt;=$P$3,$C$7&lt;=$R$3),B71*$C$7*$T$3/100,IF($C$7&gt;=$P$6,B71*$C$7*$T$6/100))))</f>
        <v>30</v>
      </c>
      <c r="D71" s="569">
        <f>SUM(D29:D31)/3</f>
        <v>1</v>
      </c>
      <c r="E71" s="569">
        <f t="shared" ref="E71" si="32">IF(AND($C$7&gt;=$P$5,$C$7&lt;=$R$5),D71*$C$7*$T$5/100,IF(AND($C$7&gt;=$P$4,$C$7&lt;=$R$4),D71*$C$7*$T$4/100,IF(AND($C$7&gt;=$P$3,$C$7&lt;=$R$3),D71*$C$7*$T$3/100,IF($C$7&gt;=$P$6,D71*$C$7*$T$6/100))))</f>
        <v>30</v>
      </c>
      <c r="F71" s="569">
        <f>SUM(F29:F31)/3</f>
        <v>1</v>
      </c>
      <c r="G71" s="569">
        <f t="shared" ref="G71" si="33">IF(AND($C$7&gt;=$P$5,$C$7&lt;=$R$5),F71*$C$7*$T$5/100,IF(AND($C$7&gt;=$P$4,$C$7&lt;=$R$4),F71*$C$7*$T$4/100,IF(AND($C$7&gt;=$P$3,$C$7&lt;=$R$3),F71*$C$7*$T$3/100,IF($C$7&gt;=$P$6,F71*$C$7*$T$6/100))))</f>
        <v>30</v>
      </c>
      <c r="H71" s="569">
        <f>SUM(H29:H31)/3</f>
        <v>1</v>
      </c>
      <c r="I71" s="569">
        <f t="shared" ref="I71" si="34">((5*C71)+E71)/6</f>
        <v>30</v>
      </c>
      <c r="J71" s="569">
        <f>SUM(J29:J31)/3</f>
        <v>1</v>
      </c>
      <c r="K71" s="569">
        <f t="shared" ref="K71" si="35">((5*C71)+E71+G71)/7</f>
        <v>30</v>
      </c>
      <c r="S71" s="128"/>
    </row>
    <row r="72" spans="1:19" s="3" customFormat="1" ht="21.75" customHeight="1">
      <c r="A72" s="571" t="s">
        <v>166</v>
      </c>
      <c r="B72" s="570">
        <f>SUM(B30:B31)/2</f>
        <v>1</v>
      </c>
      <c r="C72" s="569">
        <f t="shared" si="17"/>
        <v>30</v>
      </c>
      <c r="D72" s="569">
        <f>SUM(D30:D31)/2</f>
        <v>1</v>
      </c>
      <c r="E72" s="569">
        <f t="shared" si="18"/>
        <v>30</v>
      </c>
      <c r="F72" s="569">
        <f>SUM(F30:F31)/2</f>
        <v>1</v>
      </c>
      <c r="G72" s="569">
        <f t="shared" si="7"/>
        <v>30</v>
      </c>
      <c r="H72" s="569">
        <f>SUM(H30:H31)/2</f>
        <v>1</v>
      </c>
      <c r="I72" s="569">
        <f t="shared" ref="I72" si="36">((5*C72)+E72)/6</f>
        <v>30</v>
      </c>
      <c r="J72" s="569">
        <f>SUM(J30:J31)/2</f>
        <v>1</v>
      </c>
      <c r="K72" s="569">
        <f t="shared" ref="K72" si="37">((5*C72)+E72+G72)/7</f>
        <v>30</v>
      </c>
      <c r="S72" s="128"/>
    </row>
    <row r="73" spans="1:19" s="3" customFormat="1" ht="21.75" customHeight="1">
      <c r="A73" s="571" t="s">
        <v>101</v>
      </c>
      <c r="B73" s="570">
        <f>SUM(B30:B33)/4</f>
        <v>1</v>
      </c>
      <c r="C73" s="569">
        <f t="shared" si="17"/>
        <v>30</v>
      </c>
      <c r="D73" s="569">
        <f>SUM(D30:D33)/4</f>
        <v>1</v>
      </c>
      <c r="E73" s="569">
        <f t="shared" si="18"/>
        <v>30</v>
      </c>
      <c r="F73" s="569">
        <f>SUM(F30:F33)/4</f>
        <v>1</v>
      </c>
      <c r="G73" s="569">
        <f t="shared" si="7"/>
        <v>30</v>
      </c>
      <c r="H73" s="569">
        <f>SUM(H30:H33)/4</f>
        <v>1</v>
      </c>
      <c r="I73" s="569">
        <f t="shared" si="8"/>
        <v>30</v>
      </c>
      <c r="J73" s="569">
        <f>SUM(J30:J33)/4</f>
        <v>1</v>
      </c>
      <c r="K73" s="569">
        <f t="shared" si="9"/>
        <v>30</v>
      </c>
      <c r="R73" s="546"/>
      <c r="S73" s="128"/>
    </row>
    <row r="74" spans="1:19" s="3" customFormat="1" ht="21.75" customHeight="1">
      <c r="A74" s="571" t="s">
        <v>123</v>
      </c>
      <c r="B74" s="570">
        <f>SUM(B31:B33)/3</f>
        <v>1</v>
      </c>
      <c r="C74" s="569">
        <f t="shared" si="17"/>
        <v>30</v>
      </c>
      <c r="D74" s="572">
        <f>SUM(D31:D33)/3</f>
        <v>1</v>
      </c>
      <c r="E74" s="569">
        <f t="shared" si="18"/>
        <v>30</v>
      </c>
      <c r="F74" s="572">
        <f>SUM(F31:F33)/3</f>
        <v>1</v>
      </c>
      <c r="G74" s="569">
        <f t="shared" si="7"/>
        <v>30</v>
      </c>
      <c r="H74" s="572">
        <f>SUM(H31:H33)/3</f>
        <v>1</v>
      </c>
      <c r="I74" s="569">
        <f t="shared" si="8"/>
        <v>30</v>
      </c>
      <c r="J74" s="572">
        <f>SUM(J31:J33)/3</f>
        <v>1</v>
      </c>
      <c r="K74" s="569">
        <f t="shared" si="9"/>
        <v>30</v>
      </c>
      <c r="S74" s="128"/>
    </row>
    <row r="75" spans="1:19" s="3" customFormat="1" ht="21.75" customHeight="1">
      <c r="A75" s="571" t="s">
        <v>94</v>
      </c>
      <c r="B75" s="570">
        <f>SUM(B31:B34)/4</f>
        <v>1</v>
      </c>
      <c r="C75" s="569">
        <f t="shared" si="17"/>
        <v>30</v>
      </c>
      <c r="D75" s="569">
        <f>SUM(D31:D34)/4</f>
        <v>1</v>
      </c>
      <c r="E75" s="569">
        <f t="shared" si="18"/>
        <v>30</v>
      </c>
      <c r="F75" s="569">
        <f>SUM(F31:F34)/4</f>
        <v>1</v>
      </c>
      <c r="G75" s="569">
        <f t="shared" si="7"/>
        <v>30</v>
      </c>
      <c r="H75" s="569">
        <f>SUM(H31:H34)/4</f>
        <v>1</v>
      </c>
      <c r="I75" s="569">
        <f t="shared" si="8"/>
        <v>30</v>
      </c>
      <c r="J75" s="569">
        <f>SUM(J31:J34)/4</f>
        <v>1</v>
      </c>
      <c r="K75" s="569">
        <f t="shared" si="9"/>
        <v>30</v>
      </c>
      <c r="S75" s="128"/>
    </row>
    <row r="76" spans="1:19" s="3" customFormat="1" ht="21.75" customHeight="1">
      <c r="A76" s="571" t="s">
        <v>95</v>
      </c>
      <c r="B76" s="570">
        <f>SUM(B31:B36)/6</f>
        <v>1</v>
      </c>
      <c r="C76" s="569">
        <f t="shared" si="17"/>
        <v>30</v>
      </c>
      <c r="D76" s="569">
        <f>SUM(D31:D36)/6</f>
        <v>1</v>
      </c>
      <c r="E76" s="569">
        <f t="shared" si="18"/>
        <v>30</v>
      </c>
      <c r="F76" s="569">
        <f>SUM(F31:F36)/6</f>
        <v>1</v>
      </c>
      <c r="G76" s="569">
        <f t="shared" si="7"/>
        <v>30</v>
      </c>
      <c r="H76" s="569">
        <f>SUM(H31:H36)/6</f>
        <v>1</v>
      </c>
      <c r="I76" s="569">
        <f t="shared" si="8"/>
        <v>30</v>
      </c>
      <c r="J76" s="569">
        <f>SUM(J31:J36)/6</f>
        <v>1</v>
      </c>
      <c r="K76" s="569">
        <f t="shared" si="9"/>
        <v>30</v>
      </c>
    </row>
    <row r="77" spans="1:19" s="3" customFormat="1" ht="21.75" customHeight="1">
      <c r="A77" s="571" t="s">
        <v>96</v>
      </c>
      <c r="B77" s="570">
        <f>SUM(B32:B36)/5</f>
        <v>1</v>
      </c>
      <c r="C77" s="569">
        <f t="shared" si="17"/>
        <v>30</v>
      </c>
      <c r="D77" s="569">
        <f>SUM(D32:D36)/5</f>
        <v>1</v>
      </c>
      <c r="E77" s="569">
        <f t="shared" si="18"/>
        <v>30</v>
      </c>
      <c r="F77" s="569">
        <f>SUM(F32:F36)/5</f>
        <v>1</v>
      </c>
      <c r="G77" s="569">
        <f t="shared" si="7"/>
        <v>30</v>
      </c>
      <c r="H77" s="569">
        <f>SUM(H32:H36)/5</f>
        <v>1</v>
      </c>
      <c r="I77" s="569">
        <f t="shared" si="8"/>
        <v>30</v>
      </c>
      <c r="J77" s="569">
        <f>SUM(J32:J36)/5</f>
        <v>1</v>
      </c>
      <c r="K77" s="569">
        <f t="shared" si="9"/>
        <v>30</v>
      </c>
    </row>
    <row r="78" spans="1:19" ht="21.75" customHeight="1">
      <c r="A78" s="571" t="s">
        <v>97</v>
      </c>
      <c r="B78" s="570">
        <f>SUM(B33:B36)/4</f>
        <v>1</v>
      </c>
      <c r="C78" s="569">
        <f t="shared" si="17"/>
        <v>30</v>
      </c>
      <c r="D78" s="569">
        <f>SUM(D33:D36)/4</f>
        <v>1</v>
      </c>
      <c r="E78" s="569">
        <f t="shared" si="18"/>
        <v>30</v>
      </c>
      <c r="F78" s="569">
        <f>SUM(F33:F36)/4</f>
        <v>1</v>
      </c>
      <c r="G78" s="569">
        <f t="shared" si="7"/>
        <v>30</v>
      </c>
      <c r="H78" s="569">
        <f>SUM(H33:H36)/4</f>
        <v>1</v>
      </c>
      <c r="I78" s="569">
        <f t="shared" si="8"/>
        <v>30</v>
      </c>
      <c r="J78" s="569">
        <f>SUM(J33:J36)/4</f>
        <v>1</v>
      </c>
      <c r="K78" s="569">
        <f t="shared" si="9"/>
        <v>30</v>
      </c>
    </row>
    <row r="115" spans="1:1">
      <c r="A115" s="1" t="s">
        <v>55</v>
      </c>
    </row>
    <row r="116" spans="1:1">
      <c r="A116" s="1" t="s">
        <v>0</v>
      </c>
    </row>
    <row r="117" spans="1:1">
      <c r="A117" s="1" t="s">
        <v>21</v>
      </c>
    </row>
    <row r="118" spans="1:1">
      <c r="A118" s="1" t="s">
        <v>136</v>
      </c>
    </row>
    <row r="119" spans="1:1">
      <c r="A119" s="1" t="s">
        <v>137</v>
      </c>
    </row>
  </sheetData>
  <mergeCells count="7">
    <mergeCell ref="E1:N1"/>
    <mergeCell ref="A10:K10"/>
    <mergeCell ref="B11:C11"/>
    <mergeCell ref="D11:E11"/>
    <mergeCell ref="F11:G11"/>
    <mergeCell ref="H11:I11"/>
    <mergeCell ref="J11:K11"/>
  </mergeCells>
  <dataValidations count="3">
    <dataValidation type="list" allowBlank="1" showInputMessage="1" showErrorMessage="1" sqref="E8:E9">
      <formula1>$B$11:$K$11</formula1>
    </dataValidation>
    <dataValidation type="list" allowBlank="1" showInputMessage="1" showErrorMessage="1" sqref="E4:E7">
      <formula1>$A$115:$A$119</formula1>
    </dataValidation>
    <dataValidation type="list" allowBlank="1" showInputMessage="1" showErrorMessage="1" sqref="F4:F9">
      <formula1>$A$37:$A$80</formula1>
    </dataValidation>
  </dataValidations>
  <pageMargins left="0.7" right="0.7" top="0.78740157499999996" bottom="0.78740157499999996" header="0.3" footer="0.3"/>
  <pageSetup paperSize="9" scale="49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77"/>
  <sheetViews>
    <sheetView zoomScale="80" zoomScaleNormal="80" workbookViewId="0">
      <selection activeCell="A4" sqref="A4:BH4"/>
    </sheetView>
  </sheetViews>
  <sheetFormatPr baseColWidth="10" defaultColWidth="14.42578125" defaultRowHeight="15" outlineLevelCol="1"/>
  <cols>
    <col min="1" max="1" width="14.42578125" style="6" customWidth="1"/>
    <col min="2" max="2" width="6" style="6" customWidth="1"/>
    <col min="3" max="4" width="8.85546875" style="76" customWidth="1"/>
    <col min="5" max="5" width="11.140625" style="76" customWidth="1"/>
    <col min="6" max="13" width="8.85546875" style="76" customWidth="1"/>
    <col min="14" max="34" width="4.5703125" style="6" customWidth="1"/>
    <col min="35" max="48" width="4.5703125" style="6" customWidth="1" outlineLevel="1"/>
    <col min="49" max="55" width="4.7109375" style="6" customWidth="1" outlineLevel="1"/>
    <col min="56" max="56" width="14.42578125" style="6"/>
    <col min="57" max="57" width="0" style="6" hidden="1" customWidth="1"/>
    <col min="58" max="58" width="16.85546875" style="6" hidden="1" customWidth="1"/>
    <col min="59" max="61" width="0" style="6" hidden="1" customWidth="1"/>
    <col min="62" max="16384" width="14.42578125" style="6"/>
  </cols>
  <sheetData>
    <row r="1" spans="1:60" s="78" customFormat="1">
      <c r="A1" s="23"/>
      <c r="B1" s="23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</row>
    <row r="2" spans="1:60" s="80" customFormat="1" ht="47.25">
      <c r="A2" s="899"/>
      <c r="B2" s="899"/>
      <c r="C2" s="899"/>
      <c r="D2" s="899"/>
      <c r="E2" s="899"/>
      <c r="F2" s="899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B2" s="899"/>
      <c r="AC2" s="899"/>
      <c r="AD2" s="899"/>
      <c r="AE2" s="899"/>
      <c r="AF2" s="899"/>
      <c r="AG2" s="899"/>
      <c r="AH2" s="899"/>
      <c r="AI2" s="899"/>
      <c r="AJ2" s="899"/>
      <c r="AK2" s="899"/>
      <c r="AL2" s="899"/>
      <c r="AM2" s="899"/>
      <c r="AN2" s="899"/>
      <c r="AO2" s="899"/>
      <c r="AP2" s="899"/>
      <c r="AQ2" s="899"/>
      <c r="AR2" s="899"/>
      <c r="AS2" s="899"/>
      <c r="AT2" s="899"/>
      <c r="AU2" s="899"/>
      <c r="AV2" s="899"/>
      <c r="AW2" s="899"/>
      <c r="AX2" s="899"/>
      <c r="AY2" s="899"/>
      <c r="AZ2" s="899"/>
      <c r="BA2" s="899"/>
      <c r="BB2" s="899"/>
      <c r="BC2" s="899"/>
      <c r="BD2" s="79"/>
      <c r="BE2" s="79"/>
      <c r="BF2" s="79"/>
      <c r="BG2" s="79"/>
      <c r="BH2" s="79"/>
    </row>
    <row r="3" spans="1:60" s="78" customFormat="1" ht="11.25" customHeight="1">
      <c r="A3" s="81"/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23"/>
      <c r="BE3" s="23"/>
      <c r="BF3" s="23"/>
      <c r="BG3" s="23"/>
      <c r="BH3" s="23"/>
    </row>
    <row r="4" spans="1:60" ht="18.75" customHeight="1">
      <c r="A4" s="900" t="s">
        <v>169</v>
      </c>
      <c r="B4" s="900"/>
      <c r="C4" s="900"/>
      <c r="D4" s="900"/>
      <c r="E4" s="900"/>
      <c r="F4" s="900"/>
      <c r="G4" s="900"/>
      <c r="H4" s="900"/>
      <c r="I4" s="900"/>
      <c r="J4" s="900"/>
      <c r="K4" s="900"/>
      <c r="L4" s="900"/>
      <c r="M4" s="900"/>
      <c r="N4" s="900"/>
      <c r="O4" s="900"/>
      <c r="P4" s="900"/>
      <c r="Q4" s="900"/>
      <c r="R4" s="900"/>
      <c r="S4" s="900"/>
      <c r="T4" s="900"/>
      <c r="U4" s="900"/>
      <c r="V4" s="900"/>
      <c r="W4" s="900"/>
      <c r="X4" s="900"/>
      <c r="Y4" s="900"/>
      <c r="Z4" s="900"/>
      <c r="AA4" s="900"/>
      <c r="AB4" s="900"/>
      <c r="AC4" s="900"/>
      <c r="AD4" s="900"/>
      <c r="AE4" s="900"/>
      <c r="AF4" s="900"/>
      <c r="AG4" s="900"/>
      <c r="AH4" s="900"/>
      <c r="AI4" s="900"/>
      <c r="AJ4" s="900"/>
      <c r="AK4" s="900"/>
      <c r="AL4" s="900"/>
      <c r="AM4" s="900"/>
      <c r="AN4" s="900"/>
      <c r="AO4" s="900"/>
      <c r="AP4" s="900"/>
      <c r="AQ4" s="900"/>
      <c r="AR4" s="900"/>
      <c r="AS4" s="900"/>
      <c r="AT4" s="900"/>
      <c r="AU4" s="900"/>
      <c r="AV4" s="900"/>
      <c r="AW4" s="900"/>
      <c r="AX4" s="900"/>
      <c r="AY4" s="900"/>
      <c r="AZ4" s="900"/>
      <c r="BA4" s="900"/>
      <c r="BB4" s="900"/>
      <c r="BC4" s="900"/>
      <c r="BD4" s="900"/>
      <c r="BE4" s="900"/>
      <c r="BF4" s="900"/>
      <c r="BG4" s="900"/>
      <c r="BH4" s="900"/>
    </row>
    <row r="5" spans="1:60" s="9" customFormat="1" ht="18.75" thickBot="1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7"/>
      <c r="Q5" s="12"/>
      <c r="R5" s="10"/>
      <c r="S5" s="10"/>
      <c r="T5" s="10"/>
      <c r="U5" s="10"/>
      <c r="V5" s="13"/>
      <c r="W5" s="13"/>
      <c r="X5" s="13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 spans="1:60" s="16" customFormat="1" ht="18.75" thickBot="1">
      <c r="A6" s="10"/>
      <c r="B6" s="84" t="s">
        <v>1</v>
      </c>
      <c r="C6" s="85"/>
      <c r="D6" s="11"/>
      <c r="E6" s="1070"/>
      <c r="F6" s="1071"/>
      <c r="G6" s="1072"/>
      <c r="H6" s="85"/>
      <c r="I6" s="1073" t="s">
        <v>2</v>
      </c>
      <c r="J6" s="1074"/>
      <c r="K6" s="1074"/>
      <c r="L6" s="652"/>
      <c r="M6" s="1075">
        <f>B41+F41+J41</f>
        <v>0</v>
      </c>
      <c r="N6" s="1075"/>
      <c r="O6" s="1076"/>
      <c r="P6" s="3"/>
      <c r="Q6" s="89"/>
      <c r="R6" s="143" t="s">
        <v>110</v>
      </c>
      <c r="S6" s="144"/>
      <c r="T6" s="144"/>
      <c r="U6" s="144"/>
      <c r="V6" s="145" t="s">
        <v>113</v>
      </c>
      <c r="W6" s="13"/>
      <c r="X6" s="13"/>
      <c r="Y6" s="18"/>
      <c r="Z6" s="12"/>
      <c r="AA6" s="12"/>
      <c r="AB6" s="12"/>
      <c r="AC6" s="12"/>
      <c r="AD6" s="12"/>
      <c r="AE6" s="10"/>
      <c r="AF6" s="10"/>
      <c r="AG6" s="10"/>
      <c r="AH6" s="10"/>
      <c r="AI6" s="13"/>
      <c r="AJ6" s="13"/>
      <c r="AK6" s="13"/>
      <c r="AL6" s="13"/>
      <c r="AM6" s="10"/>
      <c r="AN6" s="903"/>
      <c r="AO6" s="903"/>
      <c r="AP6" s="903"/>
      <c r="AQ6" s="903"/>
      <c r="AR6" s="903"/>
      <c r="AS6" s="903"/>
      <c r="AT6" s="903"/>
      <c r="AU6" s="903"/>
      <c r="AV6" s="903"/>
      <c r="AW6" s="10"/>
      <c r="AX6" s="10"/>
      <c r="AY6" s="10"/>
      <c r="AZ6" s="10"/>
      <c r="BA6" s="10"/>
      <c r="BB6" s="10"/>
      <c r="BC6" s="10"/>
      <c r="BD6" s="10"/>
      <c r="BE6" s="14">
        <f>WEEKDAY(AP7,2)</f>
        <v>6</v>
      </c>
      <c r="BF6" s="15">
        <f>DAYS360(AP7,AP8)+1</f>
        <v>1</v>
      </c>
      <c r="BG6" s="10"/>
      <c r="BH6" s="10"/>
    </row>
    <row r="7" spans="1:60" s="16" customFormat="1" ht="18.75" thickBot="1">
      <c r="A7" s="10"/>
      <c r="B7" s="84" t="s">
        <v>3</v>
      </c>
      <c r="C7" s="85"/>
      <c r="D7" s="11"/>
      <c r="E7" s="1070"/>
      <c r="F7" s="1071"/>
      <c r="G7" s="1072"/>
      <c r="H7" s="85"/>
      <c r="I7" s="1077" t="s">
        <v>4</v>
      </c>
      <c r="J7" s="907"/>
      <c r="K7" s="907"/>
      <c r="L7" s="568"/>
      <c r="M7" s="904">
        <f>G9*M6</f>
        <v>0</v>
      </c>
      <c r="N7" s="904"/>
      <c r="O7" s="1078"/>
      <c r="P7" s="3"/>
      <c r="Q7" s="89"/>
      <c r="R7" s="146">
        <v>1</v>
      </c>
      <c r="S7" s="147" t="s">
        <v>112</v>
      </c>
      <c r="T7" s="147">
        <v>15</v>
      </c>
      <c r="U7" s="147" t="s">
        <v>23</v>
      </c>
      <c r="V7" s="148">
        <v>110</v>
      </c>
      <c r="W7" s="13"/>
      <c r="X7" s="13"/>
      <c r="Y7" s="18"/>
      <c r="Z7" s="12"/>
      <c r="AA7" s="12"/>
      <c r="AB7" s="12"/>
      <c r="AC7" s="12"/>
      <c r="AD7" s="89"/>
      <c r="AE7" s="10"/>
      <c r="AF7" s="10"/>
      <c r="AG7" s="10"/>
      <c r="AH7" s="10"/>
      <c r="AI7" s="13"/>
      <c r="AJ7" s="13"/>
      <c r="AK7" s="13"/>
      <c r="AL7" s="13"/>
      <c r="AM7" s="10"/>
      <c r="AN7" s="18"/>
      <c r="AO7" s="18"/>
      <c r="AP7" s="19"/>
      <c r="AQ7" s="19"/>
      <c r="AR7" s="19"/>
      <c r="AS7" s="19"/>
      <c r="AT7" s="19"/>
      <c r="AU7" s="19"/>
      <c r="AV7" s="19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s="16" customFormat="1" ht="18.75" thickBot="1">
      <c r="A8" s="10"/>
      <c r="B8" s="84" t="s">
        <v>5</v>
      </c>
      <c r="C8" s="85"/>
      <c r="D8" s="11"/>
      <c r="E8" s="1070"/>
      <c r="F8" s="1071"/>
      <c r="G8" s="1072"/>
      <c r="H8" s="85"/>
      <c r="I8" s="1079" t="s">
        <v>6</v>
      </c>
      <c r="J8" s="1080"/>
      <c r="K8" s="1080"/>
      <c r="L8" s="651"/>
      <c r="M8" s="1081">
        <f>E41+I41+M41</f>
        <v>0</v>
      </c>
      <c r="N8" s="1081"/>
      <c r="O8" s="1082"/>
      <c r="P8" s="3"/>
      <c r="Q8" s="12"/>
      <c r="R8" s="146">
        <v>16</v>
      </c>
      <c r="S8" s="147" t="s">
        <v>112</v>
      </c>
      <c r="T8" s="147">
        <v>24</v>
      </c>
      <c r="U8" s="147" t="s">
        <v>23</v>
      </c>
      <c r="V8" s="148">
        <v>105</v>
      </c>
      <c r="W8" s="10"/>
      <c r="X8" s="10"/>
      <c r="Y8" s="18"/>
      <c r="Z8" s="12"/>
      <c r="AA8" s="12"/>
      <c r="AB8" s="90"/>
      <c r="AC8" s="12"/>
      <c r="AD8" s="89"/>
      <c r="AE8" s="10"/>
      <c r="AF8" s="10"/>
      <c r="AG8" s="10"/>
      <c r="AH8" s="10"/>
      <c r="AI8" s="13"/>
      <c r="AJ8" s="13"/>
      <c r="AK8" s="13"/>
      <c r="AL8" s="13"/>
      <c r="AM8" s="10"/>
      <c r="AN8" s="18"/>
      <c r="AO8" s="18"/>
      <c r="AP8" s="19"/>
      <c r="AQ8" s="19"/>
      <c r="AR8" s="19"/>
      <c r="AS8" s="19"/>
      <c r="AT8" s="19"/>
      <c r="AU8" s="19"/>
      <c r="AV8" s="19"/>
      <c r="AW8" s="10"/>
      <c r="AX8" s="20"/>
      <c r="AY8" s="10"/>
      <c r="AZ8" s="10"/>
      <c r="BA8" s="10"/>
      <c r="BB8" s="10"/>
      <c r="BC8" s="10"/>
      <c r="BD8" s="10"/>
      <c r="BE8" s="10"/>
      <c r="BF8" s="17"/>
      <c r="BG8" s="10"/>
      <c r="BH8" s="10"/>
    </row>
    <row r="9" spans="1:60" s="16" customFormat="1" ht="18.75" thickBot="1">
      <c r="A9" s="10"/>
      <c r="B9" s="3" t="s">
        <v>7</v>
      </c>
      <c r="C9" s="85"/>
      <c r="D9" s="85"/>
      <c r="E9" s="85"/>
      <c r="F9" s="85"/>
      <c r="G9" s="649">
        <v>10</v>
      </c>
      <c r="H9" s="85"/>
      <c r="I9" s="1077" t="s">
        <v>46</v>
      </c>
      <c r="J9" s="907"/>
      <c r="K9" s="907"/>
      <c r="L9" s="650">
        <v>0.05</v>
      </c>
      <c r="M9" s="1010">
        <f>M8*L9</f>
        <v>0</v>
      </c>
      <c r="N9" s="1010"/>
      <c r="O9" s="1091"/>
      <c r="P9" s="3"/>
      <c r="Q9" s="12"/>
      <c r="R9" s="146">
        <v>25</v>
      </c>
      <c r="S9" s="147" t="s">
        <v>112</v>
      </c>
      <c r="T9" s="147">
        <v>34</v>
      </c>
      <c r="U9" s="147" t="s">
        <v>23</v>
      </c>
      <c r="V9" s="148">
        <v>100</v>
      </c>
      <c r="W9" s="10"/>
      <c r="X9" s="10"/>
      <c r="Y9" s="18"/>
      <c r="Z9" s="12"/>
      <c r="AA9" s="12"/>
      <c r="AB9" s="12"/>
      <c r="AC9" s="12"/>
      <c r="AD9" s="12"/>
      <c r="AE9" s="10"/>
      <c r="AF9" s="10"/>
      <c r="AG9" s="10"/>
      <c r="AH9" s="10"/>
      <c r="AI9" s="10"/>
      <c r="AJ9" s="10"/>
      <c r="AK9" s="10"/>
      <c r="AL9" s="10"/>
      <c r="AM9" s="10"/>
      <c r="AN9" s="18"/>
      <c r="AO9" s="18"/>
      <c r="AP9" s="18"/>
      <c r="AQ9" s="18"/>
      <c r="AR9" s="18"/>
      <c r="AS9" s="18"/>
      <c r="AT9" s="18"/>
      <c r="AU9" s="18"/>
      <c r="AV9" s="18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60" s="16" customFormat="1" ht="18.75" thickBot="1">
      <c r="A10" s="10"/>
      <c r="B10" s="3" t="s">
        <v>98</v>
      </c>
      <c r="C10" s="85"/>
      <c r="D10" s="85"/>
      <c r="E10" s="85"/>
      <c r="F10" s="85"/>
      <c r="G10" s="649">
        <v>50</v>
      </c>
      <c r="H10" s="85"/>
      <c r="I10" s="1077" t="s">
        <v>47</v>
      </c>
      <c r="J10" s="907"/>
      <c r="K10" s="907"/>
      <c r="L10" s="568"/>
      <c r="M10" s="1010">
        <f>M8-M9</f>
        <v>0</v>
      </c>
      <c r="N10" s="1010"/>
      <c r="O10" s="1091"/>
      <c r="P10" s="3"/>
      <c r="Q10" s="12"/>
      <c r="R10" s="149">
        <v>35</v>
      </c>
      <c r="S10" s="150" t="s">
        <v>112</v>
      </c>
      <c r="T10" s="150">
        <v>99</v>
      </c>
      <c r="U10" s="150" t="s">
        <v>23</v>
      </c>
      <c r="V10" s="151">
        <v>95</v>
      </c>
      <c r="W10" s="10"/>
      <c r="X10" s="10"/>
      <c r="Y10" s="18"/>
      <c r="Z10" s="12"/>
      <c r="AA10" s="12"/>
      <c r="AB10" s="12"/>
      <c r="AC10" s="12"/>
      <c r="AD10" s="12"/>
      <c r="AE10" s="10"/>
      <c r="AF10" s="10"/>
      <c r="AG10" s="10"/>
      <c r="AH10" s="10"/>
      <c r="AI10" s="10"/>
      <c r="AJ10" s="10"/>
      <c r="AK10" s="10"/>
      <c r="AL10" s="10"/>
      <c r="AM10" s="10"/>
      <c r="AN10" s="18"/>
      <c r="AO10" s="18"/>
      <c r="AP10" s="18"/>
      <c r="AQ10" s="18"/>
      <c r="AR10" s="18"/>
      <c r="AS10" s="18"/>
      <c r="AT10" s="18"/>
      <c r="AU10" s="18"/>
      <c r="AV10" s="18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1:60" s="16" customFormat="1" ht="18.75" thickBot="1">
      <c r="A11" s="10"/>
      <c r="B11" s="3"/>
      <c r="C11" s="85"/>
      <c r="D11" s="85"/>
      <c r="E11" s="85"/>
      <c r="F11" s="85"/>
      <c r="G11" s="85"/>
      <c r="H11" s="85"/>
      <c r="I11" s="1092" t="s">
        <v>48</v>
      </c>
      <c r="J11" s="1093"/>
      <c r="K11" s="1093"/>
      <c r="L11" s="648">
        <v>0.15</v>
      </c>
      <c r="M11" s="1094">
        <f>M10*L11</f>
        <v>0</v>
      </c>
      <c r="N11" s="1094"/>
      <c r="O11" s="1095"/>
      <c r="P11" s="3"/>
      <c r="Q11" s="12"/>
      <c r="R11" s="10"/>
      <c r="S11" s="10"/>
      <c r="T11" s="10"/>
      <c r="U11" s="10"/>
      <c r="V11" s="13"/>
      <c r="W11" s="13"/>
      <c r="X11" s="13"/>
      <c r="Y11" s="18"/>
      <c r="Z11" s="12"/>
      <c r="AA11" s="12"/>
      <c r="AB11" s="12"/>
      <c r="AC11" s="12"/>
      <c r="AD11" s="12"/>
      <c r="AE11" s="10"/>
      <c r="AF11" s="10"/>
      <c r="AG11" s="10"/>
      <c r="AH11" s="10"/>
      <c r="AI11" s="10"/>
      <c r="AJ11" s="10"/>
      <c r="AK11" s="10"/>
      <c r="AL11" s="10"/>
      <c r="AM11" s="10"/>
      <c r="AN11" s="18"/>
      <c r="AO11" s="18"/>
      <c r="AP11" s="18"/>
      <c r="AQ11" s="18"/>
      <c r="AR11" s="18"/>
      <c r="AS11" s="18"/>
      <c r="AT11" s="18"/>
      <c r="AU11" s="18"/>
      <c r="AV11" s="18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16" customFormat="1" ht="20.25" thickBot="1">
      <c r="A12" s="10"/>
      <c r="B12" s="21"/>
      <c r="C12" s="11"/>
      <c r="D12" s="11"/>
      <c r="E12" s="11"/>
      <c r="F12" s="11"/>
      <c r="G12" s="11"/>
      <c r="H12" s="11"/>
      <c r="I12" s="1079" t="s">
        <v>49</v>
      </c>
      <c r="J12" s="1080"/>
      <c r="K12" s="1080"/>
      <c r="L12" s="647"/>
      <c r="M12" s="1096">
        <f>M10-M11</f>
        <v>0</v>
      </c>
      <c r="N12" s="1096"/>
      <c r="O12" s="1097"/>
      <c r="P12" s="10"/>
      <c r="Q12" s="89"/>
      <c r="R12" s="10"/>
      <c r="S12" s="10"/>
      <c r="T12" s="10"/>
      <c r="U12" s="10"/>
      <c r="V12" s="13"/>
      <c r="W12" s="13"/>
      <c r="X12" s="13"/>
      <c r="Y12" s="18"/>
      <c r="Z12" s="12"/>
      <c r="AA12" s="12"/>
      <c r="AB12" s="12"/>
      <c r="AC12" s="12"/>
      <c r="AD12" s="12"/>
      <c r="AE12" s="10"/>
      <c r="AF12" s="10"/>
      <c r="AG12" s="10"/>
      <c r="AH12" s="10"/>
      <c r="AI12" s="10"/>
      <c r="AJ12" s="10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spans="1:60" s="1" customFormat="1" ht="15.75" thickBot="1">
      <c r="A13" s="2"/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"/>
      <c r="BE13" s="2"/>
      <c r="BF13" s="2"/>
      <c r="BG13" s="2"/>
      <c r="BH13" s="2"/>
    </row>
    <row r="14" spans="1:60" s="25" customFormat="1" ht="15.75">
      <c r="A14" s="646" t="s">
        <v>8</v>
      </c>
      <c r="B14" s="1083" t="s">
        <v>9</v>
      </c>
      <c r="C14" s="1084"/>
      <c r="D14" s="1084"/>
      <c r="E14" s="1085"/>
      <c r="F14" s="1086" t="s">
        <v>10</v>
      </c>
      <c r="G14" s="1087"/>
      <c r="H14" s="1087"/>
      <c r="I14" s="1088"/>
      <c r="J14" s="1086" t="s">
        <v>11</v>
      </c>
      <c r="K14" s="1087"/>
      <c r="L14" s="1087"/>
      <c r="M14" s="1088"/>
      <c r="N14" s="1089" t="s">
        <v>50</v>
      </c>
      <c r="O14" s="1084"/>
      <c r="P14" s="1084"/>
      <c r="Q14" s="1084"/>
      <c r="R14" s="1084"/>
      <c r="S14" s="1084"/>
      <c r="T14" s="1090"/>
      <c r="U14" s="1089" t="s">
        <v>51</v>
      </c>
      <c r="V14" s="1084"/>
      <c r="W14" s="1084"/>
      <c r="X14" s="1084"/>
      <c r="Y14" s="1084"/>
      <c r="Z14" s="1084"/>
      <c r="AA14" s="1090"/>
      <c r="AB14" s="1089" t="s">
        <v>52</v>
      </c>
      <c r="AC14" s="1084"/>
      <c r="AD14" s="1084"/>
      <c r="AE14" s="1084"/>
      <c r="AF14" s="1084"/>
      <c r="AG14" s="1084"/>
      <c r="AH14" s="1090"/>
      <c r="AI14" s="1089" t="s">
        <v>12</v>
      </c>
      <c r="AJ14" s="1084"/>
      <c r="AK14" s="1084"/>
      <c r="AL14" s="1084"/>
      <c r="AM14" s="1084"/>
      <c r="AN14" s="1084"/>
      <c r="AO14" s="1090"/>
      <c r="AP14" s="1089" t="s">
        <v>13</v>
      </c>
      <c r="AQ14" s="1084"/>
      <c r="AR14" s="1084"/>
      <c r="AS14" s="1084"/>
      <c r="AT14" s="1084"/>
      <c r="AU14" s="1084"/>
      <c r="AV14" s="1090"/>
      <c r="AW14" s="1083" t="s">
        <v>14</v>
      </c>
      <c r="AX14" s="1084"/>
      <c r="AY14" s="1084"/>
      <c r="AZ14" s="1084"/>
      <c r="BA14" s="1084"/>
      <c r="BB14" s="1084"/>
      <c r="BC14" s="1090"/>
      <c r="BD14" s="3"/>
      <c r="BE14" s="3"/>
      <c r="BF14" s="3"/>
      <c r="BG14" s="3"/>
      <c r="BH14" s="3"/>
    </row>
    <row r="15" spans="1:60" s="35" customFormat="1">
      <c r="A15" s="645"/>
      <c r="B15" s="639"/>
      <c r="C15" s="642" t="s">
        <v>15</v>
      </c>
      <c r="D15" s="642" t="s">
        <v>15</v>
      </c>
      <c r="E15" s="644" t="s">
        <v>15</v>
      </c>
      <c r="F15" s="643"/>
      <c r="G15" s="642" t="s">
        <v>15</v>
      </c>
      <c r="H15" s="642" t="s">
        <v>15</v>
      </c>
      <c r="I15" s="641" t="s">
        <v>15</v>
      </c>
      <c r="J15" s="643"/>
      <c r="K15" s="642" t="s">
        <v>15</v>
      </c>
      <c r="L15" s="642" t="s">
        <v>15</v>
      </c>
      <c r="M15" s="641" t="s">
        <v>15</v>
      </c>
      <c r="N15" s="640" t="s">
        <v>16</v>
      </c>
      <c r="O15" s="638" t="s">
        <v>17</v>
      </c>
      <c r="P15" s="638" t="s">
        <v>18</v>
      </c>
      <c r="Q15" s="638" t="s">
        <v>19</v>
      </c>
      <c r="R15" s="638" t="s">
        <v>20</v>
      </c>
      <c r="S15" s="638" t="s">
        <v>0</v>
      </c>
      <c r="T15" s="637" t="s">
        <v>21</v>
      </c>
      <c r="U15" s="640" t="s">
        <v>16</v>
      </c>
      <c r="V15" s="638" t="s">
        <v>17</v>
      </c>
      <c r="W15" s="638" t="s">
        <v>18</v>
      </c>
      <c r="X15" s="638" t="s">
        <v>19</v>
      </c>
      <c r="Y15" s="638" t="s">
        <v>20</v>
      </c>
      <c r="Z15" s="638" t="s">
        <v>0</v>
      </c>
      <c r="AA15" s="637" t="s">
        <v>21</v>
      </c>
      <c r="AB15" s="640" t="s">
        <v>16</v>
      </c>
      <c r="AC15" s="638" t="s">
        <v>17</v>
      </c>
      <c r="AD15" s="638" t="s">
        <v>18</v>
      </c>
      <c r="AE15" s="638" t="s">
        <v>19</v>
      </c>
      <c r="AF15" s="638" t="s">
        <v>20</v>
      </c>
      <c r="AG15" s="638" t="s">
        <v>0</v>
      </c>
      <c r="AH15" s="637" t="s">
        <v>21</v>
      </c>
      <c r="AI15" s="640" t="s">
        <v>16</v>
      </c>
      <c r="AJ15" s="638" t="s">
        <v>17</v>
      </c>
      <c r="AK15" s="638" t="s">
        <v>18</v>
      </c>
      <c r="AL15" s="638" t="s">
        <v>19</v>
      </c>
      <c r="AM15" s="638" t="s">
        <v>20</v>
      </c>
      <c r="AN15" s="638" t="s">
        <v>0</v>
      </c>
      <c r="AO15" s="637" t="s">
        <v>21</v>
      </c>
      <c r="AP15" s="640" t="s">
        <v>16</v>
      </c>
      <c r="AQ15" s="638" t="s">
        <v>17</v>
      </c>
      <c r="AR15" s="638" t="s">
        <v>18</v>
      </c>
      <c r="AS15" s="638" t="s">
        <v>19</v>
      </c>
      <c r="AT15" s="638" t="s">
        <v>20</v>
      </c>
      <c r="AU15" s="638" t="s">
        <v>0</v>
      </c>
      <c r="AV15" s="637" t="s">
        <v>21</v>
      </c>
      <c r="AW15" s="639" t="s">
        <v>16</v>
      </c>
      <c r="AX15" s="638" t="s">
        <v>17</v>
      </c>
      <c r="AY15" s="638" t="s">
        <v>18</v>
      </c>
      <c r="AZ15" s="638" t="s">
        <v>19</v>
      </c>
      <c r="BA15" s="638" t="s">
        <v>20</v>
      </c>
      <c r="BB15" s="638" t="s">
        <v>0</v>
      </c>
      <c r="BC15" s="637" t="s">
        <v>21</v>
      </c>
      <c r="BD15" s="4"/>
      <c r="BE15" s="4"/>
      <c r="BF15" s="4"/>
      <c r="BG15" s="4"/>
      <c r="BH15" s="4"/>
    </row>
    <row r="16" spans="1:60" s="35" customFormat="1" ht="15.75" thickBot="1">
      <c r="A16" s="636"/>
      <c r="B16" s="635" t="s">
        <v>22</v>
      </c>
      <c r="C16" s="629" t="s">
        <v>23</v>
      </c>
      <c r="D16" s="629" t="s">
        <v>24</v>
      </c>
      <c r="E16" s="634" t="s">
        <v>25</v>
      </c>
      <c r="F16" s="632" t="s">
        <v>22</v>
      </c>
      <c r="G16" s="629" t="s">
        <v>23</v>
      </c>
      <c r="H16" s="629" t="s">
        <v>24</v>
      </c>
      <c r="I16" s="633" t="s">
        <v>25</v>
      </c>
      <c r="J16" s="632" t="s">
        <v>22</v>
      </c>
      <c r="K16" s="629" t="s">
        <v>23</v>
      </c>
      <c r="L16" s="629" t="s">
        <v>24</v>
      </c>
      <c r="M16" s="633" t="s">
        <v>25</v>
      </c>
      <c r="N16" s="632" t="str">
        <f>IF(BE6=1,1,"")</f>
        <v/>
      </c>
      <c r="O16" s="629" t="str">
        <f>IF($BE6=2,1,IF($BE6=1,2,""))</f>
        <v/>
      </c>
      <c r="P16" s="630" t="str">
        <f>IF($BE6=3,1,IF($BE6=2,2,IF(BE6=1,3,"")))</f>
        <v/>
      </c>
      <c r="Q16" s="629" t="str">
        <f>IF($BE6=4,1,IF($BE6=3,2,IF(BE6=2,3,IF(BE6=1,4,""))))</f>
        <v/>
      </c>
      <c r="R16" s="630" t="str">
        <f>IF($BE6=5,1,IF($BE6=4,2,IF(BE6=3,3,IF(BE6=2,4,IF(BE6=1,5,"")))))</f>
        <v/>
      </c>
      <c r="S16" s="629"/>
      <c r="T16" s="628"/>
      <c r="U16" s="632"/>
      <c r="V16" s="629"/>
      <c r="W16" s="630"/>
      <c r="X16" s="629"/>
      <c r="Y16" s="630"/>
      <c r="Z16" s="629"/>
      <c r="AA16" s="628"/>
      <c r="AB16" s="632"/>
      <c r="AC16" s="629"/>
      <c r="AD16" s="630"/>
      <c r="AE16" s="629"/>
      <c r="AF16" s="630"/>
      <c r="AG16" s="629"/>
      <c r="AH16" s="628"/>
      <c r="AI16" s="632"/>
      <c r="AJ16" s="629"/>
      <c r="AK16" s="630"/>
      <c r="AL16" s="629"/>
      <c r="AM16" s="630"/>
      <c r="AN16" s="629"/>
      <c r="AO16" s="628"/>
      <c r="AP16" s="632"/>
      <c r="AQ16" s="629"/>
      <c r="AR16" s="630"/>
      <c r="AS16" s="629"/>
      <c r="AT16" s="630"/>
      <c r="AU16" s="629"/>
      <c r="AV16" s="628"/>
      <c r="AW16" s="631"/>
      <c r="AX16" s="629"/>
      <c r="AY16" s="630"/>
      <c r="AZ16" s="629"/>
      <c r="BA16" s="630"/>
      <c r="BB16" s="629"/>
      <c r="BC16" s="628"/>
      <c r="BD16" s="4"/>
      <c r="BE16" s="4"/>
      <c r="BF16" s="4"/>
      <c r="BG16" s="4"/>
      <c r="BH16" s="4"/>
    </row>
    <row r="17" spans="1:60" s="35" customFormat="1" ht="15.75">
      <c r="A17" s="627" t="s">
        <v>120</v>
      </c>
      <c r="B17" s="626">
        <f t="shared" ref="B17:B40" si="0">SUM(N17:R17,U17:Y17,AB17:AF17,AI17:AM17,AP17:AT17,AW17:BA17)</f>
        <v>0</v>
      </c>
      <c r="C17" s="622">
        <f>'Preise CARAVANFM'!B13</f>
        <v>1</v>
      </c>
      <c r="D17" s="625">
        <f t="shared" ref="D17:D40" si="1">IF(AND($G$9&gt;=$R$9,$G$9&lt;=$T$9),C17*$G$9*$V$9/100,IF(AND($G$9&gt;=$R$8,$G$9&lt;=$T$8),C17*$G$9*$V$8/100,IF(AND($G$9&gt;=$R$7,$G$9&lt;=$T$7),C17*$G$9*$V$7/100,IF($G$9&gt;=$R$10,C17*$G$9*$V$10/100))))</f>
        <v>11</v>
      </c>
      <c r="E17" s="624">
        <f t="shared" ref="E17:E40" si="2">B17*D17*(100+$G$10)/100</f>
        <v>0</v>
      </c>
      <c r="F17" s="623">
        <f t="shared" ref="F17:F40" si="3">SUM(S17,Z17,AG17,AN17,AU17,BB17)</f>
        <v>0</v>
      </c>
      <c r="G17" s="622">
        <f>'Preise CARAVANFM'!D13</f>
        <v>1</v>
      </c>
      <c r="H17" s="621">
        <f t="shared" ref="H17:H40" si="4">IF(AND($G$9&gt;=$R$9,$G$9&lt;=$T$9),G17*$G$9*$V$9/100,IF(AND($G$9&gt;=$R$8,$G$9&lt;=$T$8),G17*$G$9*$V$8/100,IF(AND($G$9&gt;=$R$7,$G$9&lt;=$T$7),G17*$G$9*$V$7/100,IF($G$9&gt;=$R$10,G17*$G$9*$V$10/100))))</f>
        <v>11</v>
      </c>
      <c r="I17" s="620">
        <f t="shared" ref="I17:I40" si="5">F17*H17*(100+$G$10)/100</f>
        <v>0</v>
      </c>
      <c r="J17" s="623">
        <f t="shared" ref="J17:J40" si="6">SUM(T17,AA17,AH17,AO17,AV17,BC17)</f>
        <v>0</v>
      </c>
      <c r="K17" s="622">
        <f>'Preise CARAVANFM'!F13</f>
        <v>1</v>
      </c>
      <c r="L17" s="621">
        <f t="shared" ref="L17:L40" si="7">IF(AND($G$9&gt;=$R$9,$G$9&lt;=$T$9),K17*$G$9*$V$9/100,IF(AND($G$9&gt;=$R$8,$G$9&lt;=$T$8),K17*$G$9*$V$8/100,IF(AND($G$9&gt;=$R$7,$G$9&lt;=$T$7),K17*$G$9*$V$7/100,IF($G$9&gt;=$R$10,K17*$G$9*$V$10/100))))</f>
        <v>11</v>
      </c>
      <c r="M17" s="620">
        <f t="shared" ref="M17:M40" si="8">J17*L17*(100+$G$10)/100</f>
        <v>0</v>
      </c>
      <c r="N17" s="619"/>
      <c r="O17" s="617"/>
      <c r="P17" s="617"/>
      <c r="Q17" s="617"/>
      <c r="R17" s="617"/>
      <c r="S17" s="616"/>
      <c r="T17" s="615"/>
      <c r="U17" s="619"/>
      <c r="V17" s="617"/>
      <c r="W17" s="617"/>
      <c r="X17" s="617"/>
      <c r="Y17" s="617"/>
      <c r="Z17" s="616"/>
      <c r="AA17" s="615"/>
      <c r="AB17" s="619"/>
      <c r="AC17" s="617"/>
      <c r="AD17" s="617"/>
      <c r="AE17" s="617"/>
      <c r="AF17" s="617"/>
      <c r="AG17" s="616"/>
      <c r="AH17" s="615"/>
      <c r="AI17" s="619"/>
      <c r="AJ17" s="617"/>
      <c r="AK17" s="617"/>
      <c r="AL17" s="617"/>
      <c r="AM17" s="617"/>
      <c r="AN17" s="616"/>
      <c r="AO17" s="615"/>
      <c r="AP17" s="619"/>
      <c r="AQ17" s="617"/>
      <c r="AR17" s="617"/>
      <c r="AS17" s="617"/>
      <c r="AT17" s="617"/>
      <c r="AU17" s="616"/>
      <c r="AV17" s="615"/>
      <c r="AW17" s="618"/>
      <c r="AX17" s="617"/>
      <c r="AY17" s="617"/>
      <c r="AZ17" s="617"/>
      <c r="BA17" s="617"/>
      <c r="BB17" s="616"/>
      <c r="BC17" s="615"/>
      <c r="BD17" s="4"/>
      <c r="BE17" s="4"/>
      <c r="BF17" s="4"/>
      <c r="BG17" s="4"/>
      <c r="BH17" s="4"/>
    </row>
    <row r="18" spans="1:60" s="35" customFormat="1" ht="15.75">
      <c r="A18" s="614" t="s">
        <v>119</v>
      </c>
      <c r="B18" s="613">
        <f t="shared" si="0"/>
        <v>0</v>
      </c>
      <c r="C18" s="622">
        <f>'Preise CARAVANFM'!B14</f>
        <v>1</v>
      </c>
      <c r="D18" s="612">
        <f t="shared" si="1"/>
        <v>11</v>
      </c>
      <c r="E18" s="611">
        <f t="shared" si="2"/>
        <v>0</v>
      </c>
      <c r="F18" s="610">
        <f t="shared" si="3"/>
        <v>0</v>
      </c>
      <c r="G18" s="622">
        <f>'Preise CARAVANFM'!D14</f>
        <v>1</v>
      </c>
      <c r="H18" s="609">
        <f t="shared" si="4"/>
        <v>11</v>
      </c>
      <c r="I18" s="608">
        <f t="shared" si="5"/>
        <v>0</v>
      </c>
      <c r="J18" s="610">
        <f t="shared" si="6"/>
        <v>0</v>
      </c>
      <c r="K18" s="622">
        <f>'Preise CARAVANFM'!F14</f>
        <v>1</v>
      </c>
      <c r="L18" s="609">
        <f t="shared" si="7"/>
        <v>11</v>
      </c>
      <c r="M18" s="608">
        <f t="shared" si="8"/>
        <v>0</v>
      </c>
      <c r="N18" s="607"/>
      <c r="O18" s="605"/>
      <c r="P18" s="605"/>
      <c r="Q18" s="605"/>
      <c r="R18" s="605"/>
      <c r="S18" s="604"/>
      <c r="T18" s="603"/>
      <c r="U18" s="607"/>
      <c r="V18" s="605"/>
      <c r="W18" s="605"/>
      <c r="X18" s="605"/>
      <c r="Y18" s="605"/>
      <c r="Z18" s="604"/>
      <c r="AA18" s="603"/>
      <c r="AB18" s="607"/>
      <c r="AC18" s="605"/>
      <c r="AD18" s="605"/>
      <c r="AE18" s="605"/>
      <c r="AF18" s="605"/>
      <c r="AG18" s="604"/>
      <c r="AH18" s="603"/>
      <c r="AI18" s="607"/>
      <c r="AJ18" s="605"/>
      <c r="AK18" s="605"/>
      <c r="AL18" s="605"/>
      <c r="AM18" s="605"/>
      <c r="AN18" s="604"/>
      <c r="AO18" s="603"/>
      <c r="AP18" s="607"/>
      <c r="AQ18" s="605"/>
      <c r="AR18" s="605"/>
      <c r="AS18" s="605"/>
      <c r="AT18" s="605"/>
      <c r="AU18" s="604"/>
      <c r="AV18" s="603"/>
      <c r="AW18" s="606"/>
      <c r="AX18" s="605"/>
      <c r="AY18" s="605"/>
      <c r="AZ18" s="605"/>
      <c r="BA18" s="605"/>
      <c r="BB18" s="604"/>
      <c r="BC18" s="603"/>
      <c r="BD18" s="4"/>
      <c r="BE18" s="4"/>
      <c r="BF18" s="4"/>
      <c r="BG18" s="4"/>
      <c r="BH18" s="4"/>
    </row>
    <row r="19" spans="1:60" s="35" customFormat="1" ht="15.75">
      <c r="A19" s="614" t="s">
        <v>118</v>
      </c>
      <c r="B19" s="613">
        <f t="shared" si="0"/>
        <v>0</v>
      </c>
      <c r="C19" s="622">
        <f>'Preise CARAVANFM'!B15</f>
        <v>1</v>
      </c>
      <c r="D19" s="612">
        <f t="shared" si="1"/>
        <v>11</v>
      </c>
      <c r="E19" s="611">
        <f t="shared" si="2"/>
        <v>0</v>
      </c>
      <c r="F19" s="610">
        <f t="shared" si="3"/>
        <v>0</v>
      </c>
      <c r="G19" s="622">
        <f>'Preise CARAVANFM'!D15</f>
        <v>1</v>
      </c>
      <c r="H19" s="609">
        <f t="shared" si="4"/>
        <v>11</v>
      </c>
      <c r="I19" s="608">
        <f t="shared" si="5"/>
        <v>0</v>
      </c>
      <c r="J19" s="610">
        <f t="shared" si="6"/>
        <v>0</v>
      </c>
      <c r="K19" s="622">
        <f>'Preise CARAVANFM'!F15</f>
        <v>1</v>
      </c>
      <c r="L19" s="609">
        <f t="shared" si="7"/>
        <v>11</v>
      </c>
      <c r="M19" s="608">
        <f t="shared" si="8"/>
        <v>0</v>
      </c>
      <c r="N19" s="607"/>
      <c r="O19" s="605"/>
      <c r="P19" s="605"/>
      <c r="Q19" s="605"/>
      <c r="R19" s="605"/>
      <c r="S19" s="604"/>
      <c r="T19" s="603"/>
      <c r="U19" s="607"/>
      <c r="V19" s="605"/>
      <c r="W19" s="605"/>
      <c r="X19" s="605"/>
      <c r="Y19" s="605"/>
      <c r="Z19" s="604"/>
      <c r="AA19" s="603"/>
      <c r="AB19" s="607"/>
      <c r="AC19" s="605"/>
      <c r="AD19" s="605"/>
      <c r="AE19" s="605"/>
      <c r="AF19" s="605"/>
      <c r="AG19" s="604"/>
      <c r="AH19" s="603"/>
      <c r="AI19" s="607"/>
      <c r="AJ19" s="605"/>
      <c r="AK19" s="605"/>
      <c r="AL19" s="605"/>
      <c r="AM19" s="605"/>
      <c r="AN19" s="604"/>
      <c r="AO19" s="603"/>
      <c r="AP19" s="607"/>
      <c r="AQ19" s="605"/>
      <c r="AR19" s="605"/>
      <c r="AS19" s="605"/>
      <c r="AT19" s="605"/>
      <c r="AU19" s="604"/>
      <c r="AV19" s="603"/>
      <c r="AW19" s="606"/>
      <c r="AX19" s="605"/>
      <c r="AY19" s="605"/>
      <c r="AZ19" s="605"/>
      <c r="BA19" s="605"/>
      <c r="BB19" s="604"/>
      <c r="BC19" s="603"/>
      <c r="BD19" s="4"/>
      <c r="BE19" s="4"/>
      <c r="BF19" s="4"/>
      <c r="BG19" s="4"/>
      <c r="BH19" s="4"/>
    </row>
    <row r="20" spans="1:60" s="35" customFormat="1" ht="15.75">
      <c r="A20" s="614" t="s">
        <v>117</v>
      </c>
      <c r="B20" s="613">
        <f t="shared" si="0"/>
        <v>0</v>
      </c>
      <c r="C20" s="622">
        <f>'Preise CARAVANFM'!B16</f>
        <v>1</v>
      </c>
      <c r="D20" s="612">
        <f t="shared" si="1"/>
        <v>11</v>
      </c>
      <c r="E20" s="611">
        <f t="shared" si="2"/>
        <v>0</v>
      </c>
      <c r="F20" s="610">
        <f t="shared" si="3"/>
        <v>0</v>
      </c>
      <c r="G20" s="622">
        <f>'Preise CARAVANFM'!D16</f>
        <v>1</v>
      </c>
      <c r="H20" s="609">
        <f t="shared" si="4"/>
        <v>11</v>
      </c>
      <c r="I20" s="608">
        <f t="shared" si="5"/>
        <v>0</v>
      </c>
      <c r="J20" s="610">
        <f t="shared" si="6"/>
        <v>0</v>
      </c>
      <c r="K20" s="622">
        <f>'Preise CARAVANFM'!F16</f>
        <v>1</v>
      </c>
      <c r="L20" s="609">
        <f t="shared" si="7"/>
        <v>11</v>
      </c>
      <c r="M20" s="608">
        <f t="shared" si="8"/>
        <v>0</v>
      </c>
      <c r="N20" s="607"/>
      <c r="O20" s="605"/>
      <c r="P20" s="605"/>
      <c r="Q20" s="605"/>
      <c r="R20" s="605"/>
      <c r="S20" s="604"/>
      <c r="T20" s="603"/>
      <c r="U20" s="607"/>
      <c r="V20" s="605"/>
      <c r="W20" s="605"/>
      <c r="X20" s="605"/>
      <c r="Y20" s="605"/>
      <c r="Z20" s="604"/>
      <c r="AA20" s="603"/>
      <c r="AB20" s="607"/>
      <c r="AC20" s="605"/>
      <c r="AD20" s="605"/>
      <c r="AE20" s="605"/>
      <c r="AF20" s="605"/>
      <c r="AG20" s="604"/>
      <c r="AH20" s="603"/>
      <c r="AI20" s="607"/>
      <c r="AJ20" s="605"/>
      <c r="AK20" s="605"/>
      <c r="AL20" s="605"/>
      <c r="AM20" s="605"/>
      <c r="AN20" s="604"/>
      <c r="AO20" s="603"/>
      <c r="AP20" s="607"/>
      <c r="AQ20" s="605"/>
      <c r="AR20" s="605"/>
      <c r="AS20" s="605"/>
      <c r="AT20" s="605"/>
      <c r="AU20" s="604"/>
      <c r="AV20" s="603"/>
      <c r="AW20" s="606"/>
      <c r="AX20" s="605"/>
      <c r="AY20" s="605"/>
      <c r="AZ20" s="605"/>
      <c r="BA20" s="605"/>
      <c r="BB20" s="604"/>
      <c r="BC20" s="603"/>
      <c r="BD20" s="4"/>
      <c r="BE20" s="4"/>
      <c r="BF20" s="4"/>
      <c r="BG20" s="4"/>
      <c r="BH20" s="4"/>
    </row>
    <row r="21" spans="1:60" s="35" customFormat="1" ht="15.75">
      <c r="A21" s="614" t="s">
        <v>116</v>
      </c>
      <c r="B21" s="613">
        <f t="shared" si="0"/>
        <v>0</v>
      </c>
      <c r="C21" s="622">
        <f>'Preise CARAVANFM'!B17</f>
        <v>1</v>
      </c>
      <c r="D21" s="612">
        <f t="shared" si="1"/>
        <v>11</v>
      </c>
      <c r="E21" s="611">
        <f t="shared" si="2"/>
        <v>0</v>
      </c>
      <c r="F21" s="610">
        <f t="shared" si="3"/>
        <v>0</v>
      </c>
      <c r="G21" s="622">
        <f>'Preise CARAVANFM'!D17</f>
        <v>1</v>
      </c>
      <c r="H21" s="609">
        <f t="shared" si="4"/>
        <v>11</v>
      </c>
      <c r="I21" s="608">
        <f t="shared" si="5"/>
        <v>0</v>
      </c>
      <c r="J21" s="610">
        <f t="shared" si="6"/>
        <v>0</v>
      </c>
      <c r="K21" s="622">
        <f>'Preise CARAVANFM'!F17</f>
        <v>1</v>
      </c>
      <c r="L21" s="609">
        <f t="shared" si="7"/>
        <v>11</v>
      </c>
      <c r="M21" s="608">
        <f t="shared" si="8"/>
        <v>0</v>
      </c>
      <c r="N21" s="607"/>
      <c r="O21" s="605"/>
      <c r="P21" s="605"/>
      <c r="Q21" s="605"/>
      <c r="R21" s="605"/>
      <c r="S21" s="604"/>
      <c r="T21" s="603"/>
      <c r="U21" s="607"/>
      <c r="V21" s="605"/>
      <c r="W21" s="605"/>
      <c r="X21" s="605"/>
      <c r="Y21" s="605"/>
      <c r="Z21" s="604"/>
      <c r="AA21" s="603"/>
      <c r="AB21" s="607"/>
      <c r="AC21" s="605"/>
      <c r="AD21" s="605"/>
      <c r="AE21" s="605"/>
      <c r="AF21" s="605"/>
      <c r="AG21" s="604"/>
      <c r="AH21" s="603"/>
      <c r="AI21" s="607"/>
      <c r="AJ21" s="605"/>
      <c r="AK21" s="605"/>
      <c r="AL21" s="605"/>
      <c r="AM21" s="605"/>
      <c r="AN21" s="604"/>
      <c r="AO21" s="603"/>
      <c r="AP21" s="607"/>
      <c r="AQ21" s="605"/>
      <c r="AR21" s="605"/>
      <c r="AS21" s="605"/>
      <c r="AT21" s="605"/>
      <c r="AU21" s="604"/>
      <c r="AV21" s="603"/>
      <c r="AW21" s="606"/>
      <c r="AX21" s="605"/>
      <c r="AY21" s="605"/>
      <c r="AZ21" s="605"/>
      <c r="BA21" s="605"/>
      <c r="BB21" s="604"/>
      <c r="BC21" s="603"/>
      <c r="BD21" s="4"/>
      <c r="BE21" s="4"/>
      <c r="BF21" s="4"/>
      <c r="BG21" s="4"/>
      <c r="BH21" s="4"/>
    </row>
    <row r="22" spans="1:60" s="1" customFormat="1" ht="15.75">
      <c r="A22" s="614" t="s">
        <v>26</v>
      </c>
      <c r="B22" s="613">
        <f t="shared" si="0"/>
        <v>0</v>
      </c>
      <c r="C22" s="622">
        <f>'Preise CARAVANFM'!B18</f>
        <v>1</v>
      </c>
      <c r="D22" s="612">
        <f t="shared" si="1"/>
        <v>11</v>
      </c>
      <c r="E22" s="611">
        <f t="shared" si="2"/>
        <v>0</v>
      </c>
      <c r="F22" s="610">
        <f t="shared" si="3"/>
        <v>0</v>
      </c>
      <c r="G22" s="622">
        <f>'Preise CARAVANFM'!D18</f>
        <v>1</v>
      </c>
      <c r="H22" s="609">
        <f t="shared" si="4"/>
        <v>11</v>
      </c>
      <c r="I22" s="608">
        <f t="shared" si="5"/>
        <v>0</v>
      </c>
      <c r="J22" s="610">
        <f t="shared" si="6"/>
        <v>0</v>
      </c>
      <c r="K22" s="622">
        <f>'Preise CARAVANFM'!F18</f>
        <v>1</v>
      </c>
      <c r="L22" s="609">
        <f t="shared" si="7"/>
        <v>11</v>
      </c>
      <c r="M22" s="608">
        <f t="shared" si="8"/>
        <v>0</v>
      </c>
      <c r="N22" s="607"/>
      <c r="O22" s="605"/>
      <c r="P22" s="605"/>
      <c r="Q22" s="605"/>
      <c r="R22" s="605"/>
      <c r="S22" s="604"/>
      <c r="T22" s="603"/>
      <c r="U22" s="607"/>
      <c r="V22" s="605"/>
      <c r="W22" s="605"/>
      <c r="X22" s="605"/>
      <c r="Y22" s="605"/>
      <c r="Z22" s="604"/>
      <c r="AA22" s="603"/>
      <c r="AB22" s="607"/>
      <c r="AC22" s="605"/>
      <c r="AD22" s="605"/>
      <c r="AE22" s="605"/>
      <c r="AF22" s="605"/>
      <c r="AG22" s="604"/>
      <c r="AH22" s="603"/>
      <c r="AI22" s="607"/>
      <c r="AJ22" s="605"/>
      <c r="AK22" s="605"/>
      <c r="AL22" s="605"/>
      <c r="AM22" s="605"/>
      <c r="AN22" s="604"/>
      <c r="AO22" s="603"/>
      <c r="AP22" s="607"/>
      <c r="AQ22" s="605"/>
      <c r="AR22" s="605"/>
      <c r="AS22" s="605"/>
      <c r="AT22" s="605"/>
      <c r="AU22" s="604"/>
      <c r="AV22" s="603"/>
      <c r="AW22" s="606"/>
      <c r="AX22" s="605"/>
      <c r="AY22" s="605"/>
      <c r="AZ22" s="605"/>
      <c r="BA22" s="605"/>
      <c r="BB22" s="604"/>
      <c r="BC22" s="603"/>
      <c r="BD22" s="2"/>
      <c r="BE22" s="2"/>
      <c r="BF22" s="4">
        <f>IF($AJ7&lt;6000,0,0.025)</f>
        <v>0</v>
      </c>
      <c r="BG22" s="2"/>
      <c r="BH22" s="2"/>
    </row>
    <row r="23" spans="1:60" s="1" customFormat="1" ht="15.75">
      <c r="A23" s="614" t="s">
        <v>27</v>
      </c>
      <c r="B23" s="613">
        <f t="shared" si="0"/>
        <v>0</v>
      </c>
      <c r="C23" s="622">
        <f>'Preise CARAVANFM'!B19</f>
        <v>1</v>
      </c>
      <c r="D23" s="612">
        <f t="shared" si="1"/>
        <v>11</v>
      </c>
      <c r="E23" s="611">
        <f t="shared" si="2"/>
        <v>0</v>
      </c>
      <c r="F23" s="610">
        <f t="shared" si="3"/>
        <v>0</v>
      </c>
      <c r="G23" s="622">
        <f>'Preise CARAVANFM'!D19</f>
        <v>1</v>
      </c>
      <c r="H23" s="609">
        <f t="shared" si="4"/>
        <v>11</v>
      </c>
      <c r="I23" s="608">
        <f t="shared" si="5"/>
        <v>0</v>
      </c>
      <c r="J23" s="610">
        <f t="shared" si="6"/>
        <v>0</v>
      </c>
      <c r="K23" s="622">
        <f>'Preise CARAVANFM'!F19</f>
        <v>1</v>
      </c>
      <c r="L23" s="609">
        <f t="shared" si="7"/>
        <v>11</v>
      </c>
      <c r="M23" s="608">
        <f t="shared" si="8"/>
        <v>0</v>
      </c>
      <c r="N23" s="607"/>
      <c r="O23" s="605"/>
      <c r="P23" s="605"/>
      <c r="Q23" s="605"/>
      <c r="R23" s="605"/>
      <c r="S23" s="604"/>
      <c r="T23" s="603"/>
      <c r="U23" s="607"/>
      <c r="V23" s="605"/>
      <c r="W23" s="605"/>
      <c r="X23" s="605"/>
      <c r="Y23" s="605"/>
      <c r="Z23" s="604"/>
      <c r="AA23" s="603"/>
      <c r="AB23" s="607"/>
      <c r="AC23" s="605"/>
      <c r="AD23" s="605"/>
      <c r="AE23" s="605"/>
      <c r="AF23" s="605"/>
      <c r="AG23" s="604"/>
      <c r="AH23" s="603"/>
      <c r="AI23" s="607"/>
      <c r="AJ23" s="605"/>
      <c r="AK23" s="605"/>
      <c r="AL23" s="605"/>
      <c r="AM23" s="605"/>
      <c r="AN23" s="604"/>
      <c r="AO23" s="603"/>
      <c r="AP23" s="607"/>
      <c r="AQ23" s="605"/>
      <c r="AR23" s="605"/>
      <c r="AS23" s="605"/>
      <c r="AT23" s="605"/>
      <c r="AU23" s="604"/>
      <c r="AV23" s="603"/>
      <c r="AW23" s="606"/>
      <c r="AX23" s="605"/>
      <c r="AY23" s="605"/>
      <c r="AZ23" s="605"/>
      <c r="BA23" s="605"/>
      <c r="BB23" s="604"/>
      <c r="BC23" s="603"/>
      <c r="BD23" s="2"/>
      <c r="BE23" s="2"/>
      <c r="BF23" s="4">
        <f>IF($AJ7&lt;9000,0,0.025)</f>
        <v>0</v>
      </c>
      <c r="BG23" s="2"/>
      <c r="BH23" s="2"/>
    </row>
    <row r="24" spans="1:60" s="1" customFormat="1" ht="15.75">
      <c r="A24" s="614" t="s">
        <v>28</v>
      </c>
      <c r="B24" s="613">
        <f t="shared" si="0"/>
        <v>0</v>
      </c>
      <c r="C24" s="622">
        <f>'Preise CARAVANFM'!B20</f>
        <v>1</v>
      </c>
      <c r="D24" s="612">
        <f t="shared" si="1"/>
        <v>11</v>
      </c>
      <c r="E24" s="611">
        <f t="shared" si="2"/>
        <v>0</v>
      </c>
      <c r="F24" s="610">
        <f t="shared" si="3"/>
        <v>0</v>
      </c>
      <c r="G24" s="622">
        <f>'Preise CARAVANFM'!D20</f>
        <v>1</v>
      </c>
      <c r="H24" s="609">
        <f t="shared" si="4"/>
        <v>11</v>
      </c>
      <c r="I24" s="608">
        <f t="shared" si="5"/>
        <v>0</v>
      </c>
      <c r="J24" s="610">
        <f t="shared" si="6"/>
        <v>0</v>
      </c>
      <c r="K24" s="622">
        <f>'Preise CARAVANFM'!F20</f>
        <v>1</v>
      </c>
      <c r="L24" s="609">
        <f t="shared" si="7"/>
        <v>11</v>
      </c>
      <c r="M24" s="608">
        <f t="shared" si="8"/>
        <v>0</v>
      </c>
      <c r="N24" s="607"/>
      <c r="O24" s="605"/>
      <c r="P24" s="605"/>
      <c r="Q24" s="605"/>
      <c r="R24" s="605"/>
      <c r="S24" s="604"/>
      <c r="T24" s="603"/>
      <c r="U24" s="607"/>
      <c r="V24" s="605"/>
      <c r="W24" s="605"/>
      <c r="X24" s="605"/>
      <c r="Y24" s="605"/>
      <c r="Z24" s="604"/>
      <c r="AA24" s="603"/>
      <c r="AB24" s="607"/>
      <c r="AC24" s="605"/>
      <c r="AD24" s="605"/>
      <c r="AE24" s="605"/>
      <c r="AF24" s="605"/>
      <c r="AG24" s="604"/>
      <c r="AH24" s="603"/>
      <c r="AI24" s="607"/>
      <c r="AJ24" s="605"/>
      <c r="AK24" s="605"/>
      <c r="AL24" s="605"/>
      <c r="AM24" s="605"/>
      <c r="AN24" s="604"/>
      <c r="AO24" s="603"/>
      <c r="AP24" s="607"/>
      <c r="AQ24" s="605"/>
      <c r="AR24" s="605"/>
      <c r="AS24" s="605"/>
      <c r="AT24" s="605"/>
      <c r="AU24" s="604"/>
      <c r="AV24" s="603"/>
      <c r="AW24" s="606"/>
      <c r="AX24" s="605"/>
      <c r="AY24" s="605"/>
      <c r="AZ24" s="605"/>
      <c r="BA24" s="605"/>
      <c r="BB24" s="604"/>
      <c r="BC24" s="603"/>
      <c r="BD24" s="2"/>
      <c r="BE24" s="2"/>
      <c r="BF24" s="4">
        <f>IF($AJ7&lt;12000,0,0.05)</f>
        <v>0</v>
      </c>
      <c r="BG24" s="2"/>
      <c r="BH24" s="2"/>
    </row>
    <row r="25" spans="1:60" s="1" customFormat="1" ht="15.75">
      <c r="A25" s="614" t="s">
        <v>29</v>
      </c>
      <c r="B25" s="613">
        <f t="shared" si="0"/>
        <v>0</v>
      </c>
      <c r="C25" s="622">
        <f>'Preise CARAVANFM'!B21</f>
        <v>1</v>
      </c>
      <c r="D25" s="612">
        <f t="shared" si="1"/>
        <v>11</v>
      </c>
      <c r="E25" s="611">
        <f t="shared" si="2"/>
        <v>0</v>
      </c>
      <c r="F25" s="610">
        <f t="shared" si="3"/>
        <v>0</v>
      </c>
      <c r="G25" s="622">
        <f>'Preise CARAVANFM'!D21</f>
        <v>1</v>
      </c>
      <c r="H25" s="609">
        <f t="shared" si="4"/>
        <v>11</v>
      </c>
      <c r="I25" s="608">
        <f t="shared" si="5"/>
        <v>0</v>
      </c>
      <c r="J25" s="610">
        <f t="shared" si="6"/>
        <v>0</v>
      </c>
      <c r="K25" s="622">
        <f>'Preise CARAVANFM'!F21</f>
        <v>1</v>
      </c>
      <c r="L25" s="609">
        <f t="shared" si="7"/>
        <v>11</v>
      </c>
      <c r="M25" s="608">
        <f t="shared" si="8"/>
        <v>0</v>
      </c>
      <c r="N25" s="607"/>
      <c r="O25" s="605"/>
      <c r="P25" s="605"/>
      <c r="Q25" s="605"/>
      <c r="R25" s="605"/>
      <c r="S25" s="604"/>
      <c r="T25" s="603"/>
      <c r="U25" s="607"/>
      <c r="V25" s="605"/>
      <c r="W25" s="605"/>
      <c r="X25" s="605"/>
      <c r="Y25" s="605"/>
      <c r="Z25" s="604"/>
      <c r="AA25" s="603"/>
      <c r="AB25" s="607"/>
      <c r="AC25" s="605"/>
      <c r="AD25" s="605"/>
      <c r="AE25" s="605"/>
      <c r="AF25" s="605"/>
      <c r="AG25" s="604"/>
      <c r="AH25" s="603"/>
      <c r="AI25" s="607"/>
      <c r="AJ25" s="605"/>
      <c r="AK25" s="605"/>
      <c r="AL25" s="605"/>
      <c r="AM25" s="605"/>
      <c r="AN25" s="604"/>
      <c r="AO25" s="603"/>
      <c r="AP25" s="607"/>
      <c r="AQ25" s="605"/>
      <c r="AR25" s="605"/>
      <c r="AS25" s="605"/>
      <c r="AT25" s="605"/>
      <c r="AU25" s="604"/>
      <c r="AV25" s="603"/>
      <c r="AW25" s="606"/>
      <c r="AX25" s="605"/>
      <c r="AY25" s="605"/>
      <c r="AZ25" s="605"/>
      <c r="BA25" s="605"/>
      <c r="BB25" s="604"/>
      <c r="BC25" s="603"/>
      <c r="BD25" s="2"/>
      <c r="BE25" s="2"/>
      <c r="BF25" s="2">
        <f>SUM(BF22:BF24)</f>
        <v>0</v>
      </c>
      <c r="BG25" s="55">
        <f>AI8</f>
        <v>0</v>
      </c>
      <c r="BH25" s="2">
        <f>BG25*(1-BF25)</f>
        <v>0</v>
      </c>
    </row>
    <row r="26" spans="1:60" s="1" customFormat="1" ht="15.75">
      <c r="A26" s="614" t="s">
        <v>30</v>
      </c>
      <c r="B26" s="613">
        <f t="shared" si="0"/>
        <v>0</v>
      </c>
      <c r="C26" s="622">
        <f>'Preise CARAVANFM'!B22</f>
        <v>1</v>
      </c>
      <c r="D26" s="612">
        <f t="shared" si="1"/>
        <v>11</v>
      </c>
      <c r="E26" s="611">
        <f t="shared" si="2"/>
        <v>0</v>
      </c>
      <c r="F26" s="610">
        <f t="shared" si="3"/>
        <v>0</v>
      </c>
      <c r="G26" s="622">
        <f>'Preise CARAVANFM'!D22</f>
        <v>1</v>
      </c>
      <c r="H26" s="609">
        <f t="shared" si="4"/>
        <v>11</v>
      </c>
      <c r="I26" s="608">
        <f t="shared" si="5"/>
        <v>0</v>
      </c>
      <c r="J26" s="610">
        <f t="shared" si="6"/>
        <v>0</v>
      </c>
      <c r="K26" s="622">
        <f>'Preise CARAVANFM'!F22</f>
        <v>1</v>
      </c>
      <c r="L26" s="609">
        <f t="shared" si="7"/>
        <v>11</v>
      </c>
      <c r="M26" s="608">
        <f t="shared" si="8"/>
        <v>0</v>
      </c>
      <c r="N26" s="607"/>
      <c r="O26" s="605"/>
      <c r="P26" s="605"/>
      <c r="Q26" s="605"/>
      <c r="R26" s="605"/>
      <c r="S26" s="604"/>
      <c r="T26" s="603"/>
      <c r="U26" s="607"/>
      <c r="V26" s="605"/>
      <c r="W26" s="605"/>
      <c r="X26" s="605"/>
      <c r="Y26" s="605"/>
      <c r="Z26" s="604"/>
      <c r="AA26" s="603"/>
      <c r="AB26" s="607"/>
      <c r="AC26" s="605"/>
      <c r="AD26" s="605"/>
      <c r="AE26" s="605"/>
      <c r="AF26" s="605"/>
      <c r="AG26" s="604"/>
      <c r="AH26" s="603"/>
      <c r="AI26" s="607"/>
      <c r="AJ26" s="605"/>
      <c r="AK26" s="605"/>
      <c r="AL26" s="605"/>
      <c r="AM26" s="605"/>
      <c r="AN26" s="604"/>
      <c r="AO26" s="603"/>
      <c r="AP26" s="607"/>
      <c r="AQ26" s="605"/>
      <c r="AR26" s="605"/>
      <c r="AS26" s="605"/>
      <c r="AT26" s="605"/>
      <c r="AU26" s="604"/>
      <c r="AV26" s="603"/>
      <c r="AW26" s="606"/>
      <c r="AX26" s="605"/>
      <c r="AY26" s="605"/>
      <c r="AZ26" s="605"/>
      <c r="BA26" s="605"/>
      <c r="BB26" s="604"/>
      <c r="BC26" s="603"/>
      <c r="BD26" s="2"/>
      <c r="BE26" s="2"/>
      <c r="BF26" s="2"/>
      <c r="BG26" s="2"/>
      <c r="BH26" s="2"/>
    </row>
    <row r="27" spans="1:60" s="1" customFormat="1" ht="15.75">
      <c r="A27" s="614" t="s">
        <v>31</v>
      </c>
      <c r="B27" s="613">
        <f t="shared" si="0"/>
        <v>0</v>
      </c>
      <c r="C27" s="622">
        <f>'Preise CARAVANFM'!B23</f>
        <v>1</v>
      </c>
      <c r="D27" s="612">
        <f t="shared" si="1"/>
        <v>11</v>
      </c>
      <c r="E27" s="611">
        <f t="shared" si="2"/>
        <v>0</v>
      </c>
      <c r="F27" s="610">
        <f t="shared" si="3"/>
        <v>0</v>
      </c>
      <c r="G27" s="622">
        <f>'Preise CARAVANFM'!D23</f>
        <v>1</v>
      </c>
      <c r="H27" s="609">
        <f t="shared" si="4"/>
        <v>11</v>
      </c>
      <c r="I27" s="608">
        <f t="shared" si="5"/>
        <v>0</v>
      </c>
      <c r="J27" s="610">
        <f t="shared" si="6"/>
        <v>0</v>
      </c>
      <c r="K27" s="622">
        <f>'Preise CARAVANFM'!F23</f>
        <v>1</v>
      </c>
      <c r="L27" s="609">
        <f t="shared" si="7"/>
        <v>11</v>
      </c>
      <c r="M27" s="608">
        <f t="shared" si="8"/>
        <v>0</v>
      </c>
      <c r="N27" s="607"/>
      <c r="O27" s="605"/>
      <c r="P27" s="605"/>
      <c r="Q27" s="605"/>
      <c r="R27" s="605"/>
      <c r="S27" s="604"/>
      <c r="T27" s="603"/>
      <c r="U27" s="607"/>
      <c r="V27" s="605"/>
      <c r="W27" s="605"/>
      <c r="X27" s="605"/>
      <c r="Y27" s="605"/>
      <c r="Z27" s="604"/>
      <c r="AA27" s="603"/>
      <c r="AB27" s="607"/>
      <c r="AC27" s="605"/>
      <c r="AD27" s="605"/>
      <c r="AE27" s="605"/>
      <c r="AF27" s="605"/>
      <c r="AG27" s="604"/>
      <c r="AH27" s="603"/>
      <c r="AI27" s="607"/>
      <c r="AJ27" s="605"/>
      <c r="AK27" s="605"/>
      <c r="AL27" s="605"/>
      <c r="AM27" s="605"/>
      <c r="AN27" s="604"/>
      <c r="AO27" s="603"/>
      <c r="AP27" s="607"/>
      <c r="AQ27" s="605"/>
      <c r="AR27" s="605"/>
      <c r="AS27" s="605"/>
      <c r="AT27" s="605"/>
      <c r="AU27" s="604"/>
      <c r="AV27" s="603"/>
      <c r="AW27" s="606"/>
      <c r="AX27" s="605"/>
      <c r="AY27" s="605"/>
      <c r="AZ27" s="605"/>
      <c r="BA27" s="605"/>
      <c r="BB27" s="604"/>
      <c r="BC27" s="603"/>
      <c r="BD27" s="2"/>
      <c r="BE27" s="2"/>
      <c r="BF27" s="2"/>
      <c r="BG27" s="2"/>
      <c r="BH27" s="2"/>
    </row>
    <row r="28" spans="1:60" s="1" customFormat="1" ht="15.75">
      <c r="A28" s="614" t="s">
        <v>32</v>
      </c>
      <c r="B28" s="613">
        <f t="shared" si="0"/>
        <v>0</v>
      </c>
      <c r="C28" s="622">
        <f>'Preise CARAVANFM'!B24</f>
        <v>1</v>
      </c>
      <c r="D28" s="612">
        <f t="shared" si="1"/>
        <v>11</v>
      </c>
      <c r="E28" s="611">
        <f t="shared" si="2"/>
        <v>0</v>
      </c>
      <c r="F28" s="610">
        <f t="shared" si="3"/>
        <v>0</v>
      </c>
      <c r="G28" s="622">
        <f>'Preise CARAVANFM'!D24</f>
        <v>1</v>
      </c>
      <c r="H28" s="609">
        <f t="shared" si="4"/>
        <v>11</v>
      </c>
      <c r="I28" s="608">
        <f t="shared" si="5"/>
        <v>0</v>
      </c>
      <c r="J28" s="610">
        <f t="shared" si="6"/>
        <v>0</v>
      </c>
      <c r="K28" s="622">
        <f>'Preise CARAVANFM'!F24</f>
        <v>1</v>
      </c>
      <c r="L28" s="609">
        <f t="shared" si="7"/>
        <v>11</v>
      </c>
      <c r="M28" s="608">
        <f t="shared" si="8"/>
        <v>0</v>
      </c>
      <c r="N28" s="607"/>
      <c r="O28" s="605"/>
      <c r="P28" s="605"/>
      <c r="Q28" s="605"/>
      <c r="R28" s="605"/>
      <c r="S28" s="604"/>
      <c r="T28" s="603"/>
      <c r="U28" s="607"/>
      <c r="V28" s="605"/>
      <c r="W28" s="605"/>
      <c r="X28" s="605"/>
      <c r="Y28" s="605"/>
      <c r="Z28" s="604"/>
      <c r="AA28" s="603"/>
      <c r="AB28" s="607"/>
      <c r="AC28" s="605"/>
      <c r="AD28" s="605"/>
      <c r="AE28" s="605"/>
      <c r="AF28" s="605"/>
      <c r="AG28" s="604"/>
      <c r="AH28" s="603"/>
      <c r="AI28" s="607"/>
      <c r="AJ28" s="605"/>
      <c r="AK28" s="605"/>
      <c r="AL28" s="605"/>
      <c r="AM28" s="605"/>
      <c r="AN28" s="604"/>
      <c r="AO28" s="603"/>
      <c r="AP28" s="607"/>
      <c r="AQ28" s="605"/>
      <c r="AR28" s="605"/>
      <c r="AS28" s="605"/>
      <c r="AT28" s="605"/>
      <c r="AU28" s="604"/>
      <c r="AV28" s="603"/>
      <c r="AW28" s="606"/>
      <c r="AX28" s="605"/>
      <c r="AY28" s="605"/>
      <c r="AZ28" s="605"/>
      <c r="BA28" s="605"/>
      <c r="BB28" s="604"/>
      <c r="BC28" s="603"/>
      <c r="BD28" s="2"/>
      <c r="BE28" s="2"/>
      <c r="BF28" s="2"/>
      <c r="BG28" s="2"/>
      <c r="BH28" s="2"/>
    </row>
    <row r="29" spans="1:60" s="1" customFormat="1" ht="15.75">
      <c r="A29" s="614" t="s">
        <v>33</v>
      </c>
      <c r="B29" s="613">
        <f t="shared" si="0"/>
        <v>0</v>
      </c>
      <c r="C29" s="622">
        <f>'Preise CARAVANFM'!B25</f>
        <v>1</v>
      </c>
      <c r="D29" s="612">
        <f t="shared" si="1"/>
        <v>11</v>
      </c>
      <c r="E29" s="611">
        <f t="shared" si="2"/>
        <v>0</v>
      </c>
      <c r="F29" s="610">
        <f t="shared" si="3"/>
        <v>0</v>
      </c>
      <c r="G29" s="622">
        <f>'Preise CARAVANFM'!D25</f>
        <v>1</v>
      </c>
      <c r="H29" s="609">
        <f t="shared" si="4"/>
        <v>11</v>
      </c>
      <c r="I29" s="608">
        <f t="shared" si="5"/>
        <v>0</v>
      </c>
      <c r="J29" s="610">
        <f t="shared" si="6"/>
        <v>0</v>
      </c>
      <c r="K29" s="622">
        <f>'Preise CARAVANFM'!F25</f>
        <v>1</v>
      </c>
      <c r="L29" s="609">
        <f t="shared" si="7"/>
        <v>11</v>
      </c>
      <c r="M29" s="608">
        <f t="shared" si="8"/>
        <v>0</v>
      </c>
      <c r="N29" s="607"/>
      <c r="O29" s="605"/>
      <c r="P29" s="605"/>
      <c r="Q29" s="605"/>
      <c r="R29" s="605"/>
      <c r="S29" s="604"/>
      <c r="T29" s="603"/>
      <c r="U29" s="607"/>
      <c r="V29" s="605"/>
      <c r="W29" s="605"/>
      <c r="X29" s="605"/>
      <c r="Y29" s="605"/>
      <c r="Z29" s="604"/>
      <c r="AA29" s="603"/>
      <c r="AB29" s="607"/>
      <c r="AC29" s="605"/>
      <c r="AD29" s="605"/>
      <c r="AE29" s="605"/>
      <c r="AF29" s="605"/>
      <c r="AG29" s="604"/>
      <c r="AH29" s="603"/>
      <c r="AI29" s="607"/>
      <c r="AJ29" s="605"/>
      <c r="AK29" s="605"/>
      <c r="AL29" s="605"/>
      <c r="AM29" s="605"/>
      <c r="AN29" s="604"/>
      <c r="AO29" s="603"/>
      <c r="AP29" s="607"/>
      <c r="AQ29" s="605"/>
      <c r="AR29" s="605"/>
      <c r="AS29" s="605"/>
      <c r="AT29" s="605"/>
      <c r="AU29" s="604"/>
      <c r="AV29" s="603"/>
      <c r="AW29" s="606"/>
      <c r="AX29" s="605"/>
      <c r="AY29" s="605"/>
      <c r="AZ29" s="605"/>
      <c r="BA29" s="605"/>
      <c r="BB29" s="604"/>
      <c r="BC29" s="603"/>
      <c r="BD29" s="2"/>
      <c r="BE29" s="2"/>
      <c r="BF29" s="2"/>
      <c r="BG29" s="2"/>
      <c r="BH29" s="2"/>
    </row>
    <row r="30" spans="1:60" s="1" customFormat="1" ht="15.75">
      <c r="A30" s="614" t="s">
        <v>34</v>
      </c>
      <c r="B30" s="613">
        <f t="shared" si="0"/>
        <v>0</v>
      </c>
      <c r="C30" s="622">
        <f>'Preise CARAVANFM'!B26</f>
        <v>1</v>
      </c>
      <c r="D30" s="612">
        <f t="shared" si="1"/>
        <v>11</v>
      </c>
      <c r="E30" s="611">
        <f t="shared" si="2"/>
        <v>0</v>
      </c>
      <c r="F30" s="610">
        <f t="shared" si="3"/>
        <v>0</v>
      </c>
      <c r="G30" s="622">
        <f>'Preise CARAVANFM'!D26</f>
        <v>1</v>
      </c>
      <c r="H30" s="609">
        <f t="shared" si="4"/>
        <v>11</v>
      </c>
      <c r="I30" s="608">
        <f t="shared" si="5"/>
        <v>0</v>
      </c>
      <c r="J30" s="610">
        <f t="shared" si="6"/>
        <v>0</v>
      </c>
      <c r="K30" s="622">
        <f>'Preise CARAVANFM'!F26</f>
        <v>1</v>
      </c>
      <c r="L30" s="609">
        <f t="shared" si="7"/>
        <v>11</v>
      </c>
      <c r="M30" s="608">
        <f t="shared" si="8"/>
        <v>0</v>
      </c>
      <c r="N30" s="607"/>
      <c r="O30" s="605"/>
      <c r="P30" s="605"/>
      <c r="Q30" s="605"/>
      <c r="R30" s="605"/>
      <c r="S30" s="604"/>
      <c r="T30" s="603"/>
      <c r="U30" s="607"/>
      <c r="V30" s="605"/>
      <c r="W30" s="605"/>
      <c r="X30" s="605"/>
      <c r="Y30" s="605"/>
      <c r="Z30" s="604"/>
      <c r="AA30" s="603"/>
      <c r="AB30" s="607"/>
      <c r="AC30" s="605"/>
      <c r="AD30" s="605"/>
      <c r="AE30" s="605"/>
      <c r="AF30" s="605"/>
      <c r="AG30" s="604"/>
      <c r="AH30" s="603"/>
      <c r="AI30" s="607"/>
      <c r="AJ30" s="605"/>
      <c r="AK30" s="605"/>
      <c r="AL30" s="605"/>
      <c r="AM30" s="605"/>
      <c r="AN30" s="604"/>
      <c r="AO30" s="603"/>
      <c r="AP30" s="607"/>
      <c r="AQ30" s="605"/>
      <c r="AR30" s="605"/>
      <c r="AS30" s="605"/>
      <c r="AT30" s="605"/>
      <c r="AU30" s="604"/>
      <c r="AV30" s="603"/>
      <c r="AW30" s="606"/>
      <c r="AX30" s="605"/>
      <c r="AY30" s="605"/>
      <c r="AZ30" s="605"/>
      <c r="BA30" s="605"/>
      <c r="BB30" s="604"/>
      <c r="BC30" s="603"/>
      <c r="BD30" s="2"/>
      <c r="BE30" s="2"/>
      <c r="BF30" s="2"/>
      <c r="BG30" s="2"/>
      <c r="BH30" s="2"/>
    </row>
    <row r="31" spans="1:60" s="1" customFormat="1" ht="15.75">
      <c r="A31" s="614" t="s">
        <v>35</v>
      </c>
      <c r="B31" s="613">
        <f t="shared" si="0"/>
        <v>0</v>
      </c>
      <c r="C31" s="622">
        <f>'Preise CARAVANFM'!B27</f>
        <v>1</v>
      </c>
      <c r="D31" s="612">
        <f t="shared" si="1"/>
        <v>11</v>
      </c>
      <c r="E31" s="611">
        <f t="shared" si="2"/>
        <v>0</v>
      </c>
      <c r="F31" s="610">
        <f t="shared" si="3"/>
        <v>0</v>
      </c>
      <c r="G31" s="622">
        <f>'Preise CARAVANFM'!D27</f>
        <v>1</v>
      </c>
      <c r="H31" s="609">
        <f t="shared" si="4"/>
        <v>11</v>
      </c>
      <c r="I31" s="608">
        <f t="shared" si="5"/>
        <v>0</v>
      </c>
      <c r="J31" s="610">
        <f t="shared" si="6"/>
        <v>0</v>
      </c>
      <c r="K31" s="622">
        <f>'Preise CARAVANFM'!F27</f>
        <v>1</v>
      </c>
      <c r="L31" s="609">
        <f t="shared" si="7"/>
        <v>11</v>
      </c>
      <c r="M31" s="608">
        <f t="shared" si="8"/>
        <v>0</v>
      </c>
      <c r="N31" s="607"/>
      <c r="O31" s="605"/>
      <c r="P31" s="605"/>
      <c r="Q31" s="605"/>
      <c r="R31" s="605"/>
      <c r="S31" s="604"/>
      <c r="T31" s="603"/>
      <c r="U31" s="607"/>
      <c r="V31" s="605"/>
      <c r="W31" s="605"/>
      <c r="X31" s="605"/>
      <c r="Y31" s="605"/>
      <c r="Z31" s="604"/>
      <c r="AA31" s="603"/>
      <c r="AB31" s="607"/>
      <c r="AC31" s="605"/>
      <c r="AD31" s="605"/>
      <c r="AE31" s="605"/>
      <c r="AF31" s="605"/>
      <c r="AG31" s="604"/>
      <c r="AH31" s="603"/>
      <c r="AI31" s="607"/>
      <c r="AJ31" s="605"/>
      <c r="AK31" s="605"/>
      <c r="AL31" s="605"/>
      <c r="AM31" s="605"/>
      <c r="AN31" s="604"/>
      <c r="AO31" s="603"/>
      <c r="AP31" s="607"/>
      <c r="AQ31" s="605"/>
      <c r="AR31" s="605"/>
      <c r="AS31" s="605"/>
      <c r="AT31" s="605"/>
      <c r="AU31" s="604"/>
      <c r="AV31" s="603"/>
      <c r="AW31" s="606"/>
      <c r="AX31" s="605"/>
      <c r="AY31" s="605"/>
      <c r="AZ31" s="605"/>
      <c r="BA31" s="605"/>
      <c r="BB31" s="604"/>
      <c r="BC31" s="603"/>
      <c r="BD31" s="2"/>
      <c r="BE31" s="2"/>
      <c r="BF31" s="2"/>
      <c r="BG31" s="2"/>
      <c r="BH31" s="2"/>
    </row>
    <row r="32" spans="1:60" s="1" customFormat="1" ht="15.75">
      <c r="A32" s="614" t="s">
        <v>36</v>
      </c>
      <c r="B32" s="613">
        <f t="shared" si="0"/>
        <v>0</v>
      </c>
      <c r="C32" s="622">
        <f>'Preise CARAVANFM'!B28</f>
        <v>1</v>
      </c>
      <c r="D32" s="612">
        <f t="shared" si="1"/>
        <v>11</v>
      </c>
      <c r="E32" s="611">
        <f t="shared" si="2"/>
        <v>0</v>
      </c>
      <c r="F32" s="610">
        <f t="shared" si="3"/>
        <v>0</v>
      </c>
      <c r="G32" s="622">
        <f>'Preise CARAVANFM'!D28</f>
        <v>1</v>
      </c>
      <c r="H32" s="609">
        <f t="shared" si="4"/>
        <v>11</v>
      </c>
      <c r="I32" s="608">
        <f t="shared" si="5"/>
        <v>0</v>
      </c>
      <c r="J32" s="610">
        <f t="shared" si="6"/>
        <v>0</v>
      </c>
      <c r="K32" s="622">
        <f>'Preise CARAVANFM'!F28</f>
        <v>1</v>
      </c>
      <c r="L32" s="609">
        <f t="shared" si="7"/>
        <v>11</v>
      </c>
      <c r="M32" s="608">
        <f t="shared" si="8"/>
        <v>0</v>
      </c>
      <c r="N32" s="607"/>
      <c r="O32" s="605"/>
      <c r="P32" s="605"/>
      <c r="Q32" s="605"/>
      <c r="R32" s="605"/>
      <c r="S32" s="604"/>
      <c r="T32" s="603"/>
      <c r="U32" s="607"/>
      <c r="V32" s="605"/>
      <c r="W32" s="605"/>
      <c r="X32" s="605"/>
      <c r="Y32" s="605"/>
      <c r="Z32" s="604"/>
      <c r="AA32" s="603"/>
      <c r="AB32" s="607"/>
      <c r="AC32" s="605"/>
      <c r="AD32" s="605"/>
      <c r="AE32" s="605"/>
      <c r="AF32" s="605"/>
      <c r="AG32" s="604"/>
      <c r="AH32" s="603"/>
      <c r="AI32" s="607"/>
      <c r="AJ32" s="605"/>
      <c r="AK32" s="605"/>
      <c r="AL32" s="605"/>
      <c r="AM32" s="605"/>
      <c r="AN32" s="604"/>
      <c r="AO32" s="603"/>
      <c r="AP32" s="607"/>
      <c r="AQ32" s="605"/>
      <c r="AR32" s="605"/>
      <c r="AS32" s="605"/>
      <c r="AT32" s="605"/>
      <c r="AU32" s="604"/>
      <c r="AV32" s="603"/>
      <c r="AW32" s="606"/>
      <c r="AX32" s="605"/>
      <c r="AY32" s="605"/>
      <c r="AZ32" s="605"/>
      <c r="BA32" s="605"/>
      <c r="BB32" s="604"/>
      <c r="BC32" s="603"/>
      <c r="BD32" s="2"/>
      <c r="BE32" s="2"/>
      <c r="BF32" s="2"/>
      <c r="BG32" s="2"/>
      <c r="BH32" s="2"/>
    </row>
    <row r="33" spans="1:60" s="1" customFormat="1" ht="15.75">
      <c r="A33" s="614" t="s">
        <v>37</v>
      </c>
      <c r="B33" s="613">
        <f t="shared" si="0"/>
        <v>0</v>
      </c>
      <c r="C33" s="622">
        <f>'Preise CARAVANFM'!B29</f>
        <v>1</v>
      </c>
      <c r="D33" s="612">
        <f t="shared" si="1"/>
        <v>11</v>
      </c>
      <c r="E33" s="611">
        <f t="shared" si="2"/>
        <v>0</v>
      </c>
      <c r="F33" s="610">
        <f t="shared" si="3"/>
        <v>0</v>
      </c>
      <c r="G33" s="622">
        <f>'Preise CARAVANFM'!D29</f>
        <v>1</v>
      </c>
      <c r="H33" s="609">
        <f t="shared" si="4"/>
        <v>11</v>
      </c>
      <c r="I33" s="608">
        <f t="shared" si="5"/>
        <v>0</v>
      </c>
      <c r="J33" s="610">
        <f t="shared" si="6"/>
        <v>0</v>
      </c>
      <c r="K33" s="622">
        <f>'Preise CARAVANFM'!F29</f>
        <v>1</v>
      </c>
      <c r="L33" s="609">
        <f t="shared" si="7"/>
        <v>11</v>
      </c>
      <c r="M33" s="608">
        <f t="shared" si="8"/>
        <v>0</v>
      </c>
      <c r="N33" s="607"/>
      <c r="O33" s="605"/>
      <c r="P33" s="605"/>
      <c r="Q33" s="605"/>
      <c r="R33" s="605"/>
      <c r="S33" s="604"/>
      <c r="T33" s="603"/>
      <c r="U33" s="607"/>
      <c r="V33" s="605"/>
      <c r="W33" s="605"/>
      <c r="X33" s="605"/>
      <c r="Y33" s="605"/>
      <c r="Z33" s="604"/>
      <c r="AA33" s="603"/>
      <c r="AB33" s="607"/>
      <c r="AC33" s="605"/>
      <c r="AD33" s="605"/>
      <c r="AE33" s="605"/>
      <c r="AF33" s="605"/>
      <c r="AG33" s="604"/>
      <c r="AH33" s="603"/>
      <c r="AI33" s="607"/>
      <c r="AJ33" s="605"/>
      <c r="AK33" s="605"/>
      <c r="AL33" s="605"/>
      <c r="AM33" s="605"/>
      <c r="AN33" s="604"/>
      <c r="AO33" s="603"/>
      <c r="AP33" s="607"/>
      <c r="AQ33" s="605"/>
      <c r="AR33" s="605"/>
      <c r="AS33" s="605"/>
      <c r="AT33" s="605"/>
      <c r="AU33" s="604"/>
      <c r="AV33" s="603"/>
      <c r="AW33" s="606"/>
      <c r="AX33" s="605"/>
      <c r="AY33" s="605"/>
      <c r="AZ33" s="605"/>
      <c r="BA33" s="605"/>
      <c r="BB33" s="604"/>
      <c r="BC33" s="603"/>
      <c r="BD33" s="2"/>
      <c r="BE33" s="2"/>
      <c r="BF33" s="2"/>
      <c r="BG33" s="2"/>
      <c r="BH33" s="2"/>
    </row>
    <row r="34" spans="1:60" s="1" customFormat="1" ht="15.75">
      <c r="A34" s="614" t="s">
        <v>38</v>
      </c>
      <c r="B34" s="613">
        <f t="shared" si="0"/>
        <v>0</v>
      </c>
      <c r="C34" s="622">
        <f>'Preise CARAVANFM'!B30</f>
        <v>1</v>
      </c>
      <c r="D34" s="612">
        <f t="shared" si="1"/>
        <v>11</v>
      </c>
      <c r="E34" s="611">
        <f t="shared" si="2"/>
        <v>0</v>
      </c>
      <c r="F34" s="610">
        <f t="shared" si="3"/>
        <v>0</v>
      </c>
      <c r="G34" s="622">
        <f>'Preise CARAVANFM'!D30</f>
        <v>1</v>
      </c>
      <c r="H34" s="609">
        <f t="shared" si="4"/>
        <v>11</v>
      </c>
      <c r="I34" s="608">
        <f t="shared" si="5"/>
        <v>0</v>
      </c>
      <c r="J34" s="610">
        <f t="shared" si="6"/>
        <v>0</v>
      </c>
      <c r="K34" s="622">
        <f>'Preise CARAVANFM'!F30</f>
        <v>1</v>
      </c>
      <c r="L34" s="609">
        <f t="shared" si="7"/>
        <v>11</v>
      </c>
      <c r="M34" s="608">
        <f t="shared" si="8"/>
        <v>0</v>
      </c>
      <c r="N34" s="607"/>
      <c r="O34" s="605"/>
      <c r="P34" s="605"/>
      <c r="Q34" s="605"/>
      <c r="R34" s="605"/>
      <c r="S34" s="604"/>
      <c r="T34" s="603"/>
      <c r="U34" s="607"/>
      <c r="V34" s="605"/>
      <c r="W34" s="605"/>
      <c r="X34" s="605"/>
      <c r="Y34" s="605"/>
      <c r="Z34" s="604"/>
      <c r="AA34" s="603"/>
      <c r="AB34" s="607"/>
      <c r="AC34" s="605"/>
      <c r="AD34" s="605"/>
      <c r="AE34" s="605"/>
      <c r="AF34" s="605"/>
      <c r="AG34" s="604"/>
      <c r="AH34" s="603"/>
      <c r="AI34" s="607"/>
      <c r="AJ34" s="605"/>
      <c r="AK34" s="605"/>
      <c r="AL34" s="605"/>
      <c r="AM34" s="605"/>
      <c r="AN34" s="604"/>
      <c r="AO34" s="603"/>
      <c r="AP34" s="607"/>
      <c r="AQ34" s="605"/>
      <c r="AR34" s="605"/>
      <c r="AS34" s="605"/>
      <c r="AT34" s="605"/>
      <c r="AU34" s="604"/>
      <c r="AV34" s="603"/>
      <c r="AW34" s="606"/>
      <c r="AX34" s="605"/>
      <c r="AY34" s="605"/>
      <c r="AZ34" s="605"/>
      <c r="BA34" s="605"/>
      <c r="BB34" s="604"/>
      <c r="BC34" s="603"/>
      <c r="BD34" s="2"/>
      <c r="BE34" s="2"/>
      <c r="BF34" s="2"/>
      <c r="BG34" s="2"/>
      <c r="BH34" s="2"/>
    </row>
    <row r="35" spans="1:60" s="1" customFormat="1" ht="15.75">
      <c r="A35" s="614" t="s">
        <v>39</v>
      </c>
      <c r="B35" s="613">
        <f t="shared" si="0"/>
        <v>0</v>
      </c>
      <c r="C35" s="622">
        <f>'Preise CARAVANFM'!B31</f>
        <v>1</v>
      </c>
      <c r="D35" s="612">
        <f t="shared" si="1"/>
        <v>11</v>
      </c>
      <c r="E35" s="611">
        <f t="shared" si="2"/>
        <v>0</v>
      </c>
      <c r="F35" s="610">
        <f t="shared" si="3"/>
        <v>0</v>
      </c>
      <c r="G35" s="622">
        <f>'Preise CARAVANFM'!D31</f>
        <v>1</v>
      </c>
      <c r="H35" s="609">
        <f t="shared" si="4"/>
        <v>11</v>
      </c>
      <c r="I35" s="608">
        <f t="shared" si="5"/>
        <v>0</v>
      </c>
      <c r="J35" s="610">
        <f t="shared" si="6"/>
        <v>0</v>
      </c>
      <c r="K35" s="622">
        <f>'Preise CARAVANFM'!F31</f>
        <v>1</v>
      </c>
      <c r="L35" s="609">
        <f t="shared" si="7"/>
        <v>11</v>
      </c>
      <c r="M35" s="608">
        <f t="shared" si="8"/>
        <v>0</v>
      </c>
      <c r="N35" s="607"/>
      <c r="O35" s="605"/>
      <c r="P35" s="605"/>
      <c r="Q35" s="605"/>
      <c r="R35" s="605"/>
      <c r="S35" s="604"/>
      <c r="T35" s="603"/>
      <c r="U35" s="607"/>
      <c r="V35" s="605"/>
      <c r="W35" s="605"/>
      <c r="X35" s="605"/>
      <c r="Y35" s="605"/>
      <c r="Z35" s="604"/>
      <c r="AA35" s="603"/>
      <c r="AB35" s="607"/>
      <c r="AC35" s="605"/>
      <c r="AD35" s="605"/>
      <c r="AE35" s="605"/>
      <c r="AF35" s="605"/>
      <c r="AG35" s="604"/>
      <c r="AH35" s="603"/>
      <c r="AI35" s="607"/>
      <c r="AJ35" s="605"/>
      <c r="AK35" s="605"/>
      <c r="AL35" s="605"/>
      <c r="AM35" s="605"/>
      <c r="AN35" s="604"/>
      <c r="AO35" s="603"/>
      <c r="AP35" s="607"/>
      <c r="AQ35" s="605"/>
      <c r="AR35" s="605"/>
      <c r="AS35" s="605"/>
      <c r="AT35" s="605"/>
      <c r="AU35" s="604"/>
      <c r="AV35" s="603"/>
      <c r="AW35" s="606"/>
      <c r="AX35" s="605"/>
      <c r="AY35" s="605"/>
      <c r="AZ35" s="605"/>
      <c r="BA35" s="605"/>
      <c r="BB35" s="604"/>
      <c r="BC35" s="603"/>
      <c r="BD35" s="2"/>
      <c r="BE35" s="2"/>
      <c r="BF35" s="2"/>
      <c r="BG35" s="2"/>
      <c r="BH35" s="2"/>
    </row>
    <row r="36" spans="1:60" s="1" customFormat="1" ht="15.75">
      <c r="A36" s="614" t="s">
        <v>40</v>
      </c>
      <c r="B36" s="613">
        <f t="shared" si="0"/>
        <v>0</v>
      </c>
      <c r="C36" s="622">
        <f>'Preise CARAVANFM'!B32</f>
        <v>1</v>
      </c>
      <c r="D36" s="612">
        <f t="shared" si="1"/>
        <v>11</v>
      </c>
      <c r="E36" s="611">
        <f t="shared" si="2"/>
        <v>0</v>
      </c>
      <c r="F36" s="610">
        <f t="shared" si="3"/>
        <v>0</v>
      </c>
      <c r="G36" s="622">
        <f>'Preise CARAVANFM'!D32</f>
        <v>1</v>
      </c>
      <c r="H36" s="609">
        <f t="shared" si="4"/>
        <v>11</v>
      </c>
      <c r="I36" s="608">
        <f t="shared" si="5"/>
        <v>0</v>
      </c>
      <c r="J36" s="610">
        <f t="shared" si="6"/>
        <v>0</v>
      </c>
      <c r="K36" s="622">
        <f>'Preise CARAVANFM'!F32</f>
        <v>1</v>
      </c>
      <c r="L36" s="609">
        <f t="shared" si="7"/>
        <v>11</v>
      </c>
      <c r="M36" s="608">
        <f t="shared" si="8"/>
        <v>0</v>
      </c>
      <c r="N36" s="607"/>
      <c r="O36" s="605"/>
      <c r="P36" s="605"/>
      <c r="Q36" s="605"/>
      <c r="R36" s="605"/>
      <c r="S36" s="604"/>
      <c r="T36" s="603"/>
      <c r="U36" s="607"/>
      <c r="V36" s="605"/>
      <c r="W36" s="605"/>
      <c r="X36" s="605"/>
      <c r="Y36" s="605"/>
      <c r="Z36" s="604"/>
      <c r="AA36" s="603"/>
      <c r="AB36" s="607"/>
      <c r="AC36" s="605"/>
      <c r="AD36" s="605"/>
      <c r="AE36" s="605"/>
      <c r="AF36" s="605"/>
      <c r="AG36" s="604"/>
      <c r="AH36" s="603"/>
      <c r="AI36" s="607"/>
      <c r="AJ36" s="605"/>
      <c r="AK36" s="605"/>
      <c r="AL36" s="605"/>
      <c r="AM36" s="605"/>
      <c r="AN36" s="604"/>
      <c r="AO36" s="603"/>
      <c r="AP36" s="607"/>
      <c r="AQ36" s="605"/>
      <c r="AR36" s="605"/>
      <c r="AS36" s="605"/>
      <c r="AT36" s="605"/>
      <c r="AU36" s="604"/>
      <c r="AV36" s="603"/>
      <c r="AW36" s="606"/>
      <c r="AX36" s="605"/>
      <c r="AY36" s="605"/>
      <c r="AZ36" s="605"/>
      <c r="BA36" s="605"/>
      <c r="BB36" s="604"/>
      <c r="BC36" s="603"/>
      <c r="BD36" s="2"/>
      <c r="BE36" s="2"/>
      <c r="BF36" s="2"/>
      <c r="BG36" s="2"/>
      <c r="BH36" s="2"/>
    </row>
    <row r="37" spans="1:60" s="1" customFormat="1" ht="15.75">
      <c r="A37" s="614" t="s">
        <v>41</v>
      </c>
      <c r="B37" s="613">
        <f t="shared" si="0"/>
        <v>0</v>
      </c>
      <c r="C37" s="622">
        <f>'Preise CARAVANFM'!B33</f>
        <v>1</v>
      </c>
      <c r="D37" s="612">
        <f t="shared" si="1"/>
        <v>11</v>
      </c>
      <c r="E37" s="611">
        <f t="shared" si="2"/>
        <v>0</v>
      </c>
      <c r="F37" s="610">
        <f t="shared" si="3"/>
        <v>0</v>
      </c>
      <c r="G37" s="622">
        <f>'Preise CARAVANFM'!D33</f>
        <v>1</v>
      </c>
      <c r="H37" s="609">
        <f t="shared" si="4"/>
        <v>11</v>
      </c>
      <c r="I37" s="608">
        <f t="shared" si="5"/>
        <v>0</v>
      </c>
      <c r="J37" s="610">
        <f t="shared" si="6"/>
        <v>0</v>
      </c>
      <c r="K37" s="622">
        <f>'Preise CARAVANFM'!F33</f>
        <v>1</v>
      </c>
      <c r="L37" s="609">
        <f t="shared" si="7"/>
        <v>11</v>
      </c>
      <c r="M37" s="608">
        <f t="shared" si="8"/>
        <v>0</v>
      </c>
      <c r="N37" s="607"/>
      <c r="O37" s="605"/>
      <c r="P37" s="605"/>
      <c r="Q37" s="605"/>
      <c r="R37" s="605"/>
      <c r="S37" s="604"/>
      <c r="T37" s="603"/>
      <c r="U37" s="607"/>
      <c r="V37" s="605"/>
      <c r="W37" s="605"/>
      <c r="X37" s="605"/>
      <c r="Y37" s="605"/>
      <c r="Z37" s="604"/>
      <c r="AA37" s="603"/>
      <c r="AB37" s="607"/>
      <c r="AC37" s="605"/>
      <c r="AD37" s="605"/>
      <c r="AE37" s="605"/>
      <c r="AF37" s="605"/>
      <c r="AG37" s="604"/>
      <c r="AH37" s="603"/>
      <c r="AI37" s="607"/>
      <c r="AJ37" s="605"/>
      <c r="AK37" s="605"/>
      <c r="AL37" s="605"/>
      <c r="AM37" s="605"/>
      <c r="AN37" s="604"/>
      <c r="AO37" s="603"/>
      <c r="AP37" s="607"/>
      <c r="AQ37" s="605"/>
      <c r="AR37" s="605"/>
      <c r="AS37" s="605"/>
      <c r="AT37" s="605"/>
      <c r="AU37" s="604"/>
      <c r="AV37" s="603"/>
      <c r="AW37" s="606"/>
      <c r="AX37" s="605"/>
      <c r="AY37" s="605"/>
      <c r="AZ37" s="605"/>
      <c r="BA37" s="605"/>
      <c r="BB37" s="604"/>
      <c r="BC37" s="603"/>
      <c r="BD37" s="2"/>
      <c r="BE37" s="2"/>
      <c r="BF37" s="2"/>
      <c r="BG37" s="2"/>
      <c r="BH37" s="2"/>
    </row>
    <row r="38" spans="1:60" s="1" customFormat="1" ht="15.75">
      <c r="A38" s="614" t="s">
        <v>42</v>
      </c>
      <c r="B38" s="613">
        <f t="shared" si="0"/>
        <v>0</v>
      </c>
      <c r="C38" s="622">
        <f>'Preise CARAVANFM'!B34</f>
        <v>1</v>
      </c>
      <c r="D38" s="612">
        <f t="shared" si="1"/>
        <v>11</v>
      </c>
      <c r="E38" s="611">
        <f t="shared" si="2"/>
        <v>0</v>
      </c>
      <c r="F38" s="610">
        <f t="shared" si="3"/>
        <v>0</v>
      </c>
      <c r="G38" s="622">
        <f>'Preise CARAVANFM'!D34</f>
        <v>1</v>
      </c>
      <c r="H38" s="609">
        <f t="shared" si="4"/>
        <v>11</v>
      </c>
      <c r="I38" s="608">
        <f t="shared" si="5"/>
        <v>0</v>
      </c>
      <c r="J38" s="610">
        <f t="shared" si="6"/>
        <v>0</v>
      </c>
      <c r="K38" s="622">
        <f>'Preise CARAVANFM'!F34</f>
        <v>1</v>
      </c>
      <c r="L38" s="609">
        <f t="shared" si="7"/>
        <v>11</v>
      </c>
      <c r="M38" s="608">
        <f t="shared" si="8"/>
        <v>0</v>
      </c>
      <c r="N38" s="607"/>
      <c r="O38" s="605"/>
      <c r="P38" s="605"/>
      <c r="Q38" s="605"/>
      <c r="R38" s="605"/>
      <c r="S38" s="604"/>
      <c r="T38" s="603"/>
      <c r="U38" s="607"/>
      <c r="V38" s="605"/>
      <c r="W38" s="605"/>
      <c r="X38" s="605"/>
      <c r="Y38" s="605"/>
      <c r="Z38" s="604"/>
      <c r="AA38" s="603"/>
      <c r="AB38" s="607"/>
      <c r="AC38" s="605"/>
      <c r="AD38" s="605"/>
      <c r="AE38" s="605"/>
      <c r="AF38" s="605"/>
      <c r="AG38" s="604"/>
      <c r="AH38" s="603"/>
      <c r="AI38" s="607"/>
      <c r="AJ38" s="605"/>
      <c r="AK38" s="605"/>
      <c r="AL38" s="605"/>
      <c r="AM38" s="605"/>
      <c r="AN38" s="604"/>
      <c r="AO38" s="603"/>
      <c r="AP38" s="607"/>
      <c r="AQ38" s="605"/>
      <c r="AR38" s="605"/>
      <c r="AS38" s="605"/>
      <c r="AT38" s="605"/>
      <c r="AU38" s="604"/>
      <c r="AV38" s="603"/>
      <c r="AW38" s="606"/>
      <c r="AX38" s="605"/>
      <c r="AY38" s="605"/>
      <c r="AZ38" s="605"/>
      <c r="BA38" s="605"/>
      <c r="BB38" s="604"/>
      <c r="BC38" s="603"/>
      <c r="BD38" s="2"/>
      <c r="BE38" s="2"/>
      <c r="BF38" s="2"/>
      <c r="BG38" s="2"/>
      <c r="BH38" s="2"/>
    </row>
    <row r="39" spans="1:60" s="1" customFormat="1" ht="15.75">
      <c r="A39" s="614" t="s">
        <v>43</v>
      </c>
      <c r="B39" s="613">
        <f t="shared" si="0"/>
        <v>0</v>
      </c>
      <c r="C39" s="622">
        <f>'Preise CARAVANFM'!B35</f>
        <v>1</v>
      </c>
      <c r="D39" s="612">
        <f t="shared" si="1"/>
        <v>11</v>
      </c>
      <c r="E39" s="611">
        <f t="shared" si="2"/>
        <v>0</v>
      </c>
      <c r="F39" s="610">
        <f t="shared" si="3"/>
        <v>0</v>
      </c>
      <c r="G39" s="622">
        <f>'Preise CARAVANFM'!D35</f>
        <v>1</v>
      </c>
      <c r="H39" s="609">
        <f t="shared" si="4"/>
        <v>11</v>
      </c>
      <c r="I39" s="608">
        <f t="shared" si="5"/>
        <v>0</v>
      </c>
      <c r="J39" s="610">
        <f t="shared" si="6"/>
        <v>0</v>
      </c>
      <c r="K39" s="622">
        <f>'Preise CARAVANFM'!F35</f>
        <v>1</v>
      </c>
      <c r="L39" s="609">
        <f t="shared" si="7"/>
        <v>11</v>
      </c>
      <c r="M39" s="608">
        <f t="shared" si="8"/>
        <v>0</v>
      </c>
      <c r="N39" s="607"/>
      <c r="O39" s="605"/>
      <c r="P39" s="605"/>
      <c r="Q39" s="605"/>
      <c r="R39" s="605"/>
      <c r="S39" s="604"/>
      <c r="T39" s="603"/>
      <c r="U39" s="607"/>
      <c r="V39" s="605"/>
      <c r="W39" s="605"/>
      <c r="X39" s="605"/>
      <c r="Y39" s="605"/>
      <c r="Z39" s="604"/>
      <c r="AA39" s="603"/>
      <c r="AB39" s="607"/>
      <c r="AC39" s="605"/>
      <c r="AD39" s="605"/>
      <c r="AE39" s="605"/>
      <c r="AF39" s="605"/>
      <c r="AG39" s="604"/>
      <c r="AH39" s="603"/>
      <c r="AI39" s="607"/>
      <c r="AJ39" s="605"/>
      <c r="AK39" s="605"/>
      <c r="AL39" s="605"/>
      <c r="AM39" s="605"/>
      <c r="AN39" s="604"/>
      <c r="AO39" s="603"/>
      <c r="AP39" s="607"/>
      <c r="AQ39" s="605"/>
      <c r="AR39" s="605"/>
      <c r="AS39" s="605"/>
      <c r="AT39" s="605"/>
      <c r="AU39" s="604"/>
      <c r="AV39" s="603"/>
      <c r="AW39" s="606"/>
      <c r="AX39" s="605"/>
      <c r="AY39" s="605"/>
      <c r="AZ39" s="605"/>
      <c r="BA39" s="605"/>
      <c r="BB39" s="604"/>
      <c r="BC39" s="603"/>
      <c r="BD39" s="2"/>
      <c r="BE39" s="2"/>
      <c r="BF39" s="2"/>
      <c r="BG39" s="2"/>
      <c r="BH39" s="2"/>
    </row>
    <row r="40" spans="1:60" s="1" customFormat="1" ht="15.75">
      <c r="A40" s="614" t="s">
        <v>44</v>
      </c>
      <c r="B40" s="613">
        <f t="shared" si="0"/>
        <v>0</v>
      </c>
      <c r="C40" s="622">
        <f>'Preise CARAVANFM'!B36</f>
        <v>1</v>
      </c>
      <c r="D40" s="612">
        <f t="shared" si="1"/>
        <v>11</v>
      </c>
      <c r="E40" s="611">
        <f t="shared" si="2"/>
        <v>0</v>
      </c>
      <c r="F40" s="610">
        <f t="shared" si="3"/>
        <v>0</v>
      </c>
      <c r="G40" s="622">
        <f>'Preise CARAVANFM'!D36</f>
        <v>1</v>
      </c>
      <c r="H40" s="609">
        <f t="shared" si="4"/>
        <v>11</v>
      </c>
      <c r="I40" s="608">
        <f t="shared" si="5"/>
        <v>0</v>
      </c>
      <c r="J40" s="610">
        <f t="shared" si="6"/>
        <v>0</v>
      </c>
      <c r="K40" s="622">
        <f>'Preise CARAVANFM'!F36</f>
        <v>1</v>
      </c>
      <c r="L40" s="609">
        <f t="shared" si="7"/>
        <v>11</v>
      </c>
      <c r="M40" s="608">
        <f t="shared" si="8"/>
        <v>0</v>
      </c>
      <c r="N40" s="607"/>
      <c r="O40" s="605"/>
      <c r="P40" s="605"/>
      <c r="Q40" s="605"/>
      <c r="R40" s="605"/>
      <c r="S40" s="604"/>
      <c r="T40" s="603"/>
      <c r="U40" s="607"/>
      <c r="V40" s="605"/>
      <c r="W40" s="605"/>
      <c r="X40" s="605"/>
      <c r="Y40" s="605"/>
      <c r="Z40" s="604"/>
      <c r="AA40" s="603"/>
      <c r="AB40" s="607"/>
      <c r="AC40" s="605"/>
      <c r="AD40" s="605"/>
      <c r="AE40" s="605"/>
      <c r="AF40" s="605"/>
      <c r="AG40" s="604"/>
      <c r="AH40" s="603"/>
      <c r="AI40" s="607"/>
      <c r="AJ40" s="605"/>
      <c r="AK40" s="605"/>
      <c r="AL40" s="605"/>
      <c r="AM40" s="605"/>
      <c r="AN40" s="604"/>
      <c r="AO40" s="603"/>
      <c r="AP40" s="607"/>
      <c r="AQ40" s="605"/>
      <c r="AR40" s="605"/>
      <c r="AS40" s="605"/>
      <c r="AT40" s="605"/>
      <c r="AU40" s="604"/>
      <c r="AV40" s="603"/>
      <c r="AW40" s="606"/>
      <c r="AX40" s="605"/>
      <c r="AY40" s="605"/>
      <c r="AZ40" s="605"/>
      <c r="BA40" s="605"/>
      <c r="BB40" s="604"/>
      <c r="BC40" s="603"/>
      <c r="BD40" s="2"/>
      <c r="BE40" s="2"/>
      <c r="BF40" s="2"/>
      <c r="BG40" s="2"/>
      <c r="BH40" s="2"/>
    </row>
    <row r="41" spans="1:60" s="73" customFormat="1" ht="16.5" thickBot="1">
      <c r="A41" s="602" t="s">
        <v>45</v>
      </c>
      <c r="B41" s="601">
        <f>SUM(B17:B40)</f>
        <v>0</v>
      </c>
      <c r="C41" s="598"/>
      <c r="D41" s="598"/>
      <c r="E41" s="600">
        <f>SUM(E17:E40)</f>
        <v>0</v>
      </c>
      <c r="F41" s="599">
        <f>SUM(F17:F40)</f>
        <v>0</v>
      </c>
      <c r="G41" s="598"/>
      <c r="H41" s="598"/>
      <c r="I41" s="597">
        <f>SUM(I17:I40)</f>
        <v>0</v>
      </c>
      <c r="J41" s="599">
        <f>SUM(J17:J40)</f>
        <v>0</v>
      </c>
      <c r="K41" s="598"/>
      <c r="L41" s="598"/>
      <c r="M41" s="597">
        <f>SUM(M17:M40)</f>
        <v>0</v>
      </c>
      <c r="N41" s="596">
        <f t="shared" ref="N41:BC41" si="9">SUM(N22:N40)</f>
        <v>0</v>
      </c>
      <c r="O41" s="594">
        <f t="shared" si="9"/>
        <v>0</v>
      </c>
      <c r="P41" s="594">
        <f t="shared" si="9"/>
        <v>0</v>
      </c>
      <c r="Q41" s="594">
        <f t="shared" si="9"/>
        <v>0</v>
      </c>
      <c r="R41" s="594">
        <f t="shared" si="9"/>
        <v>0</v>
      </c>
      <c r="S41" s="594">
        <f t="shared" si="9"/>
        <v>0</v>
      </c>
      <c r="T41" s="593">
        <f t="shared" si="9"/>
        <v>0</v>
      </c>
      <c r="U41" s="596">
        <f t="shared" si="9"/>
        <v>0</v>
      </c>
      <c r="V41" s="594">
        <f t="shared" si="9"/>
        <v>0</v>
      </c>
      <c r="W41" s="594">
        <f t="shared" si="9"/>
        <v>0</v>
      </c>
      <c r="X41" s="594">
        <f t="shared" si="9"/>
        <v>0</v>
      </c>
      <c r="Y41" s="594">
        <f t="shared" si="9"/>
        <v>0</v>
      </c>
      <c r="Z41" s="594">
        <f t="shared" si="9"/>
        <v>0</v>
      </c>
      <c r="AA41" s="593">
        <f t="shared" si="9"/>
        <v>0</v>
      </c>
      <c r="AB41" s="596">
        <f t="shared" si="9"/>
        <v>0</v>
      </c>
      <c r="AC41" s="594">
        <f t="shared" si="9"/>
        <v>0</v>
      </c>
      <c r="AD41" s="594">
        <f t="shared" si="9"/>
        <v>0</v>
      </c>
      <c r="AE41" s="594">
        <f t="shared" si="9"/>
        <v>0</v>
      </c>
      <c r="AF41" s="594">
        <f t="shared" si="9"/>
        <v>0</v>
      </c>
      <c r="AG41" s="594">
        <f t="shared" si="9"/>
        <v>0</v>
      </c>
      <c r="AH41" s="593">
        <f t="shared" si="9"/>
        <v>0</v>
      </c>
      <c r="AI41" s="596">
        <f t="shared" si="9"/>
        <v>0</v>
      </c>
      <c r="AJ41" s="594">
        <f t="shared" si="9"/>
        <v>0</v>
      </c>
      <c r="AK41" s="594">
        <f t="shared" si="9"/>
        <v>0</v>
      </c>
      <c r="AL41" s="594">
        <f t="shared" si="9"/>
        <v>0</v>
      </c>
      <c r="AM41" s="594">
        <f t="shared" si="9"/>
        <v>0</v>
      </c>
      <c r="AN41" s="594">
        <f t="shared" si="9"/>
        <v>0</v>
      </c>
      <c r="AO41" s="593">
        <f t="shared" si="9"/>
        <v>0</v>
      </c>
      <c r="AP41" s="596">
        <f t="shared" si="9"/>
        <v>0</v>
      </c>
      <c r="AQ41" s="594">
        <f t="shared" si="9"/>
        <v>0</v>
      </c>
      <c r="AR41" s="594">
        <f t="shared" si="9"/>
        <v>0</v>
      </c>
      <c r="AS41" s="594">
        <f t="shared" si="9"/>
        <v>0</v>
      </c>
      <c r="AT41" s="594">
        <f t="shared" si="9"/>
        <v>0</v>
      </c>
      <c r="AU41" s="594">
        <f t="shared" si="9"/>
        <v>0</v>
      </c>
      <c r="AV41" s="593">
        <f t="shared" si="9"/>
        <v>0</v>
      </c>
      <c r="AW41" s="595">
        <f t="shared" si="9"/>
        <v>0</v>
      </c>
      <c r="AX41" s="594">
        <f t="shared" si="9"/>
        <v>0</v>
      </c>
      <c r="AY41" s="594">
        <f t="shared" si="9"/>
        <v>0</v>
      </c>
      <c r="AZ41" s="594">
        <f t="shared" si="9"/>
        <v>0</v>
      </c>
      <c r="BA41" s="594">
        <f t="shared" si="9"/>
        <v>0</v>
      </c>
      <c r="BB41" s="594">
        <f t="shared" si="9"/>
        <v>0</v>
      </c>
      <c r="BC41" s="593">
        <f t="shared" si="9"/>
        <v>0</v>
      </c>
      <c r="BD41" s="72"/>
      <c r="BE41" s="72"/>
      <c r="BF41" s="72"/>
      <c r="BG41" s="72"/>
      <c r="BH41" s="72"/>
    </row>
    <row r="42" spans="1:60" s="1" customFormat="1"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</row>
    <row r="43" spans="1:60" s="1" customFormat="1"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</row>
    <row r="44" spans="1:60" s="1" customFormat="1"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</row>
    <row r="45" spans="1:60" s="1" customForma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</row>
    <row r="46" spans="1:60" s="1" customFormat="1"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</row>
    <row r="47" spans="1:60" s="1" customFormat="1"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</row>
    <row r="48" spans="1:60" s="1" customFormat="1"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</row>
    <row r="49" spans="3:55" s="1" customFormat="1"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</row>
    <row r="50" spans="3:55" s="1" customFormat="1"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</row>
    <row r="51" spans="3:55" s="1" customFormat="1"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</row>
    <row r="52" spans="3:55" s="1" customFormat="1"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</row>
    <row r="53" spans="3:55" s="1" customFormat="1"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</row>
    <row r="54" spans="3:55" s="1" customFormat="1"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</row>
    <row r="55" spans="3:55" s="1" customFormat="1"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</row>
    <row r="56" spans="3:55" s="1" customFormat="1"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spans="3:55" s="1" customFormat="1"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3:55" s="1" customFormat="1"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3:55" s="1" customFormat="1"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</row>
    <row r="60" spans="3:55" s="1" customFormat="1"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spans="3:55" s="1" customFormat="1"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spans="3:55" s="1" customFormat="1"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spans="3:55" s="1" customFormat="1"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spans="3:55" s="1" customFormat="1"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spans="3:13" s="1" customFormat="1"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spans="3:13" s="1" customFormat="1"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spans="3:13" s="1" customFormat="1"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spans="3:13" s="1" customFormat="1"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spans="3:13" s="1" customFormat="1"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spans="3:13" s="1" customFormat="1"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3:13" s="1" customFormat="1"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spans="3:13" s="1" customFormat="1"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spans="3:13" s="1" customFormat="1"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spans="3:13" s="1" customFormat="1"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spans="3:13" s="1" customFormat="1"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spans="3:13" s="1" customFormat="1"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spans="3:13" s="1" customFormat="1"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</sheetData>
  <mergeCells count="29">
    <mergeCell ref="U14:AA14"/>
    <mergeCell ref="AB14:AH14"/>
    <mergeCell ref="AI14:AO14"/>
    <mergeCell ref="AP14:AV14"/>
    <mergeCell ref="AW14:BC14"/>
    <mergeCell ref="B14:E14"/>
    <mergeCell ref="F14:I14"/>
    <mergeCell ref="J14:M14"/>
    <mergeCell ref="N14:T14"/>
    <mergeCell ref="I9:K9"/>
    <mergeCell ref="M9:O9"/>
    <mergeCell ref="I10:K10"/>
    <mergeCell ref="M10:O10"/>
    <mergeCell ref="I11:K11"/>
    <mergeCell ref="M11:O11"/>
    <mergeCell ref="I12:K12"/>
    <mergeCell ref="M12:O12"/>
    <mergeCell ref="E7:G7"/>
    <mergeCell ref="I7:K7"/>
    <mergeCell ref="M7:O7"/>
    <mergeCell ref="E8:G8"/>
    <mergeCell ref="I8:K8"/>
    <mergeCell ref="M8:O8"/>
    <mergeCell ref="A2:BC2"/>
    <mergeCell ref="A4:BH4"/>
    <mergeCell ref="E6:G6"/>
    <mergeCell ref="I6:K6"/>
    <mergeCell ref="M6:O6"/>
    <mergeCell ref="AN6:AV6"/>
  </mergeCells>
  <pageMargins left="0.11811023622047245" right="0.11811023622047245" top="0.78740157480314965" bottom="0.78740157480314965" header="0.31496062992125984" footer="0.31496062992125984"/>
  <pageSetup paperSize="9" scale="44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119"/>
  <sheetViews>
    <sheetView topLeftCell="A55" zoomScale="85" zoomScaleNormal="85" workbookViewId="0">
      <selection activeCell="A38" sqref="A38:K78"/>
    </sheetView>
  </sheetViews>
  <sheetFormatPr baseColWidth="10" defaultColWidth="11.42578125" defaultRowHeight="15"/>
  <cols>
    <col min="1" max="1" width="14.140625" style="1" customWidth="1"/>
    <col min="2" max="2" width="17.42578125" style="99" customWidth="1"/>
    <col min="3" max="11" width="17.42578125" style="96" customWidth="1"/>
    <col min="12" max="12" width="12.85546875" style="1" customWidth="1"/>
    <col min="13" max="13" width="20.42578125" style="1" customWidth="1"/>
    <col min="14" max="14" width="10.5703125" style="1" customWidth="1"/>
    <col min="15" max="15" width="3.85546875" style="1" customWidth="1"/>
    <col min="16" max="16" width="3.5703125" style="1" customWidth="1"/>
    <col min="17" max="17" width="2.42578125" style="1" customWidth="1"/>
    <col min="18" max="18" width="3.140625" style="1" customWidth="1"/>
    <col min="19" max="19" width="10.42578125" style="1" customWidth="1"/>
    <col min="20" max="20" width="7.7109375" style="1" customWidth="1"/>
    <col min="21" max="21" width="12.85546875" style="1" bestFit="1" customWidth="1"/>
    <col min="22" max="22" width="11.7109375" style="1" bestFit="1" customWidth="1"/>
    <col min="23" max="23" width="14.42578125" style="1" bestFit="1" customWidth="1"/>
    <col min="24" max="24" width="20.42578125" style="1" bestFit="1" customWidth="1"/>
    <col min="25" max="25" width="19.5703125" style="1" bestFit="1" customWidth="1"/>
    <col min="26" max="16384" width="11.42578125" style="1"/>
  </cols>
  <sheetData>
    <row r="1" spans="1:64" ht="39" customHeight="1" thickBot="1">
      <c r="A1" s="533" t="s">
        <v>169</v>
      </c>
      <c r="B1" s="533"/>
      <c r="C1" s="533"/>
      <c r="D1" s="564"/>
      <c r="E1" s="859" t="s">
        <v>132</v>
      </c>
      <c r="F1" s="859"/>
      <c r="G1" s="859"/>
      <c r="H1" s="859"/>
      <c r="I1" s="859"/>
      <c r="J1" s="859"/>
      <c r="K1" s="859"/>
      <c r="L1" s="859"/>
      <c r="M1" s="859"/>
      <c r="N1" s="859"/>
      <c r="O1" s="533"/>
      <c r="P1" s="993" t="s">
        <v>161</v>
      </c>
      <c r="Q1" s="993"/>
      <c r="R1" s="993"/>
      <c r="S1" s="993"/>
      <c r="T1" s="99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</row>
    <row r="2" spans="1:64" ht="23.25">
      <c r="D2" s="405"/>
      <c r="E2" s="563" t="s">
        <v>125</v>
      </c>
      <c r="F2" s="549"/>
      <c r="G2" s="549"/>
      <c r="H2" s="549"/>
      <c r="I2" s="549"/>
      <c r="J2" s="549"/>
      <c r="K2" s="549"/>
      <c r="L2" s="549"/>
      <c r="M2" s="549"/>
      <c r="N2" s="550"/>
      <c r="P2" s="565" t="s">
        <v>110</v>
      </c>
      <c r="Q2" s="565"/>
      <c r="R2" s="565"/>
      <c r="S2" s="565"/>
      <c r="T2" s="565" t="s">
        <v>113</v>
      </c>
    </row>
    <row r="3" spans="1:64" s="91" customFormat="1" ht="32.450000000000003" customHeight="1">
      <c r="A3" s="545"/>
      <c r="B3" s="545"/>
      <c r="C3" s="957" t="s">
        <v>147</v>
      </c>
      <c r="D3" s="1101"/>
      <c r="E3" s="542" t="s">
        <v>129</v>
      </c>
      <c r="F3" s="543" t="s">
        <v>153</v>
      </c>
      <c r="G3" s="543" t="s">
        <v>126</v>
      </c>
      <c r="H3" s="548" t="s">
        <v>128</v>
      </c>
      <c r="I3" s="543" t="s">
        <v>127</v>
      </c>
      <c r="J3" s="543" t="s">
        <v>130</v>
      </c>
      <c r="K3" s="543" t="s">
        <v>131</v>
      </c>
      <c r="L3" s="543" t="s">
        <v>135</v>
      </c>
      <c r="M3" s="543" t="s">
        <v>133</v>
      </c>
      <c r="N3" s="544" t="s">
        <v>134</v>
      </c>
      <c r="P3" s="566">
        <v>1</v>
      </c>
      <c r="Q3" s="566" t="s">
        <v>112</v>
      </c>
      <c r="R3" s="566">
        <v>15</v>
      </c>
      <c r="S3" s="566" t="s">
        <v>111</v>
      </c>
      <c r="T3" s="566">
        <v>110</v>
      </c>
    </row>
    <row r="4" spans="1:64" ht="15.75">
      <c r="C4" s="957"/>
      <c r="D4" s="1101"/>
      <c r="E4" s="541" t="s">
        <v>55</v>
      </c>
      <c r="F4" s="539" t="s">
        <v>79</v>
      </c>
      <c r="G4" s="539"/>
      <c r="H4" s="540">
        <f>IF($E$4=$J$11,VLOOKUP($F$4,$A$37:$K$78,11,0),IF($E$4=$H$11,VLOOKUP($F$4,$A$37:$K$78,9,0),IF($E$4=$F$11,VLOOKUP($F$4,$A$37:$K$78,7,0),IF($E$4=$D$11,VLOOKUP($F$4,$A$37:$K$78,5,0),IF($E$4=$B$11,VLOOKUP($F$4,$A$37:$K$78,3,0))))))</f>
        <v>60</v>
      </c>
      <c r="I4" s="540">
        <f>H4*G4</f>
        <v>0</v>
      </c>
      <c r="J4" s="551"/>
      <c r="K4" s="551"/>
      <c r="L4" s="540">
        <f>(I4-(I4*J4))-(I4-(I4*J4))*K4</f>
        <v>0</v>
      </c>
      <c r="M4" s="556" t="e">
        <f>1-L4/I4</f>
        <v>#DIV/0!</v>
      </c>
      <c r="N4" s="557" t="e">
        <f>(1-M4)*100</f>
        <v>#DIV/0!</v>
      </c>
      <c r="P4" s="566">
        <v>16</v>
      </c>
      <c r="Q4" s="566" t="s">
        <v>112</v>
      </c>
      <c r="R4" s="566">
        <v>24</v>
      </c>
      <c r="S4" s="566" t="s">
        <v>111</v>
      </c>
      <c r="T4" s="566">
        <v>105</v>
      </c>
    </row>
    <row r="5" spans="1:64" s="2" customFormat="1" ht="15.75">
      <c r="B5" s="97"/>
      <c r="C5" s="95"/>
      <c r="E5" s="541" t="s">
        <v>55</v>
      </c>
      <c r="F5" s="539" t="s">
        <v>79</v>
      </c>
      <c r="G5" s="539"/>
      <c r="H5" s="540">
        <f>IF($E$5=$J$11,VLOOKUP($F$5,$A$37:$K$78,11,0),IF($E$5=$H$11,VLOOKUP($F$5,$A$37:$K$78,9,0),IF($E$5=$F$11,VLOOKUP($F$5,$A$37:$K$78,7,0),IF($E$5=$D$11,VLOOKUP($F$5,$A$37:$K$78,5,0),IF($E$5=$B$11,VLOOKUP($F$5,$A$37:$K$78,3,0))))))</f>
        <v>60</v>
      </c>
      <c r="I5" s="540">
        <f>H5*G5</f>
        <v>0</v>
      </c>
      <c r="J5" s="551"/>
      <c r="K5" s="552"/>
      <c r="L5" s="540">
        <f>(I5-(I5*J5))-(I5-(I5*J5))*K5</f>
        <v>0</v>
      </c>
      <c r="M5" s="556" t="e">
        <f>1-L5/I5</f>
        <v>#DIV/0!</v>
      </c>
      <c r="N5" s="557" t="e">
        <f>(1-M5)*100</f>
        <v>#DIV/0!</v>
      </c>
      <c r="P5" s="566">
        <v>25</v>
      </c>
      <c r="Q5" s="566" t="s">
        <v>112</v>
      </c>
      <c r="R5" s="566">
        <v>34</v>
      </c>
      <c r="S5" s="566" t="s">
        <v>111</v>
      </c>
      <c r="T5" s="566">
        <v>100</v>
      </c>
    </row>
    <row r="6" spans="1:64" s="2" customFormat="1" ht="16.5" thickBot="1">
      <c r="B6" s="97"/>
      <c r="C6" s="95"/>
      <c r="E6" s="541" t="s">
        <v>55</v>
      </c>
      <c r="F6" s="539" t="s">
        <v>79</v>
      </c>
      <c r="G6" s="539"/>
      <c r="H6" s="540">
        <f>IF($E$6=$J$11,VLOOKUP($F$6,$A$37:$K$78,11,0),IF($E$6=$H$11,VLOOKUP($F$6,$A$37:$K$78,9,0),IF($E$6=$F$11,VLOOKUP($F$6,$A$37:$K$78,7,0),IF($E$6=$D$11,VLOOKUP($F$6,$A$37:$K$78,5,0),IF($E$6=$B$11,VLOOKUP($F$6,$A$37:$K$78,3,0))))))</f>
        <v>60</v>
      </c>
      <c r="I6" s="540">
        <f>H6*G6</f>
        <v>0</v>
      </c>
      <c r="J6" s="551"/>
      <c r="K6" s="552"/>
      <c r="L6" s="540">
        <f>(I6-(I6*J6))-(I6-(I6*J6))*K6</f>
        <v>0</v>
      </c>
      <c r="M6" s="556" t="e">
        <f>1-L6/I6</f>
        <v>#DIV/0!</v>
      </c>
      <c r="N6" s="557" t="e">
        <f>(1-M6)*100</f>
        <v>#DIV/0!</v>
      </c>
      <c r="P6" s="566">
        <v>35</v>
      </c>
      <c r="Q6" s="566" t="s">
        <v>112</v>
      </c>
      <c r="R6" s="566">
        <v>99</v>
      </c>
      <c r="S6" s="566" t="s">
        <v>111</v>
      </c>
      <c r="T6" s="566">
        <v>95</v>
      </c>
    </row>
    <row r="7" spans="1:64" s="2" customFormat="1" ht="18.75" thickBot="1">
      <c r="A7" s="92" t="s">
        <v>53</v>
      </c>
      <c r="B7" s="97"/>
      <c r="C7" s="592">
        <v>30</v>
      </c>
      <c r="E7" s="848" t="s">
        <v>55</v>
      </c>
      <c r="F7" s="849" t="s">
        <v>79</v>
      </c>
      <c r="G7" s="849"/>
      <c r="H7" s="850">
        <f>IF($E$7=$J$11,VLOOKUP($F$7,$A$37:$K$78,11,0),IF($E$7=$H$11,VLOOKUP($F$7,$A$37:$K$78,9,0),IF($E$7=$F$11,VLOOKUP($F$7,$A$37:$K$78,7,0),IF($E$7=$D$11,VLOOKUP($F$7,$A$37:$K$78,5,0),IF($E$7=$B$11,VLOOKUP($F$7,$A$37:$K$78,3,0))))))</f>
        <v>60</v>
      </c>
      <c r="I7" s="850">
        <f>H7*G7</f>
        <v>0</v>
      </c>
      <c r="J7" s="851"/>
      <c r="K7" s="852"/>
      <c r="L7" s="850">
        <f>(I7-(I7*J7))-(I7-(I7*J7))*K7</f>
        <v>0</v>
      </c>
      <c r="M7" s="853" t="e">
        <f>1-L7/I7</f>
        <v>#DIV/0!</v>
      </c>
      <c r="N7" s="854" t="e">
        <f>(1-M7)*100</f>
        <v>#DIV/0!</v>
      </c>
    </row>
    <row r="8" spans="1:64" s="2" customFormat="1" ht="18">
      <c r="A8" s="92"/>
      <c r="B8" s="97"/>
      <c r="C8" s="561"/>
      <c r="E8" s="182"/>
      <c r="F8" s="182"/>
      <c r="G8" s="182"/>
      <c r="H8" s="554"/>
      <c r="I8" s="554"/>
      <c r="J8" s="558"/>
      <c r="K8" s="559"/>
      <c r="L8" s="554">
        <f>SUM(L4:L7)</f>
        <v>0</v>
      </c>
      <c r="M8" s="555"/>
      <c r="N8" s="560"/>
      <c r="O8" s="147"/>
      <c r="Q8" s="147"/>
      <c r="R8" s="147"/>
      <c r="S8" s="147"/>
    </row>
    <row r="9" spans="1:64" s="2" customFormat="1" ht="18">
      <c r="A9" s="92" t="s">
        <v>164</v>
      </c>
      <c r="B9" s="97"/>
      <c r="C9" s="561"/>
      <c r="E9" s="182"/>
      <c r="F9" s="182"/>
      <c r="G9" s="182"/>
      <c r="H9" s="554"/>
      <c r="I9" s="554"/>
      <c r="J9" s="558"/>
      <c r="K9" s="559"/>
      <c r="L9" s="554"/>
      <c r="M9" s="555"/>
      <c r="N9" s="560"/>
      <c r="O9" s="147"/>
      <c r="P9" s="147"/>
      <c r="Q9" s="147"/>
      <c r="R9" s="147"/>
      <c r="S9" s="147"/>
    </row>
    <row r="10" spans="1:64" s="2" customFormat="1" ht="18">
      <c r="A10" s="1098" t="s">
        <v>54</v>
      </c>
      <c r="B10" s="1098"/>
      <c r="C10" s="1098"/>
      <c r="D10" s="1098"/>
      <c r="E10" s="1098"/>
      <c r="F10" s="1098"/>
      <c r="G10" s="1098"/>
      <c r="H10" s="1098"/>
      <c r="I10" s="1098"/>
      <c r="J10" s="1098"/>
      <c r="K10" s="1098"/>
    </row>
    <row r="11" spans="1:64" s="3" customFormat="1" ht="19.899999999999999" customHeight="1">
      <c r="A11" s="733"/>
      <c r="B11" s="1099" t="s">
        <v>55</v>
      </c>
      <c r="C11" s="1099"/>
      <c r="D11" s="1100" t="s">
        <v>0</v>
      </c>
      <c r="E11" s="1100"/>
      <c r="F11" s="1100" t="s">
        <v>21</v>
      </c>
      <c r="G11" s="1100"/>
      <c r="H11" s="1100" t="s">
        <v>56</v>
      </c>
      <c r="I11" s="1100"/>
      <c r="J11" s="1100" t="s">
        <v>57</v>
      </c>
      <c r="K11" s="1100"/>
    </row>
    <row r="12" spans="1:64" s="2" customFormat="1" ht="38.25" customHeight="1">
      <c r="A12" s="734" t="s">
        <v>58</v>
      </c>
      <c r="B12" s="735" t="s">
        <v>114</v>
      </c>
      <c r="C12" s="736" t="s">
        <v>59</v>
      </c>
      <c r="D12" s="735" t="s">
        <v>109</v>
      </c>
      <c r="E12" s="736" t="s">
        <v>59</v>
      </c>
      <c r="F12" s="735" t="s">
        <v>109</v>
      </c>
      <c r="G12" s="736" t="s">
        <v>59</v>
      </c>
      <c r="H12" s="735" t="s">
        <v>109</v>
      </c>
      <c r="I12" s="736" t="s">
        <v>59</v>
      </c>
      <c r="J12" s="735" t="s">
        <v>109</v>
      </c>
      <c r="K12" s="736" t="s">
        <v>59</v>
      </c>
    </row>
    <row r="13" spans="1:64" s="2" customFormat="1" ht="21.6" customHeight="1">
      <c r="A13" s="588" t="s">
        <v>103</v>
      </c>
      <c r="B13" s="587"/>
      <c r="C13" s="586">
        <f t="shared" ref="C13:C45" si="0">IF(AND($C$7&gt;=$P$5,$C$7&lt;=$R$5),B13*$C$7*$T$5/100,IF(AND($C$7&gt;=$P$4,$C$7&lt;=$R$4),B13*$C$7*$T$4/100,IF(AND($C$7&gt;=$P$3,$C$7&lt;=$R$3),B13*$C$7*$T$3/100,IF($C$7&gt;=$P$6,B13*$C$7*$T$6/100))))</f>
        <v>0</v>
      </c>
      <c r="D13" s="587"/>
      <c r="E13" s="586">
        <f t="shared" ref="E13:E45" si="1">IF(AND($C$7&gt;=$P$5,$C$7&lt;=$R$5),D13*$C$7*$T$5/100,IF(AND($C$7&gt;=$P$4,$C$7&lt;=$R$4),D13*$C$7*$T$4/100,IF(AND($C$7&gt;=$P$3,$C$7&lt;=$R$3),D13*$C$7*$T$3/100,IF($C$7&gt;=$P$6,D13*$C$7*$T$6/100))))</f>
        <v>0</v>
      </c>
      <c r="F13" s="587"/>
      <c r="G13" s="586">
        <f t="shared" ref="G13:G35" si="2">IF(AND($C$7&gt;=$P$5,$C$7&lt;=$R$5),F13*$C$7*$T$5/100,IF(AND($C$7&gt;=$P$4,$C$7&lt;=$R$4),F13*$C$7*$T$4/100,IF(AND($C$7&gt;=$P$3,$C$7&lt;=$R$3),F13*$C$7*$T$3/100,IF($C$7&gt;=$P$6,F13*$C$7*$T$6/100))))</f>
        <v>0</v>
      </c>
      <c r="H13" s="586">
        <f t="shared" ref="H13:H36" si="3">((B13*5)+D13)/6</f>
        <v>0</v>
      </c>
      <c r="I13" s="586">
        <f t="shared" ref="I13:I36" si="4">IF(AND($C$7&gt;=$P$5,$C$7&lt;=$R$5),H13*$C$7*$T$5/100,IF(AND($C$7&gt;=$P$4,$C$7&lt;=$R$4),H13*$C$7*$T$4/100,IF(AND($C$7&gt;=$P$3,$C$7&lt;=$R$3),H13*$C$7*$T$3/100,IF($C$7&gt;=$P$6,H13*$C$7*$T$6/100))))</f>
        <v>0</v>
      </c>
      <c r="J13" s="586">
        <f t="shared" ref="J13:J36" si="5">((B13*5)+D13+F13)/7</f>
        <v>0</v>
      </c>
      <c r="K13" s="586">
        <f t="shared" ref="K13:K36" si="6">IF(AND($C$7&gt;=$P$5,$C$7&lt;=$R$5),J13*$C$7*$T$5/100,IF(AND($C$7&gt;=$P$4,$C$7&lt;=$R$4),J13*$C$7*$T$4/100,IF(AND($C$7&gt;=$P$3,$C$7&lt;=$R$3),J13*$C$7*$T$3/100,IF($C$7&gt;=$P$6,J13*$C$7*$T$6/100))))</f>
        <v>0</v>
      </c>
      <c r="L13" s="553"/>
      <c r="M13" s="553"/>
      <c r="N13" s="553"/>
      <c r="T13" s="140"/>
      <c r="U13" s="140"/>
    </row>
    <row r="14" spans="1:64" s="2" customFormat="1" ht="21.6" customHeight="1">
      <c r="A14" s="585" t="s">
        <v>107</v>
      </c>
      <c r="B14" s="584"/>
      <c r="C14" s="583">
        <f t="shared" si="0"/>
        <v>0</v>
      </c>
      <c r="D14" s="584"/>
      <c r="E14" s="583">
        <f t="shared" si="1"/>
        <v>0</v>
      </c>
      <c r="F14" s="584"/>
      <c r="G14" s="583">
        <f t="shared" si="2"/>
        <v>0</v>
      </c>
      <c r="H14" s="583">
        <f t="shared" si="3"/>
        <v>0</v>
      </c>
      <c r="I14" s="583">
        <f t="shared" si="4"/>
        <v>0</v>
      </c>
      <c r="J14" s="583">
        <f t="shared" si="5"/>
        <v>0</v>
      </c>
      <c r="K14" s="583">
        <f t="shared" si="6"/>
        <v>0</v>
      </c>
      <c r="T14" s="140"/>
      <c r="U14" s="140"/>
    </row>
    <row r="15" spans="1:64" s="2" customFormat="1" ht="21.6" customHeight="1">
      <c r="A15" s="585" t="s">
        <v>106</v>
      </c>
      <c r="B15" s="584"/>
      <c r="C15" s="583">
        <f t="shared" si="0"/>
        <v>0</v>
      </c>
      <c r="D15" s="584"/>
      <c r="E15" s="583">
        <f t="shared" si="1"/>
        <v>0</v>
      </c>
      <c r="F15" s="584"/>
      <c r="G15" s="583">
        <f t="shared" si="2"/>
        <v>0</v>
      </c>
      <c r="H15" s="583">
        <f t="shared" si="3"/>
        <v>0</v>
      </c>
      <c r="I15" s="583">
        <f t="shared" si="4"/>
        <v>0</v>
      </c>
      <c r="J15" s="583">
        <f t="shared" si="5"/>
        <v>0</v>
      </c>
      <c r="K15" s="583">
        <f t="shared" si="6"/>
        <v>0</v>
      </c>
      <c r="T15" s="140"/>
      <c r="U15" s="140"/>
    </row>
    <row r="16" spans="1:64" s="2" customFormat="1" ht="21.6" customHeight="1">
      <c r="A16" s="585" t="s">
        <v>105</v>
      </c>
      <c r="B16" s="584"/>
      <c r="C16" s="583">
        <f t="shared" si="0"/>
        <v>0</v>
      </c>
      <c r="D16" s="584"/>
      <c r="E16" s="583">
        <f t="shared" si="1"/>
        <v>0</v>
      </c>
      <c r="F16" s="584"/>
      <c r="G16" s="583">
        <f t="shared" si="2"/>
        <v>0</v>
      </c>
      <c r="H16" s="583">
        <f t="shared" si="3"/>
        <v>0</v>
      </c>
      <c r="I16" s="583">
        <f t="shared" si="4"/>
        <v>0</v>
      </c>
      <c r="J16" s="583">
        <f t="shared" si="5"/>
        <v>0</v>
      </c>
      <c r="K16" s="583">
        <f t="shared" si="6"/>
        <v>0</v>
      </c>
    </row>
    <row r="17" spans="1:26" s="2" customFormat="1" ht="18">
      <c r="A17" s="585" t="s">
        <v>104</v>
      </c>
      <c r="B17" s="584"/>
      <c r="C17" s="583">
        <f t="shared" si="0"/>
        <v>0</v>
      </c>
      <c r="D17" s="584"/>
      <c r="E17" s="583">
        <f t="shared" si="1"/>
        <v>0</v>
      </c>
      <c r="F17" s="584"/>
      <c r="G17" s="583">
        <f t="shared" si="2"/>
        <v>0</v>
      </c>
      <c r="H17" s="583">
        <f t="shared" si="3"/>
        <v>0</v>
      </c>
      <c r="I17" s="583">
        <f t="shared" si="4"/>
        <v>0</v>
      </c>
      <c r="J17" s="583">
        <f t="shared" si="5"/>
        <v>0</v>
      </c>
      <c r="K17" s="583">
        <f t="shared" si="6"/>
        <v>0</v>
      </c>
      <c r="S17" s="141"/>
      <c r="V17" s="1"/>
      <c r="W17" s="1"/>
      <c r="X17" s="1"/>
      <c r="Y17" s="1"/>
      <c r="Z17" s="1"/>
    </row>
    <row r="18" spans="1:26" s="2" customFormat="1" ht="18">
      <c r="A18" s="585" t="s">
        <v>60</v>
      </c>
      <c r="B18" s="584">
        <v>2</v>
      </c>
      <c r="C18" s="583">
        <f t="shared" si="0"/>
        <v>60</v>
      </c>
      <c r="D18" s="584">
        <v>2</v>
      </c>
      <c r="E18" s="583">
        <f t="shared" si="1"/>
        <v>60</v>
      </c>
      <c r="F18" s="584">
        <v>2</v>
      </c>
      <c r="G18" s="583">
        <f t="shared" si="2"/>
        <v>60</v>
      </c>
      <c r="H18" s="583">
        <f t="shared" si="3"/>
        <v>2</v>
      </c>
      <c r="I18" s="583">
        <f t="shared" si="4"/>
        <v>60</v>
      </c>
      <c r="J18" s="583">
        <f t="shared" si="5"/>
        <v>2</v>
      </c>
      <c r="K18" s="583">
        <f t="shared" si="6"/>
        <v>60</v>
      </c>
      <c r="V18" s="3"/>
      <c r="W18" s="404"/>
      <c r="X18" s="3"/>
      <c r="Y18" s="3"/>
      <c r="Z18" s="3"/>
    </row>
    <row r="19" spans="1:26" s="2" customFormat="1" ht="18">
      <c r="A19" s="585" t="s">
        <v>61</v>
      </c>
      <c r="B19" s="584">
        <v>2</v>
      </c>
      <c r="C19" s="583">
        <f t="shared" si="0"/>
        <v>60</v>
      </c>
      <c r="D19" s="584">
        <v>2</v>
      </c>
      <c r="E19" s="583">
        <f t="shared" si="1"/>
        <v>60</v>
      </c>
      <c r="F19" s="584">
        <v>2</v>
      </c>
      <c r="G19" s="583">
        <f t="shared" si="2"/>
        <v>60</v>
      </c>
      <c r="H19" s="583">
        <f t="shared" si="3"/>
        <v>2</v>
      </c>
      <c r="I19" s="583">
        <f t="shared" si="4"/>
        <v>60</v>
      </c>
      <c r="J19" s="583">
        <f t="shared" si="5"/>
        <v>2</v>
      </c>
      <c r="K19" s="583">
        <f t="shared" si="6"/>
        <v>60</v>
      </c>
      <c r="V19" s="3"/>
      <c r="W19" s="3"/>
      <c r="X19" s="3"/>
      <c r="Y19" s="3"/>
      <c r="Z19" s="3"/>
    </row>
    <row r="20" spans="1:26" s="2" customFormat="1" ht="18">
      <c r="A20" s="585" t="s">
        <v>62</v>
      </c>
      <c r="B20" s="584">
        <v>2</v>
      </c>
      <c r="C20" s="583">
        <f t="shared" si="0"/>
        <v>60</v>
      </c>
      <c r="D20" s="584">
        <v>2</v>
      </c>
      <c r="E20" s="583">
        <f t="shared" si="1"/>
        <v>60</v>
      </c>
      <c r="F20" s="584">
        <v>2</v>
      </c>
      <c r="G20" s="583">
        <f t="shared" si="2"/>
        <v>60</v>
      </c>
      <c r="H20" s="583">
        <f t="shared" si="3"/>
        <v>2</v>
      </c>
      <c r="I20" s="583">
        <f t="shared" si="4"/>
        <v>60</v>
      </c>
      <c r="J20" s="583">
        <f t="shared" si="5"/>
        <v>2</v>
      </c>
      <c r="K20" s="583">
        <f t="shared" si="6"/>
        <v>60</v>
      </c>
      <c r="V20" s="3"/>
      <c r="W20" s="3"/>
      <c r="X20" s="3"/>
      <c r="Y20" s="3"/>
      <c r="Z20" s="3"/>
    </row>
    <row r="21" spans="1:26" s="2" customFormat="1" ht="18">
      <c r="A21" s="585" t="s">
        <v>63</v>
      </c>
      <c r="B21" s="584">
        <v>2</v>
      </c>
      <c r="C21" s="583">
        <f t="shared" si="0"/>
        <v>60</v>
      </c>
      <c r="D21" s="584">
        <v>2</v>
      </c>
      <c r="E21" s="583">
        <f t="shared" si="1"/>
        <v>60</v>
      </c>
      <c r="F21" s="584">
        <v>2</v>
      </c>
      <c r="G21" s="583">
        <f t="shared" si="2"/>
        <v>60</v>
      </c>
      <c r="H21" s="583">
        <f t="shared" si="3"/>
        <v>2</v>
      </c>
      <c r="I21" s="583">
        <f t="shared" si="4"/>
        <v>60</v>
      </c>
      <c r="J21" s="583">
        <f t="shared" si="5"/>
        <v>2</v>
      </c>
      <c r="K21" s="583">
        <f t="shared" si="6"/>
        <v>60</v>
      </c>
      <c r="V21" s="3"/>
      <c r="W21" s="3"/>
      <c r="X21" s="3"/>
      <c r="Y21" s="3"/>
      <c r="Z21" s="3"/>
    </row>
    <row r="22" spans="1:26" s="2" customFormat="1" ht="18">
      <c r="A22" s="585" t="s">
        <v>64</v>
      </c>
      <c r="B22" s="584">
        <v>2</v>
      </c>
      <c r="C22" s="583">
        <f t="shared" si="0"/>
        <v>60</v>
      </c>
      <c r="D22" s="584">
        <v>2</v>
      </c>
      <c r="E22" s="583">
        <f t="shared" si="1"/>
        <v>60</v>
      </c>
      <c r="F22" s="584">
        <v>2</v>
      </c>
      <c r="G22" s="583">
        <f t="shared" si="2"/>
        <v>60</v>
      </c>
      <c r="H22" s="583">
        <f t="shared" si="3"/>
        <v>2</v>
      </c>
      <c r="I22" s="583">
        <f t="shared" si="4"/>
        <v>60</v>
      </c>
      <c r="J22" s="583">
        <f t="shared" si="5"/>
        <v>2</v>
      </c>
      <c r="K22" s="583">
        <f t="shared" si="6"/>
        <v>60</v>
      </c>
    </row>
    <row r="23" spans="1:26" s="2" customFormat="1" ht="18">
      <c r="A23" s="585" t="s">
        <v>65</v>
      </c>
      <c r="B23" s="584">
        <v>2</v>
      </c>
      <c r="C23" s="583">
        <f t="shared" si="0"/>
        <v>60</v>
      </c>
      <c r="D23" s="584">
        <v>2</v>
      </c>
      <c r="E23" s="583">
        <f t="shared" si="1"/>
        <v>60</v>
      </c>
      <c r="F23" s="584">
        <v>2</v>
      </c>
      <c r="G23" s="583">
        <f t="shared" si="2"/>
        <v>60</v>
      </c>
      <c r="H23" s="583">
        <f t="shared" si="3"/>
        <v>2</v>
      </c>
      <c r="I23" s="583">
        <f t="shared" si="4"/>
        <v>60</v>
      </c>
      <c r="J23" s="583">
        <f t="shared" si="5"/>
        <v>2</v>
      </c>
      <c r="K23" s="583">
        <f t="shared" si="6"/>
        <v>60</v>
      </c>
    </row>
    <row r="24" spans="1:26" s="2" customFormat="1" ht="18">
      <c r="A24" s="585" t="s">
        <v>66</v>
      </c>
      <c r="B24" s="584">
        <v>2</v>
      </c>
      <c r="C24" s="583">
        <f t="shared" si="0"/>
        <v>60</v>
      </c>
      <c r="D24" s="584">
        <v>2</v>
      </c>
      <c r="E24" s="583">
        <f t="shared" si="1"/>
        <v>60</v>
      </c>
      <c r="F24" s="584">
        <v>2</v>
      </c>
      <c r="G24" s="583">
        <f t="shared" si="2"/>
        <v>60</v>
      </c>
      <c r="H24" s="583">
        <f t="shared" si="3"/>
        <v>2</v>
      </c>
      <c r="I24" s="583">
        <f t="shared" si="4"/>
        <v>60</v>
      </c>
      <c r="J24" s="583">
        <f t="shared" si="5"/>
        <v>2</v>
      </c>
      <c r="K24" s="583">
        <f t="shared" si="6"/>
        <v>60</v>
      </c>
    </row>
    <row r="25" spans="1:26" s="2" customFormat="1" ht="18">
      <c r="A25" s="585" t="s">
        <v>67</v>
      </c>
      <c r="B25" s="584">
        <v>2</v>
      </c>
      <c r="C25" s="583">
        <f t="shared" si="0"/>
        <v>60</v>
      </c>
      <c r="D25" s="584">
        <v>2</v>
      </c>
      <c r="E25" s="583">
        <f t="shared" si="1"/>
        <v>60</v>
      </c>
      <c r="F25" s="584">
        <v>2</v>
      </c>
      <c r="G25" s="583">
        <f t="shared" si="2"/>
        <v>60</v>
      </c>
      <c r="H25" s="583">
        <f t="shared" si="3"/>
        <v>2</v>
      </c>
      <c r="I25" s="583">
        <f t="shared" si="4"/>
        <v>60</v>
      </c>
      <c r="J25" s="583">
        <f t="shared" si="5"/>
        <v>2</v>
      </c>
      <c r="K25" s="583">
        <f t="shared" si="6"/>
        <v>60</v>
      </c>
    </row>
    <row r="26" spans="1:26" s="2" customFormat="1" ht="18">
      <c r="A26" s="585" t="s">
        <v>68</v>
      </c>
      <c r="B26" s="584">
        <v>2</v>
      </c>
      <c r="C26" s="583">
        <f t="shared" si="0"/>
        <v>60</v>
      </c>
      <c r="D26" s="584">
        <v>2</v>
      </c>
      <c r="E26" s="583">
        <f t="shared" si="1"/>
        <v>60</v>
      </c>
      <c r="F26" s="584">
        <v>2</v>
      </c>
      <c r="G26" s="583">
        <f t="shared" si="2"/>
        <v>60</v>
      </c>
      <c r="H26" s="583">
        <f t="shared" si="3"/>
        <v>2</v>
      </c>
      <c r="I26" s="583">
        <f t="shared" si="4"/>
        <v>60</v>
      </c>
      <c r="J26" s="583">
        <f t="shared" si="5"/>
        <v>2</v>
      </c>
      <c r="K26" s="583">
        <f t="shared" si="6"/>
        <v>60</v>
      </c>
    </row>
    <row r="27" spans="1:26" s="2" customFormat="1" ht="18">
      <c r="A27" s="585" t="s">
        <v>69</v>
      </c>
      <c r="B27" s="584">
        <v>2</v>
      </c>
      <c r="C27" s="583">
        <f t="shared" si="0"/>
        <v>60</v>
      </c>
      <c r="D27" s="584">
        <v>2</v>
      </c>
      <c r="E27" s="583">
        <f t="shared" si="1"/>
        <v>60</v>
      </c>
      <c r="F27" s="584">
        <v>2</v>
      </c>
      <c r="G27" s="583">
        <f t="shared" si="2"/>
        <v>60</v>
      </c>
      <c r="H27" s="583">
        <f t="shared" si="3"/>
        <v>2</v>
      </c>
      <c r="I27" s="583">
        <f t="shared" si="4"/>
        <v>60</v>
      </c>
      <c r="J27" s="583">
        <f t="shared" si="5"/>
        <v>2</v>
      </c>
      <c r="K27" s="583">
        <f t="shared" si="6"/>
        <v>60</v>
      </c>
    </row>
    <row r="28" spans="1:26" s="2" customFormat="1" ht="18">
      <c r="A28" s="585" t="s">
        <v>70</v>
      </c>
      <c r="B28" s="584">
        <v>2</v>
      </c>
      <c r="C28" s="583">
        <f t="shared" si="0"/>
        <v>60</v>
      </c>
      <c r="D28" s="584">
        <v>2</v>
      </c>
      <c r="E28" s="583">
        <f t="shared" si="1"/>
        <v>60</v>
      </c>
      <c r="F28" s="584">
        <v>2</v>
      </c>
      <c r="G28" s="583">
        <f t="shared" si="2"/>
        <v>60</v>
      </c>
      <c r="H28" s="583">
        <f t="shared" si="3"/>
        <v>2</v>
      </c>
      <c r="I28" s="583">
        <f t="shared" si="4"/>
        <v>60</v>
      </c>
      <c r="J28" s="583">
        <f t="shared" si="5"/>
        <v>2</v>
      </c>
      <c r="K28" s="583">
        <f t="shared" si="6"/>
        <v>60</v>
      </c>
    </row>
    <row r="29" spans="1:26" s="2" customFormat="1" ht="18">
      <c r="A29" s="585" t="s">
        <v>71</v>
      </c>
      <c r="B29" s="584">
        <v>2</v>
      </c>
      <c r="C29" s="583">
        <f t="shared" si="0"/>
        <v>60</v>
      </c>
      <c r="D29" s="584">
        <v>2</v>
      </c>
      <c r="E29" s="583">
        <f t="shared" si="1"/>
        <v>60</v>
      </c>
      <c r="F29" s="584">
        <v>2</v>
      </c>
      <c r="G29" s="583">
        <f t="shared" si="2"/>
        <v>60</v>
      </c>
      <c r="H29" s="583">
        <f t="shared" si="3"/>
        <v>2</v>
      </c>
      <c r="I29" s="583">
        <f t="shared" si="4"/>
        <v>60</v>
      </c>
      <c r="J29" s="583">
        <f t="shared" si="5"/>
        <v>2</v>
      </c>
      <c r="K29" s="583">
        <f t="shared" si="6"/>
        <v>60</v>
      </c>
    </row>
    <row r="30" spans="1:26" s="2" customFormat="1" ht="18">
      <c r="A30" s="585" t="s">
        <v>72</v>
      </c>
      <c r="B30" s="584">
        <v>2</v>
      </c>
      <c r="C30" s="583">
        <f t="shared" si="0"/>
        <v>60</v>
      </c>
      <c r="D30" s="584">
        <v>2</v>
      </c>
      <c r="E30" s="583">
        <f t="shared" si="1"/>
        <v>60</v>
      </c>
      <c r="F30" s="584">
        <v>2</v>
      </c>
      <c r="G30" s="583">
        <f t="shared" si="2"/>
        <v>60</v>
      </c>
      <c r="H30" s="583">
        <f t="shared" si="3"/>
        <v>2</v>
      </c>
      <c r="I30" s="583">
        <f t="shared" si="4"/>
        <v>60</v>
      </c>
      <c r="J30" s="583">
        <f t="shared" si="5"/>
        <v>2</v>
      </c>
      <c r="K30" s="583">
        <f t="shared" si="6"/>
        <v>60</v>
      </c>
    </row>
    <row r="31" spans="1:26" s="2" customFormat="1" ht="18">
      <c r="A31" s="585" t="s">
        <v>73</v>
      </c>
      <c r="B31" s="584">
        <v>2</v>
      </c>
      <c r="C31" s="583">
        <f t="shared" si="0"/>
        <v>60</v>
      </c>
      <c r="D31" s="584">
        <v>2</v>
      </c>
      <c r="E31" s="583">
        <f t="shared" si="1"/>
        <v>60</v>
      </c>
      <c r="F31" s="584">
        <v>2</v>
      </c>
      <c r="G31" s="583">
        <f t="shared" si="2"/>
        <v>60</v>
      </c>
      <c r="H31" s="583">
        <f t="shared" si="3"/>
        <v>2</v>
      </c>
      <c r="I31" s="583">
        <f t="shared" si="4"/>
        <v>60</v>
      </c>
      <c r="J31" s="583">
        <f t="shared" si="5"/>
        <v>2</v>
      </c>
      <c r="K31" s="583">
        <f t="shared" si="6"/>
        <v>60</v>
      </c>
    </row>
    <row r="32" spans="1:26" s="2" customFormat="1" ht="18">
      <c r="A32" s="585" t="s">
        <v>74</v>
      </c>
      <c r="B32" s="584">
        <v>2</v>
      </c>
      <c r="C32" s="583">
        <f t="shared" si="0"/>
        <v>60</v>
      </c>
      <c r="D32" s="584">
        <v>2</v>
      </c>
      <c r="E32" s="583">
        <f t="shared" si="1"/>
        <v>60</v>
      </c>
      <c r="F32" s="584">
        <v>2</v>
      </c>
      <c r="G32" s="583">
        <f t="shared" si="2"/>
        <v>60</v>
      </c>
      <c r="H32" s="583">
        <f t="shared" si="3"/>
        <v>2</v>
      </c>
      <c r="I32" s="583">
        <f t="shared" si="4"/>
        <v>60</v>
      </c>
      <c r="J32" s="583">
        <f t="shared" si="5"/>
        <v>2</v>
      </c>
      <c r="K32" s="583">
        <f t="shared" si="6"/>
        <v>60</v>
      </c>
    </row>
    <row r="33" spans="1:19" s="2" customFormat="1" ht="18">
      <c r="A33" s="585" t="s">
        <v>75</v>
      </c>
      <c r="B33" s="584">
        <v>2</v>
      </c>
      <c r="C33" s="583">
        <f t="shared" si="0"/>
        <v>60</v>
      </c>
      <c r="D33" s="584">
        <v>2</v>
      </c>
      <c r="E33" s="583">
        <f t="shared" si="1"/>
        <v>60</v>
      </c>
      <c r="F33" s="584">
        <v>2</v>
      </c>
      <c r="G33" s="583">
        <f t="shared" si="2"/>
        <v>60</v>
      </c>
      <c r="H33" s="583">
        <f t="shared" si="3"/>
        <v>2</v>
      </c>
      <c r="I33" s="583">
        <f t="shared" si="4"/>
        <v>60</v>
      </c>
      <c r="J33" s="583">
        <f t="shared" si="5"/>
        <v>2</v>
      </c>
      <c r="K33" s="583">
        <f t="shared" si="6"/>
        <v>60</v>
      </c>
    </row>
    <row r="34" spans="1:19" s="2" customFormat="1" ht="18">
      <c r="A34" s="585" t="s">
        <v>76</v>
      </c>
      <c r="B34" s="584">
        <v>2</v>
      </c>
      <c r="C34" s="583">
        <f t="shared" si="0"/>
        <v>60</v>
      </c>
      <c r="D34" s="584">
        <v>2</v>
      </c>
      <c r="E34" s="583">
        <f t="shared" si="1"/>
        <v>60</v>
      </c>
      <c r="F34" s="584">
        <v>2</v>
      </c>
      <c r="G34" s="583">
        <f t="shared" si="2"/>
        <v>60</v>
      </c>
      <c r="H34" s="583">
        <f t="shared" si="3"/>
        <v>2</v>
      </c>
      <c r="I34" s="583">
        <f t="shared" si="4"/>
        <v>60</v>
      </c>
      <c r="J34" s="583">
        <f t="shared" si="5"/>
        <v>2</v>
      </c>
      <c r="K34" s="583">
        <f t="shared" si="6"/>
        <v>60</v>
      </c>
    </row>
    <row r="35" spans="1:19" s="2" customFormat="1" ht="18">
      <c r="A35" s="585" t="s">
        <v>77</v>
      </c>
      <c r="B35" s="584">
        <v>2</v>
      </c>
      <c r="C35" s="583">
        <f t="shared" si="0"/>
        <v>60</v>
      </c>
      <c r="D35" s="584">
        <v>2</v>
      </c>
      <c r="E35" s="583">
        <f t="shared" si="1"/>
        <v>60</v>
      </c>
      <c r="F35" s="584">
        <v>2</v>
      </c>
      <c r="G35" s="583">
        <f t="shared" si="2"/>
        <v>60</v>
      </c>
      <c r="H35" s="583">
        <f t="shared" si="3"/>
        <v>2</v>
      </c>
      <c r="I35" s="583">
        <f t="shared" si="4"/>
        <v>60</v>
      </c>
      <c r="J35" s="583">
        <f t="shared" si="5"/>
        <v>2</v>
      </c>
      <c r="K35" s="583">
        <f t="shared" si="6"/>
        <v>60</v>
      </c>
      <c r="R35" s="140"/>
    </row>
    <row r="36" spans="1:19" s="2" customFormat="1" ht="18">
      <c r="A36" s="582" t="s">
        <v>78</v>
      </c>
      <c r="B36" s="584">
        <v>2</v>
      </c>
      <c r="C36" s="580">
        <f t="shared" si="0"/>
        <v>60</v>
      </c>
      <c r="D36" s="581">
        <v>2</v>
      </c>
      <c r="E36" s="580">
        <f t="shared" si="1"/>
        <v>60</v>
      </c>
      <c r="F36" s="581">
        <v>2</v>
      </c>
      <c r="G36" s="580">
        <f>F36*$C$7</f>
        <v>60</v>
      </c>
      <c r="H36" s="580">
        <f t="shared" si="3"/>
        <v>2</v>
      </c>
      <c r="I36" s="580">
        <f t="shared" si="4"/>
        <v>60</v>
      </c>
      <c r="J36" s="580">
        <f t="shared" si="5"/>
        <v>2</v>
      </c>
      <c r="K36" s="580">
        <f t="shared" si="6"/>
        <v>60</v>
      </c>
    </row>
    <row r="37" spans="1:19" s="3" customFormat="1" ht="27.75" customHeight="1">
      <c r="A37" s="737" t="s">
        <v>79</v>
      </c>
      <c r="B37" s="738">
        <f>SUM(B19:B30)/12</f>
        <v>2</v>
      </c>
      <c r="C37" s="739">
        <f t="shared" si="0"/>
        <v>60</v>
      </c>
      <c r="D37" s="739">
        <f>SUM(D19:D30)/12</f>
        <v>2</v>
      </c>
      <c r="E37" s="739">
        <f t="shared" si="1"/>
        <v>60</v>
      </c>
      <c r="F37" s="739">
        <f>SUM(F19:F30)/12</f>
        <v>2</v>
      </c>
      <c r="G37" s="739">
        <f t="shared" ref="G37:G78" si="7">IF(AND($C$7&gt;=$P$5,$C$7&lt;=$R$5),F37*$C$7*$T$5/100,IF(AND($C$7&gt;=$P$4,$C$7&lt;=$R$4),F37*$C$7*$T$4/100,IF(AND($C$7&gt;=$P$3,$C$7&lt;=$R$3),F37*$C$7*$T$3/100,IF($C$7&gt;=$P$6,F37*$C$7*$T$6/100))))</f>
        <v>60</v>
      </c>
      <c r="H37" s="739">
        <f>SUM(H19:H30)/12</f>
        <v>2</v>
      </c>
      <c r="I37" s="739">
        <f t="shared" ref="I37:I78" si="8">((5*C37)+E37)/6</f>
        <v>60</v>
      </c>
      <c r="J37" s="740">
        <f>SUM(J19:J30)/12</f>
        <v>2</v>
      </c>
      <c r="K37" s="739">
        <f t="shared" ref="K37:K78" si="9">((5*C37)+E37+G37)/7</f>
        <v>60</v>
      </c>
    </row>
    <row r="38" spans="1:19" s="3" customFormat="1" ht="21.75" customHeight="1">
      <c r="A38" s="733" t="s">
        <v>80</v>
      </c>
      <c r="B38" s="575">
        <f>SUM(B18:B22)/5</f>
        <v>2</v>
      </c>
      <c r="C38" s="574">
        <f t="shared" si="0"/>
        <v>60</v>
      </c>
      <c r="D38" s="574">
        <f>SUM(D18:D22)/5</f>
        <v>2</v>
      </c>
      <c r="E38" s="574">
        <f t="shared" si="1"/>
        <v>60</v>
      </c>
      <c r="F38" s="574">
        <f>SUM(F18:F22)/5</f>
        <v>2</v>
      </c>
      <c r="G38" s="574">
        <f t="shared" si="7"/>
        <v>60</v>
      </c>
      <c r="H38" s="574">
        <f>SUM(H18:H22)/5</f>
        <v>2</v>
      </c>
      <c r="I38" s="574">
        <f t="shared" si="8"/>
        <v>60</v>
      </c>
      <c r="J38" s="574">
        <f>SUM(J18:J22)/5</f>
        <v>2</v>
      </c>
      <c r="K38" s="574">
        <f t="shared" si="9"/>
        <v>60</v>
      </c>
    </row>
    <row r="39" spans="1:19" s="3" customFormat="1" ht="21.75" customHeight="1">
      <c r="A39" s="733" t="s">
        <v>167</v>
      </c>
      <c r="B39" s="570">
        <f>SUM(B18:B34)/17</f>
        <v>2</v>
      </c>
      <c r="C39" s="569">
        <f t="shared" ref="C39" si="10">IF(AND($C$7&gt;=$P$5,$C$7&lt;=$R$5),B39*$C$7*$T$5/100,IF(AND($C$7&gt;=$P$4,$C$7&lt;=$R$4),B39*$C$7*$T$4/100,IF(AND($C$7&gt;=$P$3,$C$7&lt;=$R$3),B39*$C$7*$T$3/100,IF($C$7&gt;=$P$6,B39*$C$7*$T$6/100))))</f>
        <v>60</v>
      </c>
      <c r="D39" s="572">
        <f>SUM(D18:D34)/17</f>
        <v>2</v>
      </c>
      <c r="E39" s="569">
        <f t="shared" ref="E39" si="11">IF(AND($C$7&gt;=$P$5,$C$7&lt;=$R$5),D39*$C$7*$T$5/100,IF(AND($C$7&gt;=$P$4,$C$7&lt;=$R$4),D39*$C$7*$T$4/100,IF(AND($C$7&gt;=$P$3,$C$7&lt;=$R$3),D39*$C$7*$T$3/100,IF($C$7&gt;=$P$6,D39*$C$7*$T$6/100))))</f>
        <v>60</v>
      </c>
      <c r="F39" s="572">
        <f>SUM(F18:F34)/17</f>
        <v>2</v>
      </c>
      <c r="G39" s="569">
        <f t="shared" ref="G39" si="12">IF(AND($C$7&gt;=$P$5,$C$7&lt;=$R$5),F39*$C$7*$T$5/100,IF(AND($C$7&gt;=$P$4,$C$7&lt;=$R$4),F39*$C$7*$T$4/100,IF(AND($C$7&gt;=$P$3,$C$7&lt;=$R$3),F39*$C$7*$T$3/100,IF($C$7&gt;=$P$6,F39*$C$7*$T$6/100))))</f>
        <v>60</v>
      </c>
      <c r="H39" s="572">
        <f>SUM(H18:H34)/17</f>
        <v>2</v>
      </c>
      <c r="I39" s="569">
        <f t="shared" ref="I39" si="13">((5*C39)+E39)/6</f>
        <v>60</v>
      </c>
      <c r="J39" s="572">
        <f>SUM(J18:J34)/17</f>
        <v>2</v>
      </c>
      <c r="K39" s="569">
        <f t="shared" ref="K39" si="14">((5*C39)+E39+G39)/7</f>
        <v>60</v>
      </c>
    </row>
    <row r="40" spans="1:19" s="3" customFormat="1" ht="21.75" customHeight="1">
      <c r="A40" s="733" t="s">
        <v>102</v>
      </c>
      <c r="B40" s="570">
        <f>SUM(B18:B36)/19</f>
        <v>2</v>
      </c>
      <c r="C40" s="569">
        <f t="shared" si="0"/>
        <v>60</v>
      </c>
      <c r="D40" s="572">
        <f>SUM(D18:D36)/19</f>
        <v>2</v>
      </c>
      <c r="E40" s="569">
        <f t="shared" si="1"/>
        <v>60</v>
      </c>
      <c r="F40" s="572">
        <f>SUM(F18:F36)/19</f>
        <v>2</v>
      </c>
      <c r="G40" s="569">
        <f t="shared" si="7"/>
        <v>60</v>
      </c>
      <c r="H40" s="572">
        <f>SUM(H18:H36)/19</f>
        <v>2</v>
      </c>
      <c r="I40" s="569">
        <f t="shared" si="8"/>
        <v>60</v>
      </c>
      <c r="J40" s="572">
        <f>SUM(J18:J36)/19</f>
        <v>2</v>
      </c>
      <c r="K40" s="569">
        <f t="shared" si="9"/>
        <v>60</v>
      </c>
      <c r="S40" s="128"/>
    </row>
    <row r="41" spans="1:19" s="3" customFormat="1" ht="21.75" customHeight="1">
      <c r="A41" s="733" t="s">
        <v>81</v>
      </c>
      <c r="B41" s="570">
        <f>SUM(B19:B21)/3</f>
        <v>2</v>
      </c>
      <c r="C41" s="569">
        <f t="shared" si="0"/>
        <v>60</v>
      </c>
      <c r="D41" s="569">
        <f>SUM(D19:D21)/3</f>
        <v>2</v>
      </c>
      <c r="E41" s="569">
        <f t="shared" si="1"/>
        <v>60</v>
      </c>
      <c r="F41" s="569">
        <f>SUM(F19:F21)/3</f>
        <v>2</v>
      </c>
      <c r="G41" s="569">
        <f t="shared" si="7"/>
        <v>60</v>
      </c>
      <c r="H41" s="569">
        <f>SUM(H19:H21)/3</f>
        <v>2</v>
      </c>
      <c r="I41" s="569">
        <f t="shared" si="8"/>
        <v>60</v>
      </c>
      <c r="J41" s="569">
        <f>SUM(J19:J21)/3</f>
        <v>2</v>
      </c>
      <c r="K41" s="569">
        <f t="shared" si="9"/>
        <v>60</v>
      </c>
    </row>
    <row r="42" spans="1:19" s="3" customFormat="1" ht="21.75" customHeight="1">
      <c r="A42" s="733" t="s">
        <v>82</v>
      </c>
      <c r="B42" s="570">
        <f>SUM(B19:B22)/4</f>
        <v>2</v>
      </c>
      <c r="C42" s="569">
        <f t="shared" si="0"/>
        <v>60</v>
      </c>
      <c r="D42" s="569">
        <f>SUM(D19:D22)/4</f>
        <v>2</v>
      </c>
      <c r="E42" s="569">
        <f t="shared" si="1"/>
        <v>60</v>
      </c>
      <c r="F42" s="569">
        <f>SUM(F19:F22)/4</f>
        <v>2</v>
      </c>
      <c r="G42" s="569">
        <f t="shared" si="7"/>
        <v>60</v>
      </c>
      <c r="H42" s="569">
        <f>SUM(H19:H22)/4</f>
        <v>2</v>
      </c>
      <c r="I42" s="569">
        <f t="shared" si="8"/>
        <v>60</v>
      </c>
      <c r="J42" s="569">
        <f>SUM(J19:J22)/4</f>
        <v>2</v>
      </c>
      <c r="K42" s="569">
        <f t="shared" si="9"/>
        <v>60</v>
      </c>
    </row>
    <row r="43" spans="1:19" s="3" customFormat="1" ht="21.75" customHeight="1">
      <c r="A43" s="733" t="s">
        <v>154</v>
      </c>
      <c r="B43" s="570">
        <f>SUM(B19:B26)/8</f>
        <v>2</v>
      </c>
      <c r="C43" s="569">
        <f t="shared" si="0"/>
        <v>60</v>
      </c>
      <c r="D43" s="569">
        <f>SUM(D19:D26)/8</f>
        <v>2</v>
      </c>
      <c r="E43" s="569">
        <f t="shared" si="1"/>
        <v>60</v>
      </c>
      <c r="F43" s="569">
        <f>SUM(F19:F26)/8</f>
        <v>2</v>
      </c>
      <c r="G43" s="569">
        <f t="shared" si="7"/>
        <v>60</v>
      </c>
      <c r="H43" s="569">
        <f>SUM(H19:H26)/8</f>
        <v>2</v>
      </c>
      <c r="I43" s="569">
        <f t="shared" ref="I43" si="15">((5*C43)+E43)/6</f>
        <v>60</v>
      </c>
      <c r="J43" s="569">
        <f>SUM(J19:J26)/8</f>
        <v>2</v>
      </c>
      <c r="K43" s="569">
        <f t="shared" ref="K43" si="16">((5*C43)+E43+G43)/7</f>
        <v>60</v>
      </c>
    </row>
    <row r="44" spans="1:19" s="3" customFormat="1" ht="21.75" customHeight="1">
      <c r="A44" s="733" t="s">
        <v>83</v>
      </c>
      <c r="B44" s="570">
        <f>SUM(B19:B31)/13</f>
        <v>2</v>
      </c>
      <c r="C44" s="569">
        <f t="shared" si="0"/>
        <v>60</v>
      </c>
      <c r="D44" s="569">
        <f>SUM(D19:D31)/13</f>
        <v>2</v>
      </c>
      <c r="E44" s="569">
        <f t="shared" si="1"/>
        <v>60</v>
      </c>
      <c r="F44" s="569">
        <f>SUM(F19:F31)/13</f>
        <v>2</v>
      </c>
      <c r="G44" s="569">
        <f t="shared" si="7"/>
        <v>60</v>
      </c>
      <c r="H44" s="569">
        <f>SUM(H19:H31)/13</f>
        <v>2</v>
      </c>
      <c r="I44" s="569">
        <f t="shared" si="8"/>
        <v>60</v>
      </c>
      <c r="J44" s="569">
        <f>SUM(J19:J31)/13</f>
        <v>2</v>
      </c>
      <c r="K44" s="569">
        <f t="shared" si="9"/>
        <v>60</v>
      </c>
    </row>
    <row r="45" spans="1:19" s="3" customFormat="1" ht="21.75" customHeight="1">
      <c r="A45" s="733" t="s">
        <v>84</v>
      </c>
      <c r="B45" s="570">
        <f>SUM(B19:B32)/14</f>
        <v>2</v>
      </c>
      <c r="C45" s="569">
        <f t="shared" si="0"/>
        <v>60</v>
      </c>
      <c r="D45" s="569">
        <f>SUM(D19:D32)/14</f>
        <v>2</v>
      </c>
      <c r="E45" s="569">
        <f t="shared" si="1"/>
        <v>60</v>
      </c>
      <c r="F45" s="569">
        <f>SUM(F19:F32)/14</f>
        <v>2</v>
      </c>
      <c r="G45" s="569">
        <f t="shared" si="7"/>
        <v>60</v>
      </c>
      <c r="H45" s="569">
        <f>SUM(H19:H32)/14</f>
        <v>2</v>
      </c>
      <c r="I45" s="569">
        <f t="shared" si="8"/>
        <v>60</v>
      </c>
      <c r="J45" s="569">
        <f>SUM(J19:J32)/14</f>
        <v>2</v>
      </c>
      <c r="K45" s="569">
        <f t="shared" si="9"/>
        <v>60</v>
      </c>
    </row>
    <row r="46" spans="1:19" s="3" customFormat="1" ht="21.75" customHeight="1">
      <c r="A46" s="733" t="s">
        <v>85</v>
      </c>
      <c r="B46" s="573">
        <f>SUM(B19:B34)/16</f>
        <v>2</v>
      </c>
      <c r="C46" s="569">
        <f t="shared" ref="C46:C78" si="17">IF(AND($C$7&gt;=$P$5,$C$7&lt;=$R$5),B46*$C$7*$T$5/100,IF(AND($C$7&gt;=$P$4,$C$7&lt;=$R$4),B46*$C$7*$T$4/100,IF(AND($C$7&gt;=$P$3,$C$7&lt;=$R$3),B46*$C$7*$T$3/100,IF($C$7&gt;=$P$6,B46*$C$7*$T$6/100))))</f>
        <v>60</v>
      </c>
      <c r="D46" s="569">
        <f>SUM(D19:D34)/16</f>
        <v>2</v>
      </c>
      <c r="E46" s="569">
        <f t="shared" ref="E46:E78" si="18">IF(AND($C$7&gt;=$P$5,$C$7&lt;=$R$5),D46*$C$7*$T$5/100,IF(AND($C$7&gt;=$P$4,$C$7&lt;=$R$4),D46*$C$7*$T$4/100,IF(AND($C$7&gt;=$P$3,$C$7&lt;=$R$3),D46*$C$7*$T$3/100,IF($C$7&gt;=$P$6,D46*$C$7*$T$6/100))))</f>
        <v>60</v>
      </c>
      <c r="F46" s="569">
        <f>SUM(F19:F34)/16</f>
        <v>2</v>
      </c>
      <c r="G46" s="569">
        <f t="shared" si="7"/>
        <v>60</v>
      </c>
      <c r="H46" s="569">
        <f>SUM(H19:H34)/16</f>
        <v>2</v>
      </c>
      <c r="I46" s="569">
        <f t="shared" si="8"/>
        <v>60</v>
      </c>
      <c r="J46" s="569">
        <f>SUM(J19:J34)/16</f>
        <v>2</v>
      </c>
      <c r="K46" s="569">
        <f t="shared" si="9"/>
        <v>60</v>
      </c>
    </row>
    <row r="47" spans="1:19" ht="21.75" customHeight="1">
      <c r="A47" s="733" t="s">
        <v>115</v>
      </c>
      <c r="B47" s="570">
        <f>SUM(B19:B36)/18</f>
        <v>2</v>
      </c>
      <c r="C47" s="569">
        <f t="shared" si="17"/>
        <v>60</v>
      </c>
      <c r="D47" s="569">
        <f>SUM(D19:D36)/18</f>
        <v>2</v>
      </c>
      <c r="E47" s="569">
        <f t="shared" si="18"/>
        <v>60</v>
      </c>
      <c r="F47" s="569">
        <f>SUM(F19:F36)/18</f>
        <v>2</v>
      </c>
      <c r="G47" s="569">
        <f t="shared" si="7"/>
        <v>60</v>
      </c>
      <c r="H47" s="569">
        <f>SUM(H19:H36)/18</f>
        <v>2</v>
      </c>
      <c r="I47" s="569">
        <f t="shared" si="8"/>
        <v>60</v>
      </c>
      <c r="J47" s="569">
        <f>SUM(J19:J36)/18</f>
        <v>2</v>
      </c>
      <c r="K47" s="569">
        <f t="shared" si="9"/>
        <v>60</v>
      </c>
    </row>
    <row r="48" spans="1:19" ht="21.75" customHeight="1">
      <c r="A48" s="733" t="s">
        <v>122</v>
      </c>
      <c r="B48" s="570">
        <f>SUM(B20:B36)/17</f>
        <v>2</v>
      </c>
      <c r="C48" s="569">
        <f t="shared" si="17"/>
        <v>60</v>
      </c>
      <c r="D48" s="569">
        <f>SUM(D20:D36)/17</f>
        <v>2</v>
      </c>
      <c r="E48" s="569">
        <f t="shared" si="18"/>
        <v>60</v>
      </c>
      <c r="F48" s="569">
        <f>SUM(F20:F36)/17</f>
        <v>2</v>
      </c>
      <c r="G48" s="569">
        <f t="shared" si="7"/>
        <v>60</v>
      </c>
      <c r="H48" s="569">
        <f>SUM(H20:H36)/17</f>
        <v>2</v>
      </c>
      <c r="I48" s="569">
        <f t="shared" si="8"/>
        <v>60</v>
      </c>
      <c r="J48" s="569">
        <f>SUM(J20:J36)/17</f>
        <v>2</v>
      </c>
      <c r="K48" s="569">
        <f t="shared" si="9"/>
        <v>60</v>
      </c>
    </row>
    <row r="49" spans="1:38" s="3" customFormat="1" ht="21.75" customHeight="1">
      <c r="A49" s="733" t="s">
        <v>86</v>
      </c>
      <c r="B49" s="570">
        <f>SUM(B21:B25)/5</f>
        <v>2</v>
      </c>
      <c r="C49" s="569">
        <f t="shared" si="17"/>
        <v>60</v>
      </c>
      <c r="D49" s="569">
        <f>SUM(D21:D25)/5</f>
        <v>2</v>
      </c>
      <c r="E49" s="569">
        <f t="shared" si="18"/>
        <v>60</v>
      </c>
      <c r="F49" s="569">
        <f>SUM(F21:F25)/5</f>
        <v>2</v>
      </c>
      <c r="G49" s="569">
        <f t="shared" si="7"/>
        <v>60</v>
      </c>
      <c r="H49" s="569">
        <f>SUM(H21:H25)/5</f>
        <v>2</v>
      </c>
      <c r="I49" s="569">
        <f t="shared" si="8"/>
        <v>60</v>
      </c>
      <c r="J49" s="569">
        <f>SUM(J21:J25)/5</f>
        <v>2</v>
      </c>
      <c r="K49" s="569">
        <f t="shared" si="9"/>
        <v>60</v>
      </c>
    </row>
    <row r="50" spans="1:38" s="3" customFormat="1" ht="21.75" customHeight="1">
      <c r="A50" s="733" t="s">
        <v>87</v>
      </c>
      <c r="B50" s="570">
        <f>SUM(B21:B30)/10</f>
        <v>2</v>
      </c>
      <c r="C50" s="569">
        <f t="shared" si="17"/>
        <v>60</v>
      </c>
      <c r="D50" s="569">
        <f>SUM(D21:D30)/10</f>
        <v>2</v>
      </c>
      <c r="E50" s="569">
        <f t="shared" si="18"/>
        <v>60</v>
      </c>
      <c r="F50" s="569">
        <f>SUM(F21:F30)/10</f>
        <v>2</v>
      </c>
      <c r="G50" s="569">
        <f t="shared" si="7"/>
        <v>60</v>
      </c>
      <c r="H50" s="569">
        <f>SUM(H21:H30)/10</f>
        <v>2</v>
      </c>
      <c r="I50" s="569">
        <f t="shared" si="8"/>
        <v>60</v>
      </c>
      <c r="J50" s="569">
        <f>SUM(J21:J30)/10</f>
        <v>2</v>
      </c>
      <c r="K50" s="569">
        <f t="shared" si="9"/>
        <v>60</v>
      </c>
    </row>
    <row r="51" spans="1:38" s="3" customFormat="1" ht="21.75" customHeight="1">
      <c r="A51" s="733" t="s">
        <v>100</v>
      </c>
      <c r="B51" s="570">
        <f>SUM(B21:B31)/11</f>
        <v>2</v>
      </c>
      <c r="C51" s="569">
        <f t="shared" si="17"/>
        <v>60</v>
      </c>
      <c r="D51" s="569">
        <f>SUM(D21:D31)/11</f>
        <v>2</v>
      </c>
      <c r="E51" s="569">
        <f t="shared" si="18"/>
        <v>60</v>
      </c>
      <c r="F51" s="569">
        <f>SUM(F21:F31)/11</f>
        <v>2</v>
      </c>
      <c r="G51" s="569">
        <f t="shared" si="7"/>
        <v>60</v>
      </c>
      <c r="H51" s="569">
        <f>SUM(H21:H31)/11</f>
        <v>2</v>
      </c>
      <c r="I51" s="569">
        <f t="shared" si="8"/>
        <v>60</v>
      </c>
      <c r="J51" s="569">
        <f>SUM(J21:J31)/11</f>
        <v>2</v>
      </c>
      <c r="K51" s="569">
        <f t="shared" si="9"/>
        <v>60</v>
      </c>
    </row>
    <row r="52" spans="1:38" s="3" customFormat="1" ht="21.75" customHeight="1">
      <c r="A52" s="733" t="s">
        <v>88</v>
      </c>
      <c r="B52" s="570">
        <f>SUM(B21:B32)/12</f>
        <v>2</v>
      </c>
      <c r="C52" s="569">
        <f t="shared" si="17"/>
        <v>60</v>
      </c>
      <c r="D52" s="569">
        <f>SUM(D21:D32)/12</f>
        <v>2</v>
      </c>
      <c r="E52" s="569">
        <f t="shared" si="18"/>
        <v>60</v>
      </c>
      <c r="F52" s="569">
        <f>SUM(F21:F32)/12</f>
        <v>2</v>
      </c>
      <c r="G52" s="569">
        <f t="shared" si="7"/>
        <v>60</v>
      </c>
      <c r="H52" s="569">
        <f>SUM(H21:H32)/12</f>
        <v>2</v>
      </c>
      <c r="I52" s="569">
        <f t="shared" si="8"/>
        <v>60</v>
      </c>
      <c r="J52" s="569">
        <f>SUM(J21:J32)/12</f>
        <v>2</v>
      </c>
      <c r="K52" s="569">
        <f t="shared" si="9"/>
        <v>60</v>
      </c>
    </row>
    <row r="53" spans="1:38" s="3" customFormat="1" ht="21.75" customHeight="1">
      <c r="A53" s="733" t="s">
        <v>89</v>
      </c>
      <c r="B53" s="570">
        <f>SUM(B21:B34)/14</f>
        <v>2</v>
      </c>
      <c r="C53" s="569">
        <f t="shared" si="17"/>
        <v>60</v>
      </c>
      <c r="D53" s="569">
        <f>SUM(D21:D34)/14</f>
        <v>2</v>
      </c>
      <c r="E53" s="569">
        <f t="shared" si="18"/>
        <v>60</v>
      </c>
      <c r="F53" s="569">
        <f>SUM(F21:F34)/14</f>
        <v>2</v>
      </c>
      <c r="G53" s="569">
        <f t="shared" si="7"/>
        <v>60</v>
      </c>
      <c r="H53" s="569">
        <f>SUM(H21:H34)/14</f>
        <v>2</v>
      </c>
      <c r="I53" s="569">
        <f t="shared" si="8"/>
        <v>60</v>
      </c>
      <c r="J53" s="569">
        <f>SUM(J21:J34)/14</f>
        <v>2</v>
      </c>
      <c r="K53" s="569">
        <f t="shared" si="9"/>
        <v>60</v>
      </c>
    </row>
    <row r="54" spans="1:38" s="3" customFormat="1" ht="21.75" customHeight="1">
      <c r="A54" s="733" t="s">
        <v>138</v>
      </c>
      <c r="B54" s="570">
        <f>SUM(B21:B36)/16</f>
        <v>2</v>
      </c>
      <c r="C54" s="570">
        <f t="shared" si="17"/>
        <v>60</v>
      </c>
      <c r="D54" s="569">
        <f>SUM(D21:D36)/16</f>
        <v>2</v>
      </c>
      <c r="E54" s="569">
        <f t="shared" si="18"/>
        <v>60</v>
      </c>
      <c r="F54" s="569">
        <f>SUM(F21:F36)/16</f>
        <v>2</v>
      </c>
      <c r="G54" s="569">
        <f t="shared" si="7"/>
        <v>60</v>
      </c>
      <c r="H54" s="569">
        <f>SUM(H21:H36)/16</f>
        <v>2</v>
      </c>
      <c r="I54" s="569">
        <f t="shared" si="8"/>
        <v>60</v>
      </c>
      <c r="J54" s="569">
        <f>SUM(J21:J36)/16</f>
        <v>2</v>
      </c>
      <c r="K54" s="569">
        <f t="shared" si="9"/>
        <v>60</v>
      </c>
      <c r="L54" s="165"/>
      <c r="O54" s="158"/>
      <c r="P54" s="158"/>
      <c r="Q54" s="167"/>
      <c r="R54" s="166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</row>
    <row r="55" spans="1:38" s="3" customFormat="1" ht="21.75" customHeight="1">
      <c r="A55" s="733" t="s">
        <v>124</v>
      </c>
      <c r="B55" s="570">
        <f>SUM(B22:B36)/15</f>
        <v>2</v>
      </c>
      <c r="C55" s="569">
        <f t="shared" si="17"/>
        <v>60</v>
      </c>
      <c r="D55" s="569">
        <f>SUM(D22:D36)/15</f>
        <v>2</v>
      </c>
      <c r="E55" s="569">
        <f t="shared" si="18"/>
        <v>60</v>
      </c>
      <c r="F55" s="569">
        <f>SUM(F22:F36)/15</f>
        <v>2</v>
      </c>
      <c r="G55" s="569">
        <f t="shared" si="7"/>
        <v>60</v>
      </c>
      <c r="H55" s="569">
        <f>SUM(H22:H36)/15</f>
        <v>2</v>
      </c>
      <c r="I55" s="569">
        <f t="shared" si="8"/>
        <v>60</v>
      </c>
      <c r="J55" s="569">
        <f>SUM(J22:J36)/15</f>
        <v>2</v>
      </c>
      <c r="K55" s="569">
        <f t="shared" si="9"/>
        <v>60</v>
      </c>
    </row>
    <row r="56" spans="1:38" s="3" customFormat="1" ht="21.75" customHeight="1">
      <c r="A56" s="733" t="s">
        <v>157</v>
      </c>
      <c r="B56" s="570">
        <f>SUM(B23:B27)/5</f>
        <v>2</v>
      </c>
      <c r="C56" s="569">
        <f t="shared" si="17"/>
        <v>60</v>
      </c>
      <c r="D56" s="569">
        <f>SUM(D23:D27)/5</f>
        <v>2</v>
      </c>
      <c r="E56" s="569">
        <f t="shared" si="18"/>
        <v>60</v>
      </c>
      <c r="F56" s="569">
        <f>SUM(F23:F27)/5</f>
        <v>2</v>
      </c>
      <c r="G56" s="569">
        <f t="shared" si="7"/>
        <v>60</v>
      </c>
      <c r="H56" s="569">
        <f>SUM(H23:H27)/5</f>
        <v>2</v>
      </c>
      <c r="I56" s="569">
        <f t="shared" ref="I56" si="19">((5*C56)+E56)/6</f>
        <v>60</v>
      </c>
      <c r="J56" s="569">
        <f>SUM(J23:J27)/5</f>
        <v>2</v>
      </c>
      <c r="K56" s="569">
        <f t="shared" ref="K56" si="20">((5*C56)+E56+G56)/7</f>
        <v>60</v>
      </c>
    </row>
    <row r="57" spans="1:38" s="3" customFormat="1" ht="21.75" customHeight="1">
      <c r="A57" s="733" t="s">
        <v>90</v>
      </c>
      <c r="B57" s="570">
        <f>SUM(B23:B28)/6</f>
        <v>2</v>
      </c>
      <c r="C57" s="569">
        <f t="shared" si="17"/>
        <v>60</v>
      </c>
      <c r="D57" s="569">
        <f>SUM(D23:D28)/6</f>
        <v>2</v>
      </c>
      <c r="E57" s="569">
        <f t="shared" si="18"/>
        <v>60</v>
      </c>
      <c r="F57" s="569">
        <f>SUM(F23:F28)/6</f>
        <v>2</v>
      </c>
      <c r="G57" s="569">
        <f t="shared" si="7"/>
        <v>60</v>
      </c>
      <c r="H57" s="569">
        <f>SUM(H23:H28)/6</f>
        <v>2</v>
      </c>
      <c r="I57" s="569">
        <f t="shared" si="8"/>
        <v>60</v>
      </c>
      <c r="J57" s="569">
        <f>SUM(J23:J28)/6</f>
        <v>2</v>
      </c>
      <c r="K57" s="569">
        <f t="shared" si="9"/>
        <v>60</v>
      </c>
    </row>
    <row r="58" spans="1:38" s="3" customFormat="1" ht="21.75" customHeight="1">
      <c r="A58" s="733" t="s">
        <v>91</v>
      </c>
      <c r="B58" s="570">
        <f>SUM(B23:B30)/8</f>
        <v>2</v>
      </c>
      <c r="C58" s="569">
        <f t="shared" si="17"/>
        <v>60</v>
      </c>
      <c r="D58" s="569">
        <f>SUM(D23:D30)/8</f>
        <v>2</v>
      </c>
      <c r="E58" s="569">
        <f t="shared" si="18"/>
        <v>60</v>
      </c>
      <c r="F58" s="569">
        <f>SUM(F23:F30)/8</f>
        <v>2</v>
      </c>
      <c r="G58" s="569">
        <f t="shared" si="7"/>
        <v>60</v>
      </c>
      <c r="H58" s="569">
        <f>SUM(H23:H30)/8</f>
        <v>2</v>
      </c>
      <c r="I58" s="569">
        <f t="shared" si="8"/>
        <v>60</v>
      </c>
      <c r="J58" s="569">
        <f>SUM(J23:J30)/8</f>
        <v>2</v>
      </c>
      <c r="K58" s="569">
        <f t="shared" si="9"/>
        <v>60</v>
      </c>
    </row>
    <row r="59" spans="1:38" s="3" customFormat="1" ht="21.75" customHeight="1">
      <c r="A59" s="733" t="s">
        <v>99</v>
      </c>
      <c r="B59" s="570">
        <f>SUM(B23:B31)/9</f>
        <v>2</v>
      </c>
      <c r="C59" s="569">
        <f t="shared" si="17"/>
        <v>60</v>
      </c>
      <c r="D59" s="572">
        <f>SUM(D23:D31)/9</f>
        <v>2</v>
      </c>
      <c r="E59" s="569">
        <f t="shared" si="18"/>
        <v>60</v>
      </c>
      <c r="F59" s="572">
        <f>SUM(F23:F31)/9</f>
        <v>2</v>
      </c>
      <c r="G59" s="569">
        <f t="shared" si="7"/>
        <v>60</v>
      </c>
      <c r="H59" s="572">
        <f>SUM(H23:H31)/9</f>
        <v>2</v>
      </c>
      <c r="I59" s="569">
        <f t="shared" si="8"/>
        <v>60</v>
      </c>
      <c r="J59" s="572">
        <f>SUM(J23:J31)/9</f>
        <v>2</v>
      </c>
      <c r="K59" s="569">
        <f t="shared" si="9"/>
        <v>60</v>
      </c>
    </row>
    <row r="60" spans="1:38" s="3" customFormat="1" ht="21.75" customHeight="1">
      <c r="A60" s="733" t="s">
        <v>92</v>
      </c>
      <c r="B60" s="570">
        <f>SUM(B23:B32)/10</f>
        <v>2</v>
      </c>
      <c r="C60" s="569">
        <f t="shared" si="17"/>
        <v>60</v>
      </c>
      <c r="D60" s="569">
        <f>SUM(D23:D32)/10</f>
        <v>2</v>
      </c>
      <c r="E60" s="569">
        <f t="shared" si="18"/>
        <v>60</v>
      </c>
      <c r="F60" s="569">
        <f>SUM(F23:F32)/10</f>
        <v>2</v>
      </c>
      <c r="G60" s="569">
        <f t="shared" si="7"/>
        <v>60</v>
      </c>
      <c r="H60" s="569">
        <f>SUM(H23:H32)/10</f>
        <v>2</v>
      </c>
      <c r="I60" s="569">
        <f t="shared" si="8"/>
        <v>60</v>
      </c>
      <c r="J60" s="569">
        <f>SUM(J23:J32)/10</f>
        <v>2</v>
      </c>
      <c r="K60" s="569">
        <f t="shared" si="9"/>
        <v>60</v>
      </c>
    </row>
    <row r="61" spans="1:38" s="3" customFormat="1" ht="21.75" customHeight="1">
      <c r="A61" s="733" t="s">
        <v>93</v>
      </c>
      <c r="B61" s="570">
        <f>SUM(B23:B34)/12</f>
        <v>2</v>
      </c>
      <c r="C61" s="569">
        <f t="shared" si="17"/>
        <v>60</v>
      </c>
      <c r="D61" s="569">
        <f>SUM(D23:D34)/12</f>
        <v>2</v>
      </c>
      <c r="E61" s="569">
        <f t="shared" si="18"/>
        <v>60</v>
      </c>
      <c r="F61" s="569">
        <f>SUM(F23:F34)/12</f>
        <v>2</v>
      </c>
      <c r="G61" s="569">
        <f t="shared" si="7"/>
        <v>60</v>
      </c>
      <c r="H61" s="569">
        <f>SUM(H23:H34)/12</f>
        <v>2</v>
      </c>
      <c r="I61" s="569">
        <f t="shared" si="8"/>
        <v>60</v>
      </c>
      <c r="J61" s="569">
        <f>SUM(J23:J34)/12</f>
        <v>2</v>
      </c>
      <c r="K61" s="569">
        <f t="shared" si="9"/>
        <v>60</v>
      </c>
      <c r="S61" s="128"/>
    </row>
    <row r="62" spans="1:38" s="3" customFormat="1" ht="21.75" customHeight="1">
      <c r="A62" s="733" t="s">
        <v>108</v>
      </c>
      <c r="B62" s="570">
        <f>SUM(B23:B36)/14</f>
        <v>2</v>
      </c>
      <c r="C62" s="569">
        <f t="shared" si="17"/>
        <v>60</v>
      </c>
      <c r="D62" s="569">
        <f>SUM(D23:D36)/14</f>
        <v>2</v>
      </c>
      <c r="E62" s="569">
        <f t="shared" si="18"/>
        <v>60</v>
      </c>
      <c r="F62" s="569">
        <f>SUM(F23:F36)/14</f>
        <v>2</v>
      </c>
      <c r="G62" s="569">
        <f t="shared" si="7"/>
        <v>60</v>
      </c>
      <c r="H62" s="569">
        <f>SUM(H23:H36)/14</f>
        <v>2</v>
      </c>
      <c r="I62" s="569">
        <f t="shared" si="8"/>
        <v>60</v>
      </c>
      <c r="J62" s="569">
        <f>SUM(J23:J36)/14</f>
        <v>2</v>
      </c>
      <c r="K62" s="569">
        <f t="shared" si="9"/>
        <v>60</v>
      </c>
      <c r="S62" s="128"/>
    </row>
    <row r="63" spans="1:38" s="3" customFormat="1" ht="21.75" customHeight="1">
      <c r="A63" s="733" t="s">
        <v>150</v>
      </c>
      <c r="B63" s="570">
        <f>SUM(B25:B36)/12</f>
        <v>2</v>
      </c>
      <c r="C63" s="569">
        <f t="shared" si="17"/>
        <v>60</v>
      </c>
      <c r="D63" s="569">
        <f>SUM(D25:D36)/12</f>
        <v>2</v>
      </c>
      <c r="E63" s="569">
        <f t="shared" si="18"/>
        <v>60</v>
      </c>
      <c r="F63" s="569">
        <f>SUM(F25:F36)/12</f>
        <v>2</v>
      </c>
      <c r="G63" s="569">
        <f t="shared" si="7"/>
        <v>60</v>
      </c>
      <c r="H63" s="569">
        <f>SUM(H25:H36)/12</f>
        <v>2</v>
      </c>
      <c r="I63" s="569">
        <f t="shared" ref="I63:I65" si="21">((5*C63)+E63)/6</f>
        <v>60</v>
      </c>
      <c r="J63" s="569">
        <f>SUM(J25:J36)/12</f>
        <v>2</v>
      </c>
      <c r="K63" s="569">
        <f t="shared" ref="K63:K65" si="22">((5*C63)+E63+G63)/7</f>
        <v>60</v>
      </c>
      <c r="S63" s="128"/>
    </row>
    <row r="64" spans="1:38" s="3" customFormat="1" ht="21.75" customHeight="1">
      <c r="A64" s="733" t="s">
        <v>165</v>
      </c>
      <c r="B64" s="570">
        <f>SUM(B27:B31)/5</f>
        <v>2</v>
      </c>
      <c r="C64" s="569">
        <f t="shared" si="17"/>
        <v>60</v>
      </c>
      <c r="D64" s="569">
        <f>SUM(D27:D31)/5</f>
        <v>2</v>
      </c>
      <c r="E64" s="569">
        <f t="shared" si="18"/>
        <v>60</v>
      </c>
      <c r="F64" s="569">
        <f>SUM(F27:F31)/5</f>
        <v>2</v>
      </c>
      <c r="G64" s="569">
        <f t="shared" si="7"/>
        <v>60</v>
      </c>
      <c r="H64" s="569">
        <f>SUM(H27:H31)/5</f>
        <v>2</v>
      </c>
      <c r="I64" s="569">
        <f t="shared" ref="I64" si="23">((5*C64)+E64)/6</f>
        <v>60</v>
      </c>
      <c r="J64" s="569">
        <f>SUM(J27:J31)/5</f>
        <v>2</v>
      </c>
      <c r="K64" s="569">
        <f t="shared" ref="K64" si="24">((5*C64)+E64+G64)/7</f>
        <v>60</v>
      </c>
      <c r="S64" s="128"/>
    </row>
    <row r="65" spans="1:19" s="3" customFormat="1" ht="21.75" customHeight="1">
      <c r="A65" s="733" t="s">
        <v>151</v>
      </c>
      <c r="B65" s="570">
        <f>SUM(B27:B32)/6</f>
        <v>2</v>
      </c>
      <c r="C65" s="569">
        <f t="shared" si="17"/>
        <v>60</v>
      </c>
      <c r="D65" s="569">
        <f>SUM(D27:D32)/6</f>
        <v>2</v>
      </c>
      <c r="E65" s="569">
        <f t="shared" si="18"/>
        <v>60</v>
      </c>
      <c r="F65" s="569">
        <f>SUM(F27:F32)/6</f>
        <v>2</v>
      </c>
      <c r="G65" s="569">
        <f t="shared" si="7"/>
        <v>60</v>
      </c>
      <c r="H65" s="569">
        <f>SUM(H27:H32)/6</f>
        <v>2</v>
      </c>
      <c r="I65" s="569">
        <f t="shared" si="21"/>
        <v>60</v>
      </c>
      <c r="J65" s="569">
        <f>SUM(J27:J32)/6</f>
        <v>2</v>
      </c>
      <c r="K65" s="569">
        <f t="shared" si="22"/>
        <v>60</v>
      </c>
      <c r="S65" s="128"/>
    </row>
    <row r="66" spans="1:19" s="3" customFormat="1" ht="21.75" customHeight="1">
      <c r="A66" s="733" t="s">
        <v>149</v>
      </c>
      <c r="B66" s="570">
        <f>SUM(B27:B34)/8</f>
        <v>2</v>
      </c>
      <c r="C66" s="569">
        <f t="shared" si="17"/>
        <v>60</v>
      </c>
      <c r="D66" s="569">
        <f>SUM(D27:D34)/8</f>
        <v>2</v>
      </c>
      <c r="E66" s="569">
        <f t="shared" si="18"/>
        <v>60</v>
      </c>
      <c r="F66" s="569">
        <f>SUM(F27:F34)/8</f>
        <v>2</v>
      </c>
      <c r="G66" s="569">
        <f t="shared" si="7"/>
        <v>60</v>
      </c>
      <c r="H66" s="569">
        <f>SUM(H27:H34)/8</f>
        <v>2</v>
      </c>
      <c r="I66" s="569">
        <f t="shared" ref="I66" si="25">((5*C66)+E66)/6</f>
        <v>60</v>
      </c>
      <c r="J66" s="569">
        <f>SUM(J27:J34)/8</f>
        <v>2</v>
      </c>
      <c r="K66" s="569">
        <f t="shared" ref="K66" si="26">((5*C66)+E66+G66)/7</f>
        <v>60</v>
      </c>
      <c r="S66" s="128"/>
    </row>
    <row r="67" spans="1:19" s="3" customFormat="1" ht="21.75" customHeight="1">
      <c r="A67" s="733" t="s">
        <v>152</v>
      </c>
      <c r="B67" s="570">
        <f>SUM(B27:B36)/10</f>
        <v>2</v>
      </c>
      <c r="C67" s="569">
        <f t="shared" si="17"/>
        <v>60</v>
      </c>
      <c r="D67" s="569">
        <f>SUM(D27:D36)/10</f>
        <v>2</v>
      </c>
      <c r="E67" s="569">
        <f t="shared" si="18"/>
        <v>60</v>
      </c>
      <c r="F67" s="569">
        <f>SUM(F27:F36)/10</f>
        <v>2</v>
      </c>
      <c r="G67" s="569">
        <f t="shared" si="7"/>
        <v>60</v>
      </c>
      <c r="H67" s="569">
        <f>SUM(H27:H36)/10</f>
        <v>2</v>
      </c>
      <c r="I67" s="569">
        <f t="shared" ref="I67:I69" si="27">((5*C67)+E67)/6</f>
        <v>60</v>
      </c>
      <c r="J67" s="569">
        <f>SUM(J27:J36)/10</f>
        <v>2</v>
      </c>
      <c r="K67" s="569">
        <f t="shared" ref="K67:K69" si="28">((5*C67)+E67+G67)/7</f>
        <v>60</v>
      </c>
      <c r="S67" s="128"/>
    </row>
    <row r="68" spans="1:19" s="3" customFormat="1" ht="21.75" customHeight="1">
      <c r="A68" s="733" t="s">
        <v>156</v>
      </c>
      <c r="B68" s="570">
        <f>SUM(B28:B33)/6</f>
        <v>2</v>
      </c>
      <c r="C68" s="569">
        <f t="shared" si="17"/>
        <v>60</v>
      </c>
      <c r="D68" s="570">
        <f>SUM(D28:D33)/6</f>
        <v>2</v>
      </c>
      <c r="E68" s="569">
        <f t="shared" si="18"/>
        <v>60</v>
      </c>
      <c r="F68" s="570">
        <f>SUM(F28:F33)/6</f>
        <v>2</v>
      </c>
      <c r="G68" s="569">
        <f t="shared" si="7"/>
        <v>60</v>
      </c>
      <c r="H68" s="570">
        <f>SUM(H28:H33)/6</f>
        <v>2</v>
      </c>
      <c r="I68" s="569">
        <f t="shared" si="27"/>
        <v>60</v>
      </c>
      <c r="J68" s="570">
        <f>SUM(J28:J33)/6</f>
        <v>2</v>
      </c>
      <c r="K68" s="569">
        <f t="shared" si="28"/>
        <v>60</v>
      </c>
      <c r="S68" s="128"/>
    </row>
    <row r="69" spans="1:19" s="3" customFormat="1" ht="21.75" customHeight="1">
      <c r="A69" s="733" t="s">
        <v>155</v>
      </c>
      <c r="B69" s="570">
        <f>SUM(B28:B34)/7</f>
        <v>2</v>
      </c>
      <c r="C69" s="569">
        <f t="shared" si="17"/>
        <v>60</v>
      </c>
      <c r="D69" s="569">
        <f>SUM(D28:D34)/7</f>
        <v>2</v>
      </c>
      <c r="E69" s="569">
        <f t="shared" si="18"/>
        <v>60</v>
      </c>
      <c r="F69" s="569">
        <f>SUM(F28:F34)/7</f>
        <v>2</v>
      </c>
      <c r="G69" s="569">
        <f t="shared" si="7"/>
        <v>60</v>
      </c>
      <c r="H69" s="569">
        <f>SUM(H28:H34)/7</f>
        <v>2</v>
      </c>
      <c r="I69" s="569">
        <f t="shared" si="27"/>
        <v>60</v>
      </c>
      <c r="J69" s="569">
        <f>SUM(J28:J34)/7</f>
        <v>2</v>
      </c>
      <c r="K69" s="569">
        <f t="shared" si="28"/>
        <v>60</v>
      </c>
      <c r="S69" s="128"/>
    </row>
    <row r="70" spans="1:19" s="3" customFormat="1" ht="21.75" customHeight="1">
      <c r="A70" s="733" t="s">
        <v>158</v>
      </c>
      <c r="B70" s="570">
        <f>SUM(B28:B36)/9</f>
        <v>2</v>
      </c>
      <c r="C70" s="569">
        <f t="shared" si="17"/>
        <v>60</v>
      </c>
      <c r="D70" s="569">
        <f>SUM(D28:D36)/9</f>
        <v>2</v>
      </c>
      <c r="E70" s="569">
        <f t="shared" si="18"/>
        <v>60</v>
      </c>
      <c r="F70" s="569">
        <f>SUM(F28:F36)/9</f>
        <v>2</v>
      </c>
      <c r="G70" s="569">
        <f t="shared" si="7"/>
        <v>60</v>
      </c>
      <c r="H70" s="569">
        <f>SUM(H28:H36)/9</f>
        <v>2</v>
      </c>
      <c r="I70" s="569">
        <f t="shared" ref="I70" si="29">((5*C70)+E70)/6</f>
        <v>60</v>
      </c>
      <c r="J70" s="569">
        <f>SUM(J28:J36)/9</f>
        <v>2</v>
      </c>
      <c r="K70" s="569">
        <f t="shared" ref="K70" si="30">((5*C70)+E70+G70)/7</f>
        <v>60</v>
      </c>
      <c r="S70" s="128"/>
    </row>
    <row r="71" spans="1:19" s="3" customFormat="1" ht="21.75" customHeight="1">
      <c r="A71" s="733" t="s">
        <v>168</v>
      </c>
      <c r="B71" s="570">
        <f>SUM(B29:B31)/3</f>
        <v>2</v>
      </c>
      <c r="C71" s="569">
        <f t="shared" ref="C71" si="31">IF(AND($C$7&gt;=$P$5,$C$7&lt;=$R$5),B71*$C$7*$T$5/100,IF(AND($C$7&gt;=$P$4,$C$7&lt;=$R$4),B71*$C$7*$T$4/100,IF(AND($C$7&gt;=$P$3,$C$7&lt;=$R$3),B71*$C$7*$T$3/100,IF($C$7&gt;=$P$6,B71*$C$7*$T$6/100))))</f>
        <v>60</v>
      </c>
      <c r="D71" s="569">
        <f>SUM(D29:D31)/3</f>
        <v>2</v>
      </c>
      <c r="E71" s="569">
        <f t="shared" ref="E71" si="32">IF(AND($C$7&gt;=$P$5,$C$7&lt;=$R$5),D71*$C$7*$T$5/100,IF(AND($C$7&gt;=$P$4,$C$7&lt;=$R$4),D71*$C$7*$T$4/100,IF(AND($C$7&gt;=$P$3,$C$7&lt;=$R$3),D71*$C$7*$T$3/100,IF($C$7&gt;=$P$6,D71*$C$7*$T$6/100))))</f>
        <v>60</v>
      </c>
      <c r="F71" s="569">
        <f>SUM(F29:F31)/3</f>
        <v>2</v>
      </c>
      <c r="G71" s="569">
        <f t="shared" ref="G71" si="33">IF(AND($C$7&gt;=$P$5,$C$7&lt;=$R$5),F71*$C$7*$T$5/100,IF(AND($C$7&gt;=$P$4,$C$7&lt;=$R$4),F71*$C$7*$T$4/100,IF(AND($C$7&gt;=$P$3,$C$7&lt;=$R$3),F71*$C$7*$T$3/100,IF($C$7&gt;=$P$6,F71*$C$7*$T$6/100))))</f>
        <v>60</v>
      </c>
      <c r="H71" s="569">
        <f>SUM(H29:H31)/3</f>
        <v>2</v>
      </c>
      <c r="I71" s="569">
        <f t="shared" ref="I71" si="34">((5*C71)+E71)/6</f>
        <v>60</v>
      </c>
      <c r="J71" s="569">
        <f>SUM(J29:J31)/3</f>
        <v>2</v>
      </c>
      <c r="K71" s="569">
        <f t="shared" ref="K71" si="35">((5*C71)+E71+G71)/7</f>
        <v>60</v>
      </c>
      <c r="S71" s="128"/>
    </row>
    <row r="72" spans="1:19" s="3" customFormat="1" ht="21.75" customHeight="1">
      <c r="A72" s="733" t="s">
        <v>166</v>
      </c>
      <c r="B72" s="570">
        <f>SUM(B30:B31)/2</f>
        <v>2</v>
      </c>
      <c r="C72" s="569">
        <f t="shared" si="17"/>
        <v>60</v>
      </c>
      <c r="D72" s="569">
        <f>SUM(D30:D31)/2</f>
        <v>2</v>
      </c>
      <c r="E72" s="569">
        <f t="shared" si="18"/>
        <v>60</v>
      </c>
      <c r="F72" s="569">
        <f>SUM(F30:F31)/2</f>
        <v>2</v>
      </c>
      <c r="G72" s="569">
        <f t="shared" si="7"/>
        <v>60</v>
      </c>
      <c r="H72" s="569">
        <f>SUM(H30:H31)/2</f>
        <v>2</v>
      </c>
      <c r="I72" s="569">
        <f t="shared" ref="I72" si="36">((5*C72)+E72)/6</f>
        <v>60</v>
      </c>
      <c r="J72" s="569">
        <f>SUM(J30:J31)/2</f>
        <v>2</v>
      </c>
      <c r="K72" s="569">
        <f t="shared" ref="K72" si="37">((5*C72)+E72+G72)/7</f>
        <v>60</v>
      </c>
      <c r="S72" s="128"/>
    </row>
    <row r="73" spans="1:19" s="3" customFormat="1" ht="21.75" customHeight="1">
      <c r="A73" s="733" t="s">
        <v>101</v>
      </c>
      <c r="B73" s="570">
        <f>SUM(B30:B33)/4</f>
        <v>2</v>
      </c>
      <c r="C73" s="569">
        <f t="shared" si="17"/>
        <v>60</v>
      </c>
      <c r="D73" s="569">
        <f>SUM(D30:D33)/4</f>
        <v>2</v>
      </c>
      <c r="E73" s="569">
        <f t="shared" si="18"/>
        <v>60</v>
      </c>
      <c r="F73" s="569">
        <f>SUM(F30:F33)/4</f>
        <v>2</v>
      </c>
      <c r="G73" s="569">
        <f t="shared" si="7"/>
        <v>60</v>
      </c>
      <c r="H73" s="569">
        <f>SUM(H30:H33)/4</f>
        <v>2</v>
      </c>
      <c r="I73" s="569">
        <f t="shared" si="8"/>
        <v>60</v>
      </c>
      <c r="J73" s="569">
        <f>SUM(J30:J33)/4</f>
        <v>2</v>
      </c>
      <c r="K73" s="569">
        <f t="shared" si="9"/>
        <v>60</v>
      </c>
      <c r="R73" s="546"/>
      <c r="S73" s="128"/>
    </row>
    <row r="74" spans="1:19" s="3" customFormat="1" ht="21.75" customHeight="1">
      <c r="A74" s="733" t="s">
        <v>123</v>
      </c>
      <c r="B74" s="570">
        <f>SUM(B31:B33)/3</f>
        <v>2</v>
      </c>
      <c r="C74" s="569">
        <f t="shared" si="17"/>
        <v>60</v>
      </c>
      <c r="D74" s="572">
        <f>SUM(D31:D33)/3</f>
        <v>2</v>
      </c>
      <c r="E74" s="569">
        <f t="shared" si="18"/>
        <v>60</v>
      </c>
      <c r="F74" s="572">
        <f>SUM(F31:F33)/3</f>
        <v>2</v>
      </c>
      <c r="G74" s="569">
        <f t="shared" si="7"/>
        <v>60</v>
      </c>
      <c r="H74" s="572">
        <f>SUM(H31:H33)/3</f>
        <v>2</v>
      </c>
      <c r="I74" s="569">
        <f t="shared" si="8"/>
        <v>60</v>
      </c>
      <c r="J74" s="572">
        <f>SUM(J31:J33)/3</f>
        <v>2</v>
      </c>
      <c r="K74" s="569">
        <f t="shared" si="9"/>
        <v>60</v>
      </c>
      <c r="S74" s="128"/>
    </row>
    <row r="75" spans="1:19" s="3" customFormat="1" ht="21.75" customHeight="1">
      <c r="A75" s="733" t="s">
        <v>94</v>
      </c>
      <c r="B75" s="570">
        <f>SUM(B31:B34)/4</f>
        <v>2</v>
      </c>
      <c r="C75" s="569">
        <f t="shared" si="17"/>
        <v>60</v>
      </c>
      <c r="D75" s="569">
        <f>SUM(D31:D34)/4</f>
        <v>2</v>
      </c>
      <c r="E75" s="569">
        <f t="shared" si="18"/>
        <v>60</v>
      </c>
      <c r="F75" s="569">
        <f>SUM(F31:F34)/4</f>
        <v>2</v>
      </c>
      <c r="G75" s="569">
        <f t="shared" si="7"/>
        <v>60</v>
      </c>
      <c r="H75" s="569">
        <f>SUM(H31:H34)/4</f>
        <v>2</v>
      </c>
      <c r="I75" s="569">
        <f t="shared" si="8"/>
        <v>60</v>
      </c>
      <c r="J75" s="569">
        <f>SUM(J31:J34)/4</f>
        <v>2</v>
      </c>
      <c r="K75" s="569">
        <f t="shared" si="9"/>
        <v>60</v>
      </c>
      <c r="S75" s="128"/>
    </row>
    <row r="76" spans="1:19" s="3" customFormat="1" ht="21.75" customHeight="1">
      <c r="A76" s="733" t="s">
        <v>95</v>
      </c>
      <c r="B76" s="570">
        <f>SUM(B31:B36)/6</f>
        <v>2</v>
      </c>
      <c r="C76" s="569">
        <f t="shared" si="17"/>
        <v>60</v>
      </c>
      <c r="D76" s="569">
        <f>SUM(D31:D36)/6</f>
        <v>2</v>
      </c>
      <c r="E76" s="569">
        <f t="shared" si="18"/>
        <v>60</v>
      </c>
      <c r="F76" s="569">
        <f>SUM(F31:F36)/6</f>
        <v>2</v>
      </c>
      <c r="G76" s="569">
        <f t="shared" si="7"/>
        <v>60</v>
      </c>
      <c r="H76" s="569">
        <f>SUM(H31:H36)/6</f>
        <v>2</v>
      </c>
      <c r="I76" s="569">
        <f t="shared" si="8"/>
        <v>60</v>
      </c>
      <c r="J76" s="569">
        <f>SUM(J31:J36)/6</f>
        <v>2</v>
      </c>
      <c r="K76" s="569">
        <f t="shared" si="9"/>
        <v>60</v>
      </c>
    </row>
    <row r="77" spans="1:19" s="3" customFormat="1" ht="21.75" customHeight="1">
      <c r="A77" s="733" t="s">
        <v>96</v>
      </c>
      <c r="B77" s="570">
        <f>SUM(B32:B36)/5</f>
        <v>2</v>
      </c>
      <c r="C77" s="569">
        <f t="shared" si="17"/>
        <v>60</v>
      </c>
      <c r="D77" s="569">
        <f>SUM(D32:D36)/5</f>
        <v>2</v>
      </c>
      <c r="E77" s="569">
        <f t="shared" si="18"/>
        <v>60</v>
      </c>
      <c r="F77" s="569">
        <f>SUM(F32:F36)/5</f>
        <v>2</v>
      </c>
      <c r="G77" s="569">
        <f t="shared" si="7"/>
        <v>60</v>
      </c>
      <c r="H77" s="569">
        <f>SUM(H32:H36)/5</f>
        <v>2</v>
      </c>
      <c r="I77" s="569">
        <f t="shared" si="8"/>
        <v>60</v>
      </c>
      <c r="J77" s="569">
        <f>SUM(J32:J36)/5</f>
        <v>2</v>
      </c>
      <c r="K77" s="569">
        <f t="shared" si="9"/>
        <v>60</v>
      </c>
    </row>
    <row r="78" spans="1:19" ht="21.75" customHeight="1">
      <c r="A78" s="733" t="s">
        <v>97</v>
      </c>
      <c r="B78" s="570">
        <f>SUM(B33:B36)/4</f>
        <v>2</v>
      </c>
      <c r="C78" s="569">
        <f t="shared" si="17"/>
        <v>60</v>
      </c>
      <c r="D78" s="569">
        <f>SUM(D33:D36)/4</f>
        <v>2</v>
      </c>
      <c r="E78" s="569">
        <f t="shared" si="18"/>
        <v>60</v>
      </c>
      <c r="F78" s="569">
        <f>SUM(F33:F36)/4</f>
        <v>2</v>
      </c>
      <c r="G78" s="569">
        <f t="shared" si="7"/>
        <v>60</v>
      </c>
      <c r="H78" s="569">
        <f>SUM(H33:H36)/4</f>
        <v>2</v>
      </c>
      <c r="I78" s="569">
        <f t="shared" si="8"/>
        <v>60</v>
      </c>
      <c r="J78" s="569">
        <f>SUM(J33:J36)/4</f>
        <v>2</v>
      </c>
      <c r="K78" s="569">
        <f t="shared" si="9"/>
        <v>60</v>
      </c>
    </row>
    <row r="115" spans="1:1">
      <c r="A115" s="1" t="s">
        <v>55</v>
      </c>
    </row>
    <row r="116" spans="1:1">
      <c r="A116" s="1" t="s">
        <v>0</v>
      </c>
    </row>
    <row r="117" spans="1:1">
      <c r="A117" s="1" t="s">
        <v>21</v>
      </c>
    </row>
    <row r="118" spans="1:1">
      <c r="A118" s="1" t="s">
        <v>136</v>
      </c>
    </row>
    <row r="119" spans="1:1">
      <c r="A119" s="1" t="s">
        <v>137</v>
      </c>
    </row>
  </sheetData>
  <mergeCells count="9">
    <mergeCell ref="P1:T1"/>
    <mergeCell ref="E1:N1"/>
    <mergeCell ref="A10:K10"/>
    <mergeCell ref="B11:C11"/>
    <mergeCell ref="D11:E11"/>
    <mergeCell ref="F11:G11"/>
    <mergeCell ref="H11:I11"/>
    <mergeCell ref="J11:K11"/>
    <mergeCell ref="C3:D4"/>
  </mergeCells>
  <dataValidations count="3">
    <dataValidation type="list" allowBlank="1" showInputMessage="1" showErrorMessage="1" sqref="E4:E7">
      <formula1>$A$115:$A$119</formula1>
    </dataValidation>
    <dataValidation type="list" allowBlank="1" showInputMessage="1" showErrorMessage="1" sqref="E8:E9">
      <formula1>$B$11:$K$11</formula1>
    </dataValidation>
    <dataValidation type="list" allowBlank="1" showInputMessage="1" showErrorMessage="1" sqref="F4:F9">
      <formula1>$A$37:$A$80</formula1>
    </dataValidation>
  </dataValidations>
  <pageMargins left="0.7" right="0.7" top="0.78740157499999996" bottom="0.78740157499999996" header="0.3" footer="0.3"/>
  <pageSetup paperSize="9" scale="4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77"/>
  <sheetViews>
    <sheetView topLeftCell="A4" zoomScale="80" zoomScaleNormal="80" workbookViewId="0">
      <selection activeCell="B41" sqref="B41"/>
    </sheetView>
  </sheetViews>
  <sheetFormatPr baseColWidth="10" defaultColWidth="14.42578125" defaultRowHeight="15" outlineLevelCol="1"/>
  <cols>
    <col min="1" max="1" width="14.42578125" style="6" customWidth="1"/>
    <col min="2" max="2" width="6" style="6" customWidth="1"/>
    <col min="3" max="4" width="8.85546875" style="76" customWidth="1"/>
    <col min="5" max="5" width="11.140625" style="76" customWidth="1"/>
    <col min="6" max="13" width="8.85546875" style="76" customWidth="1"/>
    <col min="14" max="34" width="4.5703125" style="6" customWidth="1"/>
    <col min="35" max="48" width="4.5703125" style="6" customWidth="1" outlineLevel="1"/>
    <col min="49" max="55" width="4.7109375" style="6" customWidth="1" outlineLevel="1"/>
    <col min="56" max="56" width="14.42578125" style="6"/>
    <col min="57" max="57" width="0" style="6" hidden="1" customWidth="1"/>
    <col min="58" max="58" width="16.85546875" style="6" hidden="1" customWidth="1"/>
    <col min="59" max="61" width="0" style="6" hidden="1" customWidth="1"/>
    <col min="62" max="16384" width="14.42578125" style="6"/>
  </cols>
  <sheetData>
    <row r="1" spans="1:60" s="78" customFormat="1">
      <c r="A1" s="23"/>
      <c r="B1" s="23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</row>
    <row r="2" spans="1:60" s="80" customFormat="1" ht="47.25">
      <c r="A2" s="842"/>
      <c r="B2" s="842"/>
      <c r="C2" s="842"/>
      <c r="D2" s="1102" t="s">
        <v>147</v>
      </c>
      <c r="E2" s="1102"/>
      <c r="F2" s="1102"/>
      <c r="G2" s="1102"/>
      <c r="H2" s="842"/>
      <c r="I2" s="842"/>
      <c r="J2" s="842"/>
      <c r="K2" s="842"/>
      <c r="L2" s="842"/>
      <c r="M2" s="842"/>
      <c r="N2" s="842"/>
      <c r="O2" s="842"/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842"/>
      <c r="AB2" s="842"/>
      <c r="AC2" s="842"/>
      <c r="AD2" s="842"/>
      <c r="AE2" s="842"/>
      <c r="AF2" s="842"/>
      <c r="AG2" s="842"/>
      <c r="AH2" s="842"/>
      <c r="AI2" s="842"/>
      <c r="AJ2" s="842"/>
      <c r="AK2" s="842"/>
      <c r="AL2" s="842"/>
      <c r="AM2" s="842"/>
      <c r="AN2" s="842"/>
      <c r="AO2" s="842"/>
      <c r="AP2" s="842"/>
      <c r="AQ2" s="842"/>
      <c r="AR2" s="842"/>
      <c r="AS2" s="842"/>
      <c r="AT2" s="842"/>
      <c r="AU2" s="842"/>
      <c r="AV2" s="842"/>
      <c r="AW2" s="842"/>
      <c r="AX2" s="842"/>
      <c r="AY2" s="842"/>
      <c r="AZ2" s="842"/>
      <c r="BA2" s="842"/>
      <c r="BB2" s="842"/>
      <c r="BC2" s="842"/>
      <c r="BD2" s="79"/>
      <c r="BE2" s="79"/>
      <c r="BF2" s="79"/>
      <c r="BG2" s="79"/>
      <c r="BH2" s="79"/>
    </row>
    <row r="3" spans="1:60" s="78" customFormat="1" ht="11.25" customHeight="1">
      <c r="A3" s="81"/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23"/>
      <c r="BE3" s="23"/>
      <c r="BF3" s="23"/>
      <c r="BG3" s="23"/>
      <c r="BH3" s="23"/>
    </row>
    <row r="4" spans="1:60" ht="18.75" customHeight="1">
      <c r="A4" s="900" t="s">
        <v>169</v>
      </c>
      <c r="B4" s="900"/>
      <c r="C4" s="900"/>
      <c r="D4" s="900"/>
      <c r="E4" s="900"/>
      <c r="F4" s="900"/>
      <c r="G4" s="900"/>
      <c r="H4" s="900"/>
      <c r="I4" s="900"/>
      <c r="J4" s="900"/>
      <c r="K4" s="900"/>
      <c r="L4" s="900"/>
      <c r="M4" s="900"/>
      <c r="N4" s="900"/>
      <c r="O4" s="900"/>
      <c r="P4" s="900"/>
      <c r="Q4" s="900"/>
      <c r="R4" s="900"/>
      <c r="S4" s="900"/>
      <c r="T4" s="900"/>
      <c r="U4" s="900"/>
      <c r="V4" s="900"/>
      <c r="W4" s="900"/>
      <c r="X4" s="900"/>
      <c r="Y4" s="900"/>
      <c r="Z4" s="900"/>
      <c r="AA4" s="900"/>
      <c r="AB4" s="900"/>
      <c r="AC4" s="900"/>
      <c r="AD4" s="900"/>
      <c r="AE4" s="900"/>
      <c r="AF4" s="900"/>
      <c r="AG4" s="900"/>
      <c r="AH4" s="900"/>
      <c r="AI4" s="900"/>
      <c r="AJ4" s="900"/>
      <c r="AK4" s="900"/>
      <c r="AL4" s="900"/>
      <c r="AM4" s="900"/>
      <c r="AN4" s="900"/>
      <c r="AO4" s="900"/>
      <c r="AP4" s="900"/>
      <c r="AQ4" s="900"/>
      <c r="AR4" s="900"/>
      <c r="AS4" s="900"/>
      <c r="AT4" s="900"/>
      <c r="AU4" s="900"/>
      <c r="AV4" s="900"/>
      <c r="AW4" s="900"/>
      <c r="AX4" s="900"/>
      <c r="AY4" s="900"/>
      <c r="AZ4" s="900"/>
      <c r="BA4" s="900"/>
      <c r="BB4" s="900"/>
      <c r="BC4" s="900"/>
      <c r="BD4" s="900"/>
      <c r="BE4" s="900"/>
      <c r="BF4" s="900"/>
      <c r="BG4" s="900"/>
      <c r="BH4" s="900"/>
    </row>
    <row r="5" spans="1:60" s="9" customFormat="1" ht="37.5" customHeight="1" thickBot="1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7"/>
      <c r="Q5" s="12"/>
      <c r="R5" s="993" t="s">
        <v>161</v>
      </c>
      <c r="S5" s="993"/>
      <c r="T5" s="993"/>
      <c r="U5" s="993"/>
      <c r="V5" s="993"/>
      <c r="W5" s="13"/>
      <c r="X5" s="13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 spans="1:60" s="16" customFormat="1" ht="18.75" thickBot="1">
      <c r="A6" s="10"/>
      <c r="B6" s="84" t="s">
        <v>1</v>
      </c>
      <c r="C6" s="85"/>
      <c r="D6" s="11"/>
      <c r="E6" s="1103"/>
      <c r="F6" s="1104"/>
      <c r="G6" s="1105"/>
      <c r="H6" s="85"/>
      <c r="I6" s="1112" t="s">
        <v>2</v>
      </c>
      <c r="J6" s="1113"/>
      <c r="K6" s="1113"/>
      <c r="L6" s="775"/>
      <c r="M6" s="1114">
        <f>B41+F41+J41</f>
        <v>0</v>
      </c>
      <c r="N6" s="1114"/>
      <c r="O6" s="1115"/>
      <c r="P6" s="3"/>
      <c r="Q6" s="89"/>
      <c r="R6" s="143" t="s">
        <v>110</v>
      </c>
      <c r="S6" s="144"/>
      <c r="T6" s="144"/>
      <c r="U6" s="144"/>
      <c r="V6" s="145" t="s">
        <v>113</v>
      </c>
      <c r="W6" s="13"/>
      <c r="X6" s="13"/>
      <c r="Y6" s="18"/>
      <c r="Z6" s="12"/>
      <c r="AA6" s="12"/>
      <c r="AB6" s="12"/>
      <c r="AC6" s="12"/>
      <c r="AD6" s="12"/>
      <c r="AE6" s="10"/>
      <c r="AF6" s="10"/>
      <c r="AG6" s="10"/>
      <c r="AH6" s="10"/>
      <c r="AI6" s="13"/>
      <c r="AJ6" s="13"/>
      <c r="AK6" s="13"/>
      <c r="AL6" s="13"/>
      <c r="AM6" s="10"/>
      <c r="AN6" s="903"/>
      <c r="AO6" s="903"/>
      <c r="AP6" s="903"/>
      <c r="AQ6" s="903"/>
      <c r="AR6" s="903"/>
      <c r="AS6" s="903"/>
      <c r="AT6" s="903"/>
      <c r="AU6" s="903"/>
      <c r="AV6" s="903"/>
      <c r="AW6" s="10"/>
      <c r="AX6" s="10"/>
      <c r="AY6" s="10"/>
      <c r="AZ6" s="10"/>
      <c r="BA6" s="10"/>
      <c r="BB6" s="10"/>
      <c r="BC6" s="10"/>
      <c r="BD6" s="10"/>
      <c r="BE6" s="14">
        <f>WEEKDAY(AP7,2)</f>
        <v>6</v>
      </c>
      <c r="BF6" s="15">
        <f>DAYS360(AP7,AP8)+1</f>
        <v>1</v>
      </c>
      <c r="BG6" s="10"/>
      <c r="BH6" s="10"/>
    </row>
    <row r="7" spans="1:60" s="16" customFormat="1" ht="18.75" thickBot="1">
      <c r="A7" s="10"/>
      <c r="B7" s="84" t="s">
        <v>3</v>
      </c>
      <c r="C7" s="85"/>
      <c r="D7" s="11"/>
      <c r="E7" s="1103"/>
      <c r="F7" s="1104"/>
      <c r="G7" s="1105"/>
      <c r="H7" s="85"/>
      <c r="I7" s="1106" t="s">
        <v>4</v>
      </c>
      <c r="J7" s="907"/>
      <c r="K7" s="907"/>
      <c r="L7" s="654"/>
      <c r="M7" s="904">
        <f>G9*M6</f>
        <v>0</v>
      </c>
      <c r="N7" s="904"/>
      <c r="O7" s="1107"/>
      <c r="P7" s="3"/>
      <c r="Q7" s="89"/>
      <c r="R7" s="146">
        <v>1</v>
      </c>
      <c r="S7" s="147" t="s">
        <v>112</v>
      </c>
      <c r="T7" s="147">
        <v>15</v>
      </c>
      <c r="U7" s="147" t="s">
        <v>23</v>
      </c>
      <c r="V7" s="148">
        <v>110</v>
      </c>
      <c r="W7" s="13"/>
      <c r="X7" s="13"/>
      <c r="Y7" s="18"/>
      <c r="Z7" s="12"/>
      <c r="AA7" s="12"/>
      <c r="AB7" s="12"/>
      <c r="AC7" s="12"/>
      <c r="AD7" s="89"/>
      <c r="AE7" s="10"/>
      <c r="AF7" s="10"/>
      <c r="AG7" s="10"/>
      <c r="AH7" s="10"/>
      <c r="AI7" s="13"/>
      <c r="AJ7" s="13"/>
      <c r="AK7" s="13"/>
      <c r="AL7" s="13"/>
      <c r="AM7" s="10"/>
      <c r="AN7" s="18"/>
      <c r="AO7" s="18"/>
      <c r="AP7" s="19"/>
      <c r="AQ7" s="19"/>
      <c r="AR7" s="19"/>
      <c r="AS7" s="19"/>
      <c r="AT7" s="19"/>
      <c r="AU7" s="19"/>
      <c r="AV7" s="19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s="16" customFormat="1" ht="18.75" thickBot="1">
      <c r="A8" s="10"/>
      <c r="B8" s="84" t="s">
        <v>5</v>
      </c>
      <c r="C8" s="85"/>
      <c r="D8" s="11"/>
      <c r="E8" s="1103"/>
      <c r="F8" s="1104"/>
      <c r="G8" s="1105"/>
      <c r="H8" s="85"/>
      <c r="I8" s="1108" t="s">
        <v>6</v>
      </c>
      <c r="J8" s="1109"/>
      <c r="K8" s="1109"/>
      <c r="L8" s="778"/>
      <c r="M8" s="1110">
        <f>E41+I41+M41</f>
        <v>0</v>
      </c>
      <c r="N8" s="1110"/>
      <c r="O8" s="1111"/>
      <c r="P8" s="3"/>
      <c r="Q8" s="12"/>
      <c r="R8" s="146">
        <v>16</v>
      </c>
      <c r="S8" s="147" t="s">
        <v>112</v>
      </c>
      <c r="T8" s="147">
        <v>24</v>
      </c>
      <c r="U8" s="147" t="s">
        <v>23</v>
      </c>
      <c r="V8" s="148">
        <v>105</v>
      </c>
      <c r="W8" s="10"/>
      <c r="X8" s="10"/>
      <c r="Y8" s="18"/>
      <c r="Z8" s="12"/>
      <c r="AA8" s="12"/>
      <c r="AB8" s="90"/>
      <c r="AC8" s="12"/>
      <c r="AD8" s="89"/>
      <c r="AE8" s="10"/>
      <c r="AF8" s="10"/>
      <c r="AG8" s="10"/>
      <c r="AH8" s="10"/>
      <c r="AI8" s="13"/>
      <c r="AJ8" s="13"/>
      <c r="AK8" s="13"/>
      <c r="AL8" s="13"/>
      <c r="AM8" s="10"/>
      <c r="AN8" s="18"/>
      <c r="AO8" s="18"/>
      <c r="AP8" s="19"/>
      <c r="AQ8" s="19"/>
      <c r="AR8" s="19"/>
      <c r="AS8" s="19"/>
      <c r="AT8" s="19"/>
      <c r="AU8" s="19"/>
      <c r="AV8" s="19"/>
      <c r="AW8" s="10"/>
      <c r="AX8" s="20"/>
      <c r="AY8" s="10"/>
      <c r="AZ8" s="10"/>
      <c r="BA8" s="10"/>
      <c r="BB8" s="10"/>
      <c r="BC8" s="10"/>
      <c r="BD8" s="10"/>
      <c r="BE8" s="10"/>
      <c r="BF8" s="17"/>
      <c r="BG8" s="10"/>
      <c r="BH8" s="10"/>
    </row>
    <row r="9" spans="1:60" s="16" customFormat="1" ht="18.75" thickBot="1">
      <c r="A9" s="10"/>
      <c r="B9" s="3" t="s">
        <v>7</v>
      </c>
      <c r="C9" s="85"/>
      <c r="D9" s="85"/>
      <c r="E9" s="85"/>
      <c r="F9" s="85"/>
      <c r="G9" s="777">
        <v>10</v>
      </c>
      <c r="H9" s="85"/>
      <c r="I9" s="1112" t="s">
        <v>46</v>
      </c>
      <c r="J9" s="1113"/>
      <c r="K9" s="1113"/>
      <c r="L9" s="779">
        <v>0.05</v>
      </c>
      <c r="M9" s="1116">
        <f>M8*L9</f>
        <v>0</v>
      </c>
      <c r="N9" s="1116"/>
      <c r="O9" s="1117"/>
      <c r="P9" s="3"/>
      <c r="Q9" s="12"/>
      <c r="R9" s="146">
        <v>25</v>
      </c>
      <c r="S9" s="147" t="s">
        <v>112</v>
      </c>
      <c r="T9" s="147">
        <v>34</v>
      </c>
      <c r="U9" s="147" t="s">
        <v>23</v>
      </c>
      <c r="V9" s="148">
        <v>100</v>
      </c>
      <c r="W9" s="10"/>
      <c r="X9" s="10"/>
      <c r="Y9" s="18"/>
      <c r="Z9" s="12"/>
      <c r="AA9" s="12"/>
      <c r="AB9" s="12"/>
      <c r="AC9" s="12"/>
      <c r="AD9" s="12"/>
      <c r="AE9" s="10"/>
      <c r="AF9" s="10"/>
      <c r="AG9" s="10"/>
      <c r="AH9" s="10"/>
      <c r="AI9" s="10"/>
      <c r="AJ9" s="10"/>
      <c r="AK9" s="10"/>
      <c r="AL9" s="10"/>
      <c r="AM9" s="10"/>
      <c r="AN9" s="18"/>
      <c r="AO9" s="18"/>
      <c r="AP9" s="18"/>
      <c r="AQ9" s="18"/>
      <c r="AR9" s="18"/>
      <c r="AS9" s="18"/>
      <c r="AT9" s="18"/>
      <c r="AU9" s="18"/>
      <c r="AV9" s="18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60" s="16" customFormat="1" ht="18.75" thickBot="1">
      <c r="A10" s="10"/>
      <c r="B10" s="3" t="s">
        <v>98</v>
      </c>
      <c r="C10" s="85"/>
      <c r="D10" s="85"/>
      <c r="E10" s="85"/>
      <c r="F10" s="85"/>
      <c r="G10" s="777">
        <v>50</v>
      </c>
      <c r="H10" s="85"/>
      <c r="I10" s="1108" t="s">
        <v>47</v>
      </c>
      <c r="J10" s="1109"/>
      <c r="K10" s="1109"/>
      <c r="L10" s="778"/>
      <c r="M10" s="1110">
        <f>M8-M9</f>
        <v>0</v>
      </c>
      <c r="N10" s="1110"/>
      <c r="O10" s="1111"/>
      <c r="P10" s="3"/>
      <c r="Q10" s="12"/>
      <c r="R10" s="149">
        <v>35</v>
      </c>
      <c r="S10" s="150" t="s">
        <v>112</v>
      </c>
      <c r="T10" s="150">
        <v>99</v>
      </c>
      <c r="U10" s="150" t="s">
        <v>23</v>
      </c>
      <c r="V10" s="151">
        <v>95</v>
      </c>
      <c r="W10" s="10"/>
      <c r="X10" s="10"/>
      <c r="Y10" s="18"/>
      <c r="Z10" s="12"/>
      <c r="AA10" s="12"/>
      <c r="AB10" s="12"/>
      <c r="AC10" s="12"/>
      <c r="AD10" s="12"/>
      <c r="AE10" s="10"/>
      <c r="AF10" s="10"/>
      <c r="AG10" s="10"/>
      <c r="AH10" s="10"/>
      <c r="AI10" s="10"/>
      <c r="AJ10" s="10"/>
      <c r="AK10" s="10"/>
      <c r="AL10" s="10"/>
      <c r="AM10" s="10"/>
      <c r="AN10" s="18"/>
      <c r="AO10" s="18"/>
      <c r="AP10" s="18"/>
      <c r="AQ10" s="18"/>
      <c r="AR10" s="18"/>
      <c r="AS10" s="18"/>
      <c r="AT10" s="18"/>
      <c r="AU10" s="18"/>
      <c r="AV10" s="18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1:60" s="16" customFormat="1" ht="18.75" thickBot="1">
      <c r="A11" s="10"/>
      <c r="B11" s="3"/>
      <c r="C11" s="85"/>
      <c r="D11" s="85"/>
      <c r="E11" s="85"/>
      <c r="F11" s="85"/>
      <c r="G11" s="85"/>
      <c r="H11" s="85"/>
      <c r="I11" s="1118" t="s">
        <v>48</v>
      </c>
      <c r="J11" s="1119"/>
      <c r="K11" s="1119"/>
      <c r="L11" s="780">
        <v>0.15</v>
      </c>
      <c r="M11" s="1120">
        <f>M10*L11</f>
        <v>0</v>
      </c>
      <c r="N11" s="1120"/>
      <c r="O11" s="1121"/>
      <c r="P11" s="3"/>
      <c r="Q11" s="12"/>
      <c r="R11" s="10"/>
      <c r="S11" s="10"/>
      <c r="T11" s="10"/>
      <c r="U11" s="10"/>
      <c r="V11" s="13"/>
      <c r="W11" s="13"/>
      <c r="X11" s="13"/>
      <c r="Y11" s="18"/>
      <c r="Z11" s="12"/>
      <c r="AA11" s="12"/>
      <c r="AB11" s="12"/>
      <c r="AC11" s="12"/>
      <c r="AD11" s="12"/>
      <c r="AE11" s="10"/>
      <c r="AF11" s="10"/>
      <c r="AG11" s="10"/>
      <c r="AH11" s="10"/>
      <c r="AI11" s="10"/>
      <c r="AJ11" s="10"/>
      <c r="AK11" s="10"/>
      <c r="AL11" s="10"/>
      <c r="AM11" s="10"/>
      <c r="AN11" s="18"/>
      <c r="AO11" s="18"/>
      <c r="AP11" s="18"/>
      <c r="AQ11" s="18"/>
      <c r="AR11" s="18"/>
      <c r="AS11" s="18"/>
      <c r="AT11" s="18"/>
      <c r="AU11" s="18"/>
      <c r="AV11" s="18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16" customFormat="1" ht="20.25" thickBot="1">
      <c r="A12" s="10"/>
      <c r="B12" s="21"/>
      <c r="C12" s="11"/>
      <c r="D12" s="11"/>
      <c r="E12" s="11"/>
      <c r="F12" s="11"/>
      <c r="G12" s="11"/>
      <c r="H12" s="11"/>
      <c r="I12" s="1108" t="s">
        <v>49</v>
      </c>
      <c r="J12" s="1109"/>
      <c r="K12" s="1109"/>
      <c r="L12" s="776"/>
      <c r="M12" s="1122">
        <f>M10-M11</f>
        <v>0</v>
      </c>
      <c r="N12" s="1122"/>
      <c r="O12" s="1123"/>
      <c r="P12" s="10"/>
      <c r="Q12" s="89"/>
      <c r="R12" s="10"/>
      <c r="S12" s="10"/>
      <c r="T12" s="10"/>
      <c r="U12" s="10"/>
      <c r="V12" s="13"/>
      <c r="W12" s="13"/>
      <c r="X12" s="13"/>
      <c r="Y12" s="18"/>
      <c r="Z12" s="12"/>
      <c r="AA12" s="12"/>
      <c r="AB12" s="12"/>
      <c r="AC12" s="12"/>
      <c r="AD12" s="12"/>
      <c r="AE12" s="10"/>
      <c r="AF12" s="10"/>
      <c r="AG12" s="10"/>
      <c r="AH12" s="10"/>
      <c r="AI12" s="10"/>
      <c r="AJ12" s="10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spans="1:60" s="1" customFormat="1" ht="15.75" thickBot="1">
      <c r="A13" s="2"/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"/>
      <c r="BE13" s="2"/>
      <c r="BF13" s="2"/>
      <c r="BG13" s="2"/>
      <c r="BH13" s="2"/>
    </row>
    <row r="14" spans="1:60" s="25" customFormat="1" ht="15.75">
      <c r="A14" s="751" t="s">
        <v>8</v>
      </c>
      <c r="B14" s="1124" t="s">
        <v>9</v>
      </c>
      <c r="C14" s="1125"/>
      <c r="D14" s="1125"/>
      <c r="E14" s="1126"/>
      <c r="F14" s="1127" t="s">
        <v>10</v>
      </c>
      <c r="G14" s="1128"/>
      <c r="H14" s="1128"/>
      <c r="I14" s="1129"/>
      <c r="J14" s="1127" t="s">
        <v>11</v>
      </c>
      <c r="K14" s="1128"/>
      <c r="L14" s="1128"/>
      <c r="M14" s="1129"/>
      <c r="N14" s="1130" t="s">
        <v>50</v>
      </c>
      <c r="O14" s="1125"/>
      <c r="P14" s="1125"/>
      <c r="Q14" s="1125"/>
      <c r="R14" s="1125"/>
      <c r="S14" s="1125"/>
      <c r="T14" s="1131"/>
      <c r="U14" s="1124" t="s">
        <v>51</v>
      </c>
      <c r="V14" s="1125"/>
      <c r="W14" s="1125"/>
      <c r="X14" s="1125"/>
      <c r="Y14" s="1125"/>
      <c r="Z14" s="1125"/>
      <c r="AA14" s="1126"/>
      <c r="AB14" s="1124" t="s">
        <v>52</v>
      </c>
      <c r="AC14" s="1125"/>
      <c r="AD14" s="1125"/>
      <c r="AE14" s="1125"/>
      <c r="AF14" s="1125"/>
      <c r="AG14" s="1125"/>
      <c r="AH14" s="1126"/>
      <c r="AI14" s="1124" t="s">
        <v>12</v>
      </c>
      <c r="AJ14" s="1125"/>
      <c r="AK14" s="1125"/>
      <c r="AL14" s="1125"/>
      <c r="AM14" s="1125"/>
      <c r="AN14" s="1125"/>
      <c r="AO14" s="1126"/>
      <c r="AP14" s="1124" t="s">
        <v>13</v>
      </c>
      <c r="AQ14" s="1125"/>
      <c r="AR14" s="1125"/>
      <c r="AS14" s="1125"/>
      <c r="AT14" s="1125"/>
      <c r="AU14" s="1125"/>
      <c r="AV14" s="1126"/>
      <c r="AW14" s="1130" t="s">
        <v>14</v>
      </c>
      <c r="AX14" s="1125"/>
      <c r="AY14" s="1125"/>
      <c r="AZ14" s="1125"/>
      <c r="BA14" s="1125"/>
      <c r="BB14" s="1125"/>
      <c r="BC14" s="1126"/>
      <c r="BD14" s="3"/>
      <c r="BE14" s="3"/>
      <c r="BF14" s="3"/>
      <c r="BG14" s="3"/>
      <c r="BH14" s="3"/>
    </row>
    <row r="15" spans="1:60" s="35" customFormat="1">
      <c r="A15" s="752"/>
      <c r="B15" s="757"/>
      <c r="C15" s="642" t="s">
        <v>15</v>
      </c>
      <c r="D15" s="642" t="s">
        <v>15</v>
      </c>
      <c r="E15" s="758" t="s">
        <v>15</v>
      </c>
      <c r="F15" s="767"/>
      <c r="G15" s="642" t="s">
        <v>15</v>
      </c>
      <c r="H15" s="642" t="s">
        <v>15</v>
      </c>
      <c r="I15" s="758" t="s">
        <v>15</v>
      </c>
      <c r="J15" s="767"/>
      <c r="K15" s="642" t="s">
        <v>15</v>
      </c>
      <c r="L15" s="642" t="s">
        <v>15</v>
      </c>
      <c r="M15" s="758" t="s">
        <v>15</v>
      </c>
      <c r="N15" s="639" t="s">
        <v>16</v>
      </c>
      <c r="O15" s="638" t="s">
        <v>17</v>
      </c>
      <c r="P15" s="638" t="s">
        <v>18</v>
      </c>
      <c r="Q15" s="638" t="s">
        <v>19</v>
      </c>
      <c r="R15" s="638" t="s">
        <v>20</v>
      </c>
      <c r="S15" s="638" t="s">
        <v>0</v>
      </c>
      <c r="T15" s="771" t="s">
        <v>21</v>
      </c>
      <c r="U15" s="757" t="s">
        <v>16</v>
      </c>
      <c r="V15" s="638" t="s">
        <v>17</v>
      </c>
      <c r="W15" s="638" t="s">
        <v>18</v>
      </c>
      <c r="X15" s="638" t="s">
        <v>19</v>
      </c>
      <c r="Y15" s="638" t="s">
        <v>20</v>
      </c>
      <c r="Z15" s="638" t="s">
        <v>0</v>
      </c>
      <c r="AA15" s="741" t="s">
        <v>21</v>
      </c>
      <c r="AB15" s="757" t="s">
        <v>16</v>
      </c>
      <c r="AC15" s="638" t="s">
        <v>17</v>
      </c>
      <c r="AD15" s="638" t="s">
        <v>18</v>
      </c>
      <c r="AE15" s="638" t="s">
        <v>19</v>
      </c>
      <c r="AF15" s="638" t="s">
        <v>20</v>
      </c>
      <c r="AG15" s="638" t="s">
        <v>0</v>
      </c>
      <c r="AH15" s="741" t="s">
        <v>21</v>
      </c>
      <c r="AI15" s="757" t="s">
        <v>16</v>
      </c>
      <c r="AJ15" s="638" t="s">
        <v>17</v>
      </c>
      <c r="AK15" s="638" t="s">
        <v>18</v>
      </c>
      <c r="AL15" s="638" t="s">
        <v>19</v>
      </c>
      <c r="AM15" s="638" t="s">
        <v>20</v>
      </c>
      <c r="AN15" s="638" t="s">
        <v>0</v>
      </c>
      <c r="AO15" s="741" t="s">
        <v>21</v>
      </c>
      <c r="AP15" s="757" t="s">
        <v>16</v>
      </c>
      <c r="AQ15" s="638" t="s">
        <v>17</v>
      </c>
      <c r="AR15" s="638" t="s">
        <v>18</v>
      </c>
      <c r="AS15" s="638" t="s">
        <v>19</v>
      </c>
      <c r="AT15" s="638" t="s">
        <v>20</v>
      </c>
      <c r="AU15" s="638" t="s">
        <v>0</v>
      </c>
      <c r="AV15" s="741" t="s">
        <v>21</v>
      </c>
      <c r="AW15" s="639" t="s">
        <v>16</v>
      </c>
      <c r="AX15" s="638" t="s">
        <v>17</v>
      </c>
      <c r="AY15" s="638" t="s">
        <v>18</v>
      </c>
      <c r="AZ15" s="638" t="s">
        <v>19</v>
      </c>
      <c r="BA15" s="638" t="s">
        <v>20</v>
      </c>
      <c r="BB15" s="638" t="s">
        <v>0</v>
      </c>
      <c r="BC15" s="741" t="s">
        <v>21</v>
      </c>
      <c r="BD15" s="4"/>
      <c r="BE15" s="4"/>
      <c r="BF15" s="4"/>
      <c r="BG15" s="4"/>
      <c r="BH15" s="4"/>
    </row>
    <row r="16" spans="1:60" s="35" customFormat="1" ht="15.75" thickBot="1">
      <c r="A16" s="753"/>
      <c r="B16" s="759" t="s">
        <v>22</v>
      </c>
      <c r="C16" s="747" t="s">
        <v>23</v>
      </c>
      <c r="D16" s="747" t="s">
        <v>24</v>
      </c>
      <c r="E16" s="760" t="s">
        <v>25</v>
      </c>
      <c r="F16" s="768" t="s">
        <v>22</v>
      </c>
      <c r="G16" s="747" t="s">
        <v>23</v>
      </c>
      <c r="H16" s="747" t="s">
        <v>24</v>
      </c>
      <c r="I16" s="760" t="s">
        <v>25</v>
      </c>
      <c r="J16" s="768" t="s">
        <v>22</v>
      </c>
      <c r="K16" s="747" t="s">
        <v>23</v>
      </c>
      <c r="L16" s="747" t="s">
        <v>24</v>
      </c>
      <c r="M16" s="760" t="s">
        <v>25</v>
      </c>
      <c r="N16" s="749" t="str">
        <f>IF(BE6=1,1,"")</f>
        <v/>
      </c>
      <c r="O16" s="747" t="str">
        <f>IF($BE6=2,1,IF($BE6=1,2,""))</f>
        <v/>
      </c>
      <c r="P16" s="748" t="str">
        <f>IF($BE6=3,1,IF($BE6=2,2,IF(BE6=1,3,"")))</f>
        <v/>
      </c>
      <c r="Q16" s="747" t="str">
        <f>IF($BE6=4,1,IF($BE6=3,2,IF(BE6=2,3,IF(BE6=1,4,""))))</f>
        <v/>
      </c>
      <c r="R16" s="748" t="str">
        <f>IF($BE6=5,1,IF($BE6=4,2,IF(BE6=3,3,IF(BE6=2,4,IF(BE6=1,5,"")))))</f>
        <v/>
      </c>
      <c r="S16" s="747"/>
      <c r="T16" s="772"/>
      <c r="U16" s="768"/>
      <c r="V16" s="747"/>
      <c r="W16" s="748"/>
      <c r="X16" s="747"/>
      <c r="Y16" s="748"/>
      <c r="Z16" s="747"/>
      <c r="AA16" s="750"/>
      <c r="AB16" s="768"/>
      <c r="AC16" s="747"/>
      <c r="AD16" s="748"/>
      <c r="AE16" s="747"/>
      <c r="AF16" s="748"/>
      <c r="AG16" s="747"/>
      <c r="AH16" s="750"/>
      <c r="AI16" s="768"/>
      <c r="AJ16" s="747"/>
      <c r="AK16" s="748"/>
      <c r="AL16" s="747"/>
      <c r="AM16" s="748"/>
      <c r="AN16" s="747"/>
      <c r="AO16" s="750"/>
      <c r="AP16" s="768"/>
      <c r="AQ16" s="747"/>
      <c r="AR16" s="748"/>
      <c r="AS16" s="747"/>
      <c r="AT16" s="748"/>
      <c r="AU16" s="747"/>
      <c r="AV16" s="750"/>
      <c r="AW16" s="749"/>
      <c r="AX16" s="747"/>
      <c r="AY16" s="748"/>
      <c r="AZ16" s="747"/>
      <c r="BA16" s="748"/>
      <c r="BB16" s="747"/>
      <c r="BC16" s="750"/>
      <c r="BD16" s="4"/>
      <c r="BE16" s="4"/>
      <c r="BF16" s="4"/>
      <c r="BG16" s="4"/>
      <c r="BH16" s="4"/>
    </row>
    <row r="17" spans="1:60" s="35" customFormat="1" ht="15.75">
      <c r="A17" s="754" t="s">
        <v>120</v>
      </c>
      <c r="B17" s="761">
        <f t="shared" ref="B17:B40" si="0">SUM(N17:R17,U17:Y17,AB17:AF17,AI17:AM17,AP17:AT17,AW17:BA17)</f>
        <v>0</v>
      </c>
      <c r="C17" s="622">
        <f>'Preise BOLLERWAGEN'!B13</f>
        <v>0</v>
      </c>
      <c r="D17" s="625">
        <f t="shared" ref="D17:D40" si="1">IF(AND($G$9&gt;=$R$9,$G$9&lt;=$T$9),C17*$G$9*$V$9/100,IF(AND($G$9&gt;=$R$8,$G$9&lt;=$T$8),C17*$G$9*$V$8/100,IF(AND($G$9&gt;=$R$7,$G$9&lt;=$T$7),C17*$G$9*$V$7/100,IF($G$9&gt;=$R$10,C17*$G$9*$V$10/100))))</f>
        <v>0</v>
      </c>
      <c r="E17" s="762">
        <f t="shared" ref="E17:E40" si="2">B17*D17*(100+$G$10)/100</f>
        <v>0</v>
      </c>
      <c r="F17" s="761">
        <f t="shared" ref="F17:F40" si="3">SUM(S17,Z17,AG17,AN17,AU17,BB17)</f>
        <v>0</v>
      </c>
      <c r="G17" s="622">
        <f>'Preise BOLLERWAGEN'!D13</f>
        <v>0</v>
      </c>
      <c r="H17" s="621">
        <f t="shared" ref="H17:H40" si="4">IF(AND($G$9&gt;=$R$9,$G$9&lt;=$T$9),G17*$G$9*$V$9/100,IF(AND($G$9&gt;=$R$8,$G$9&lt;=$T$8),G17*$G$9*$V$8/100,IF(AND($G$9&gt;=$R$7,$G$9&lt;=$T$7),G17*$G$9*$V$7/100,IF($G$9&gt;=$R$10,G17*$G$9*$V$10/100))))</f>
        <v>0</v>
      </c>
      <c r="I17" s="762">
        <f t="shared" ref="I17:I40" si="5">F17*H17*(100+$G$10)/100</f>
        <v>0</v>
      </c>
      <c r="J17" s="761">
        <f t="shared" ref="J17:J40" si="6">SUM(T17,AA17,AH17,AO17,AV17,BC17)</f>
        <v>0</v>
      </c>
      <c r="K17" s="622">
        <f>'Preise BOLLERWAGEN'!F13</f>
        <v>0</v>
      </c>
      <c r="L17" s="621">
        <f t="shared" ref="L17:L40" si="7">IF(AND($G$9&gt;=$R$9,$G$9&lt;=$T$9),K17*$G$9*$V$9/100,IF(AND($G$9&gt;=$R$8,$G$9&lt;=$T$8),K17*$G$9*$V$8/100,IF(AND($G$9&gt;=$R$7,$G$9&lt;=$T$7),K17*$G$9*$V$7/100,IF($G$9&gt;=$R$10,K17*$G$9*$V$10/100))))</f>
        <v>0</v>
      </c>
      <c r="M17" s="762">
        <f t="shared" ref="M17:M40" si="8">J17*L17*(100+$G$10)/100</f>
        <v>0</v>
      </c>
      <c r="N17" s="781"/>
      <c r="O17" s="782"/>
      <c r="P17" s="782"/>
      <c r="Q17" s="782"/>
      <c r="R17" s="782"/>
      <c r="S17" s="782"/>
      <c r="T17" s="783"/>
      <c r="U17" s="784"/>
      <c r="V17" s="782"/>
      <c r="W17" s="782"/>
      <c r="X17" s="782"/>
      <c r="Y17" s="782"/>
      <c r="Z17" s="782"/>
      <c r="AA17" s="785"/>
      <c r="AB17" s="784"/>
      <c r="AC17" s="782"/>
      <c r="AD17" s="782"/>
      <c r="AE17" s="782"/>
      <c r="AF17" s="782"/>
      <c r="AG17" s="782"/>
      <c r="AH17" s="785"/>
      <c r="AI17" s="784"/>
      <c r="AJ17" s="782"/>
      <c r="AK17" s="782"/>
      <c r="AL17" s="782"/>
      <c r="AM17" s="782"/>
      <c r="AN17" s="782"/>
      <c r="AO17" s="785"/>
      <c r="AP17" s="784"/>
      <c r="AQ17" s="782"/>
      <c r="AR17" s="782"/>
      <c r="AS17" s="782"/>
      <c r="AT17" s="782"/>
      <c r="AU17" s="782"/>
      <c r="AV17" s="785"/>
      <c r="AW17" s="781"/>
      <c r="AX17" s="782"/>
      <c r="AY17" s="782"/>
      <c r="AZ17" s="782"/>
      <c r="BA17" s="782"/>
      <c r="BB17" s="782"/>
      <c r="BC17" s="785"/>
      <c r="BD17" s="4"/>
      <c r="BE17" s="4"/>
      <c r="BF17" s="4"/>
      <c r="BG17" s="4"/>
      <c r="BH17" s="4"/>
    </row>
    <row r="18" spans="1:60" s="35" customFormat="1" ht="15.75">
      <c r="A18" s="755" t="s">
        <v>119</v>
      </c>
      <c r="B18" s="763">
        <f t="shared" si="0"/>
        <v>0</v>
      </c>
      <c r="C18" s="622">
        <f>'Preise BOLLERWAGEN'!B14</f>
        <v>0</v>
      </c>
      <c r="D18" s="612">
        <f t="shared" si="1"/>
        <v>0</v>
      </c>
      <c r="E18" s="764">
        <f t="shared" si="2"/>
        <v>0</v>
      </c>
      <c r="F18" s="763">
        <f t="shared" si="3"/>
        <v>0</v>
      </c>
      <c r="G18" s="622">
        <f>'Preise BOLLERWAGEN'!D14</f>
        <v>0</v>
      </c>
      <c r="H18" s="609">
        <f t="shared" si="4"/>
        <v>0</v>
      </c>
      <c r="I18" s="764">
        <f t="shared" si="5"/>
        <v>0</v>
      </c>
      <c r="J18" s="763">
        <f t="shared" si="6"/>
        <v>0</v>
      </c>
      <c r="K18" s="622">
        <f>'Preise BOLLERWAGEN'!F14</f>
        <v>0</v>
      </c>
      <c r="L18" s="609">
        <f t="shared" si="7"/>
        <v>0</v>
      </c>
      <c r="M18" s="764">
        <f t="shared" si="8"/>
        <v>0</v>
      </c>
      <c r="N18" s="786"/>
      <c r="O18" s="787"/>
      <c r="P18" s="787"/>
      <c r="Q18" s="787"/>
      <c r="R18" s="787"/>
      <c r="S18" s="787"/>
      <c r="T18" s="788"/>
      <c r="U18" s="789"/>
      <c r="V18" s="787"/>
      <c r="W18" s="787"/>
      <c r="X18" s="787"/>
      <c r="Y18" s="787"/>
      <c r="Z18" s="787"/>
      <c r="AA18" s="790"/>
      <c r="AB18" s="789"/>
      <c r="AC18" s="787"/>
      <c r="AD18" s="787"/>
      <c r="AE18" s="787"/>
      <c r="AF18" s="787"/>
      <c r="AG18" s="787"/>
      <c r="AH18" s="790"/>
      <c r="AI18" s="789"/>
      <c r="AJ18" s="787"/>
      <c r="AK18" s="787"/>
      <c r="AL18" s="787"/>
      <c r="AM18" s="787"/>
      <c r="AN18" s="787"/>
      <c r="AO18" s="790"/>
      <c r="AP18" s="789"/>
      <c r="AQ18" s="787"/>
      <c r="AR18" s="787"/>
      <c r="AS18" s="787"/>
      <c r="AT18" s="787"/>
      <c r="AU18" s="787"/>
      <c r="AV18" s="790"/>
      <c r="AW18" s="786"/>
      <c r="AX18" s="787"/>
      <c r="AY18" s="787"/>
      <c r="AZ18" s="787"/>
      <c r="BA18" s="787"/>
      <c r="BB18" s="787"/>
      <c r="BC18" s="790"/>
      <c r="BD18" s="4"/>
      <c r="BE18" s="4"/>
      <c r="BF18" s="4"/>
      <c r="BG18" s="4"/>
      <c r="BH18" s="4"/>
    </row>
    <row r="19" spans="1:60" s="35" customFormat="1" ht="15.75">
      <c r="A19" s="755" t="s">
        <v>118</v>
      </c>
      <c r="B19" s="763">
        <f t="shared" si="0"/>
        <v>0</v>
      </c>
      <c r="C19" s="622">
        <f>'Preise BOLLERWAGEN'!B15</f>
        <v>0</v>
      </c>
      <c r="D19" s="612">
        <f t="shared" si="1"/>
        <v>0</v>
      </c>
      <c r="E19" s="764">
        <f t="shared" si="2"/>
        <v>0</v>
      </c>
      <c r="F19" s="763">
        <f t="shared" si="3"/>
        <v>0</v>
      </c>
      <c r="G19" s="622">
        <f>'Preise BOLLERWAGEN'!D15</f>
        <v>0</v>
      </c>
      <c r="H19" s="609">
        <f t="shared" si="4"/>
        <v>0</v>
      </c>
      <c r="I19" s="764">
        <f t="shared" si="5"/>
        <v>0</v>
      </c>
      <c r="J19" s="763">
        <f t="shared" si="6"/>
        <v>0</v>
      </c>
      <c r="K19" s="622">
        <f>'Preise BOLLERWAGEN'!F15</f>
        <v>0</v>
      </c>
      <c r="L19" s="609">
        <f t="shared" si="7"/>
        <v>0</v>
      </c>
      <c r="M19" s="764">
        <f t="shared" si="8"/>
        <v>0</v>
      </c>
      <c r="N19" s="786"/>
      <c r="O19" s="787"/>
      <c r="P19" s="787"/>
      <c r="Q19" s="787"/>
      <c r="R19" s="787"/>
      <c r="S19" s="787"/>
      <c r="T19" s="788"/>
      <c r="U19" s="789"/>
      <c r="V19" s="787"/>
      <c r="W19" s="787"/>
      <c r="X19" s="787"/>
      <c r="Y19" s="787"/>
      <c r="Z19" s="787"/>
      <c r="AA19" s="790"/>
      <c r="AB19" s="789"/>
      <c r="AC19" s="787"/>
      <c r="AD19" s="787"/>
      <c r="AE19" s="787"/>
      <c r="AF19" s="787"/>
      <c r="AG19" s="787"/>
      <c r="AH19" s="790"/>
      <c r="AI19" s="789"/>
      <c r="AJ19" s="787"/>
      <c r="AK19" s="787"/>
      <c r="AL19" s="787"/>
      <c r="AM19" s="787"/>
      <c r="AN19" s="787"/>
      <c r="AO19" s="790"/>
      <c r="AP19" s="789"/>
      <c r="AQ19" s="787"/>
      <c r="AR19" s="787"/>
      <c r="AS19" s="787"/>
      <c r="AT19" s="787"/>
      <c r="AU19" s="787"/>
      <c r="AV19" s="790"/>
      <c r="AW19" s="786"/>
      <c r="AX19" s="787"/>
      <c r="AY19" s="787"/>
      <c r="AZ19" s="787"/>
      <c r="BA19" s="787"/>
      <c r="BB19" s="787"/>
      <c r="BC19" s="790"/>
      <c r="BD19" s="4"/>
      <c r="BE19" s="4"/>
      <c r="BF19" s="4"/>
      <c r="BG19" s="4"/>
      <c r="BH19" s="4"/>
    </row>
    <row r="20" spans="1:60" s="35" customFormat="1" ht="15.75">
      <c r="A20" s="755" t="s">
        <v>117</v>
      </c>
      <c r="B20" s="763">
        <f t="shared" si="0"/>
        <v>0</v>
      </c>
      <c r="C20" s="622">
        <f>'Preise BOLLERWAGEN'!B16</f>
        <v>0</v>
      </c>
      <c r="D20" s="612">
        <f t="shared" si="1"/>
        <v>0</v>
      </c>
      <c r="E20" s="764">
        <f t="shared" si="2"/>
        <v>0</v>
      </c>
      <c r="F20" s="763">
        <f t="shared" si="3"/>
        <v>0</v>
      </c>
      <c r="G20" s="622">
        <f>'Preise BOLLERWAGEN'!D16</f>
        <v>0</v>
      </c>
      <c r="H20" s="609">
        <f t="shared" si="4"/>
        <v>0</v>
      </c>
      <c r="I20" s="764">
        <f t="shared" si="5"/>
        <v>0</v>
      </c>
      <c r="J20" s="763">
        <f t="shared" si="6"/>
        <v>0</v>
      </c>
      <c r="K20" s="622">
        <f>'Preise BOLLERWAGEN'!F16</f>
        <v>0</v>
      </c>
      <c r="L20" s="609">
        <f t="shared" si="7"/>
        <v>0</v>
      </c>
      <c r="M20" s="764">
        <f t="shared" si="8"/>
        <v>0</v>
      </c>
      <c r="N20" s="786"/>
      <c r="O20" s="787"/>
      <c r="P20" s="787"/>
      <c r="Q20" s="787"/>
      <c r="R20" s="787"/>
      <c r="S20" s="787"/>
      <c r="T20" s="788"/>
      <c r="U20" s="789"/>
      <c r="V20" s="787"/>
      <c r="W20" s="787"/>
      <c r="X20" s="787"/>
      <c r="Y20" s="787"/>
      <c r="Z20" s="787"/>
      <c r="AA20" s="790"/>
      <c r="AB20" s="789"/>
      <c r="AC20" s="787"/>
      <c r="AD20" s="787"/>
      <c r="AE20" s="787"/>
      <c r="AF20" s="787"/>
      <c r="AG20" s="787"/>
      <c r="AH20" s="790"/>
      <c r="AI20" s="789"/>
      <c r="AJ20" s="787"/>
      <c r="AK20" s="787"/>
      <c r="AL20" s="787"/>
      <c r="AM20" s="787"/>
      <c r="AN20" s="787"/>
      <c r="AO20" s="790"/>
      <c r="AP20" s="789"/>
      <c r="AQ20" s="787"/>
      <c r="AR20" s="787"/>
      <c r="AS20" s="787"/>
      <c r="AT20" s="787"/>
      <c r="AU20" s="787"/>
      <c r="AV20" s="790"/>
      <c r="AW20" s="786"/>
      <c r="AX20" s="787"/>
      <c r="AY20" s="787"/>
      <c r="AZ20" s="787"/>
      <c r="BA20" s="787"/>
      <c r="BB20" s="787"/>
      <c r="BC20" s="790"/>
      <c r="BD20" s="4"/>
      <c r="BE20" s="4"/>
      <c r="BF20" s="4"/>
      <c r="BG20" s="4"/>
      <c r="BH20" s="4"/>
    </row>
    <row r="21" spans="1:60" s="35" customFormat="1" ht="15.75">
      <c r="A21" s="755" t="s">
        <v>116</v>
      </c>
      <c r="B21" s="763">
        <f t="shared" si="0"/>
        <v>0</v>
      </c>
      <c r="C21" s="622">
        <f>'Preise BOLLERWAGEN'!B17</f>
        <v>0</v>
      </c>
      <c r="D21" s="612">
        <f t="shared" si="1"/>
        <v>0</v>
      </c>
      <c r="E21" s="764">
        <f t="shared" si="2"/>
        <v>0</v>
      </c>
      <c r="F21" s="763">
        <f t="shared" si="3"/>
        <v>0</v>
      </c>
      <c r="G21" s="622">
        <f>'Preise BOLLERWAGEN'!D17</f>
        <v>0</v>
      </c>
      <c r="H21" s="609">
        <f t="shared" si="4"/>
        <v>0</v>
      </c>
      <c r="I21" s="764">
        <f t="shared" si="5"/>
        <v>0</v>
      </c>
      <c r="J21" s="763">
        <f t="shared" si="6"/>
        <v>0</v>
      </c>
      <c r="K21" s="622">
        <f>'Preise BOLLERWAGEN'!F17</f>
        <v>0</v>
      </c>
      <c r="L21" s="609">
        <f t="shared" si="7"/>
        <v>0</v>
      </c>
      <c r="M21" s="764">
        <f t="shared" si="8"/>
        <v>0</v>
      </c>
      <c r="N21" s="786"/>
      <c r="O21" s="787"/>
      <c r="P21" s="787"/>
      <c r="Q21" s="787"/>
      <c r="R21" s="787"/>
      <c r="S21" s="787"/>
      <c r="T21" s="788"/>
      <c r="U21" s="789"/>
      <c r="V21" s="787"/>
      <c r="W21" s="787"/>
      <c r="X21" s="787"/>
      <c r="Y21" s="787"/>
      <c r="Z21" s="787"/>
      <c r="AA21" s="790"/>
      <c r="AB21" s="789"/>
      <c r="AC21" s="787"/>
      <c r="AD21" s="787"/>
      <c r="AE21" s="787"/>
      <c r="AF21" s="787"/>
      <c r="AG21" s="787"/>
      <c r="AH21" s="790"/>
      <c r="AI21" s="789"/>
      <c r="AJ21" s="787"/>
      <c r="AK21" s="787"/>
      <c r="AL21" s="787"/>
      <c r="AM21" s="787"/>
      <c r="AN21" s="787"/>
      <c r="AO21" s="790"/>
      <c r="AP21" s="789"/>
      <c r="AQ21" s="787"/>
      <c r="AR21" s="787"/>
      <c r="AS21" s="787"/>
      <c r="AT21" s="787"/>
      <c r="AU21" s="787"/>
      <c r="AV21" s="790"/>
      <c r="AW21" s="786"/>
      <c r="AX21" s="787"/>
      <c r="AY21" s="787"/>
      <c r="AZ21" s="787"/>
      <c r="BA21" s="787"/>
      <c r="BB21" s="787"/>
      <c r="BC21" s="790"/>
      <c r="BD21" s="4"/>
      <c r="BE21" s="4"/>
      <c r="BF21" s="4"/>
      <c r="BG21" s="4"/>
      <c r="BH21" s="4"/>
    </row>
    <row r="22" spans="1:60" s="1" customFormat="1" ht="15.75">
      <c r="A22" s="755" t="s">
        <v>26</v>
      </c>
      <c r="B22" s="763">
        <f t="shared" si="0"/>
        <v>0</v>
      </c>
      <c r="C22" s="622">
        <f>'Preise BOLLERWAGEN'!B18</f>
        <v>2</v>
      </c>
      <c r="D22" s="612">
        <f t="shared" si="1"/>
        <v>22</v>
      </c>
      <c r="E22" s="764">
        <f t="shared" si="2"/>
        <v>0</v>
      </c>
      <c r="F22" s="763">
        <f t="shared" si="3"/>
        <v>0</v>
      </c>
      <c r="G22" s="622">
        <f>'Preise BOLLERWAGEN'!D18</f>
        <v>2</v>
      </c>
      <c r="H22" s="609">
        <f t="shared" si="4"/>
        <v>22</v>
      </c>
      <c r="I22" s="764">
        <f t="shared" si="5"/>
        <v>0</v>
      </c>
      <c r="J22" s="763">
        <f t="shared" si="6"/>
        <v>0</v>
      </c>
      <c r="K22" s="622">
        <f>'Preise BOLLERWAGEN'!F18</f>
        <v>2</v>
      </c>
      <c r="L22" s="609">
        <f t="shared" si="7"/>
        <v>22</v>
      </c>
      <c r="M22" s="764">
        <f t="shared" si="8"/>
        <v>0</v>
      </c>
      <c r="N22" s="606"/>
      <c r="O22" s="605"/>
      <c r="P22" s="605"/>
      <c r="Q22" s="605"/>
      <c r="R22" s="605"/>
      <c r="S22" s="604"/>
      <c r="T22" s="773"/>
      <c r="U22" s="769"/>
      <c r="V22" s="605"/>
      <c r="W22" s="605"/>
      <c r="X22" s="605"/>
      <c r="Y22" s="605"/>
      <c r="Z22" s="604"/>
      <c r="AA22" s="742"/>
      <c r="AB22" s="769"/>
      <c r="AC22" s="605"/>
      <c r="AD22" s="605"/>
      <c r="AE22" s="605"/>
      <c r="AF22" s="605"/>
      <c r="AG22" s="604"/>
      <c r="AH22" s="742"/>
      <c r="AI22" s="769"/>
      <c r="AJ22" s="605"/>
      <c r="AK22" s="605"/>
      <c r="AL22" s="605"/>
      <c r="AM22" s="605"/>
      <c r="AN22" s="604"/>
      <c r="AO22" s="742"/>
      <c r="AP22" s="769"/>
      <c r="AQ22" s="605"/>
      <c r="AR22" s="605"/>
      <c r="AS22" s="605"/>
      <c r="AT22" s="605"/>
      <c r="AU22" s="604"/>
      <c r="AV22" s="742"/>
      <c r="AW22" s="606"/>
      <c r="AX22" s="605"/>
      <c r="AY22" s="605"/>
      <c r="AZ22" s="605"/>
      <c r="BA22" s="605"/>
      <c r="BB22" s="604"/>
      <c r="BC22" s="742"/>
      <c r="BD22" s="2"/>
      <c r="BE22" s="2"/>
      <c r="BF22" s="4">
        <f>IF($AJ7&lt;6000,0,0.025)</f>
        <v>0</v>
      </c>
      <c r="BG22" s="2"/>
      <c r="BH22" s="2"/>
    </row>
    <row r="23" spans="1:60" s="1" customFormat="1" ht="15.75">
      <c r="A23" s="755" t="s">
        <v>27</v>
      </c>
      <c r="B23" s="763">
        <f t="shared" si="0"/>
        <v>0</v>
      </c>
      <c r="C23" s="622">
        <f>'Preise BOLLERWAGEN'!B19</f>
        <v>2</v>
      </c>
      <c r="D23" s="612">
        <f t="shared" si="1"/>
        <v>22</v>
      </c>
      <c r="E23" s="764">
        <f t="shared" si="2"/>
        <v>0</v>
      </c>
      <c r="F23" s="763">
        <f t="shared" si="3"/>
        <v>0</v>
      </c>
      <c r="G23" s="622">
        <f>'Preise BOLLERWAGEN'!D19</f>
        <v>2</v>
      </c>
      <c r="H23" s="609">
        <f t="shared" si="4"/>
        <v>22</v>
      </c>
      <c r="I23" s="764">
        <f t="shared" si="5"/>
        <v>0</v>
      </c>
      <c r="J23" s="763">
        <f t="shared" si="6"/>
        <v>0</v>
      </c>
      <c r="K23" s="622">
        <f>'Preise BOLLERWAGEN'!F19</f>
        <v>2</v>
      </c>
      <c r="L23" s="609">
        <f t="shared" si="7"/>
        <v>22</v>
      </c>
      <c r="M23" s="764">
        <f t="shared" si="8"/>
        <v>0</v>
      </c>
      <c r="N23" s="606"/>
      <c r="O23" s="605"/>
      <c r="P23" s="605"/>
      <c r="Q23" s="605"/>
      <c r="R23" s="605"/>
      <c r="S23" s="604"/>
      <c r="T23" s="773"/>
      <c r="U23" s="769"/>
      <c r="V23" s="605"/>
      <c r="W23" s="605"/>
      <c r="X23" s="605"/>
      <c r="Y23" s="605"/>
      <c r="Z23" s="604"/>
      <c r="AA23" s="742"/>
      <c r="AB23" s="769"/>
      <c r="AC23" s="605"/>
      <c r="AD23" s="605"/>
      <c r="AE23" s="605"/>
      <c r="AF23" s="605"/>
      <c r="AG23" s="604"/>
      <c r="AH23" s="742"/>
      <c r="AI23" s="769"/>
      <c r="AJ23" s="605"/>
      <c r="AK23" s="605"/>
      <c r="AL23" s="605"/>
      <c r="AM23" s="605"/>
      <c r="AN23" s="604"/>
      <c r="AO23" s="742"/>
      <c r="AP23" s="769"/>
      <c r="AQ23" s="605"/>
      <c r="AR23" s="605"/>
      <c r="AS23" s="605"/>
      <c r="AT23" s="605"/>
      <c r="AU23" s="604"/>
      <c r="AV23" s="742"/>
      <c r="AW23" s="606"/>
      <c r="AX23" s="605"/>
      <c r="AY23" s="605"/>
      <c r="AZ23" s="605"/>
      <c r="BA23" s="605"/>
      <c r="BB23" s="604"/>
      <c r="BC23" s="742"/>
      <c r="BD23" s="2"/>
      <c r="BE23" s="2"/>
      <c r="BF23" s="4">
        <f>IF($AJ7&lt;9000,0,0.025)</f>
        <v>0</v>
      </c>
      <c r="BG23" s="2"/>
      <c r="BH23" s="2"/>
    </row>
    <row r="24" spans="1:60" s="1" customFormat="1" ht="15.75">
      <c r="A24" s="755" t="s">
        <v>28</v>
      </c>
      <c r="B24" s="763">
        <f t="shared" si="0"/>
        <v>0</v>
      </c>
      <c r="C24" s="622">
        <f>'Preise BOLLERWAGEN'!B20</f>
        <v>2</v>
      </c>
      <c r="D24" s="612">
        <f t="shared" si="1"/>
        <v>22</v>
      </c>
      <c r="E24" s="764">
        <f t="shared" si="2"/>
        <v>0</v>
      </c>
      <c r="F24" s="763">
        <f t="shared" si="3"/>
        <v>0</v>
      </c>
      <c r="G24" s="622">
        <f>'Preise BOLLERWAGEN'!D20</f>
        <v>2</v>
      </c>
      <c r="H24" s="609">
        <f t="shared" si="4"/>
        <v>22</v>
      </c>
      <c r="I24" s="764">
        <f t="shared" si="5"/>
        <v>0</v>
      </c>
      <c r="J24" s="763">
        <f t="shared" si="6"/>
        <v>0</v>
      </c>
      <c r="K24" s="622">
        <f>'Preise BOLLERWAGEN'!F20</f>
        <v>2</v>
      </c>
      <c r="L24" s="609">
        <f t="shared" si="7"/>
        <v>22</v>
      </c>
      <c r="M24" s="764">
        <f t="shared" si="8"/>
        <v>0</v>
      </c>
      <c r="N24" s="606"/>
      <c r="O24" s="605"/>
      <c r="P24" s="605"/>
      <c r="Q24" s="605"/>
      <c r="R24" s="605"/>
      <c r="S24" s="604"/>
      <c r="T24" s="773"/>
      <c r="U24" s="769"/>
      <c r="V24" s="605"/>
      <c r="W24" s="605"/>
      <c r="X24" s="605"/>
      <c r="Y24" s="605"/>
      <c r="Z24" s="604"/>
      <c r="AA24" s="742"/>
      <c r="AB24" s="769"/>
      <c r="AC24" s="605"/>
      <c r="AD24" s="605"/>
      <c r="AE24" s="605"/>
      <c r="AF24" s="605"/>
      <c r="AG24" s="604"/>
      <c r="AH24" s="742"/>
      <c r="AI24" s="769"/>
      <c r="AJ24" s="605"/>
      <c r="AK24" s="605"/>
      <c r="AL24" s="605"/>
      <c r="AM24" s="605"/>
      <c r="AN24" s="604"/>
      <c r="AO24" s="742"/>
      <c r="AP24" s="769"/>
      <c r="AQ24" s="605"/>
      <c r="AR24" s="605"/>
      <c r="AS24" s="605"/>
      <c r="AT24" s="605"/>
      <c r="AU24" s="604"/>
      <c r="AV24" s="742"/>
      <c r="AW24" s="606"/>
      <c r="AX24" s="605"/>
      <c r="AY24" s="605"/>
      <c r="AZ24" s="605"/>
      <c r="BA24" s="605"/>
      <c r="BB24" s="604"/>
      <c r="BC24" s="742"/>
      <c r="BD24" s="2"/>
      <c r="BE24" s="2"/>
      <c r="BF24" s="4">
        <f>IF($AJ7&lt;12000,0,0.05)</f>
        <v>0</v>
      </c>
      <c r="BG24" s="2"/>
      <c r="BH24" s="2"/>
    </row>
    <row r="25" spans="1:60" s="1" customFormat="1" ht="15.75">
      <c r="A25" s="755" t="s">
        <v>29</v>
      </c>
      <c r="B25" s="763">
        <f t="shared" si="0"/>
        <v>0</v>
      </c>
      <c r="C25" s="622">
        <f>'Preise BOLLERWAGEN'!B21</f>
        <v>2</v>
      </c>
      <c r="D25" s="612">
        <f t="shared" si="1"/>
        <v>22</v>
      </c>
      <c r="E25" s="764">
        <f t="shared" si="2"/>
        <v>0</v>
      </c>
      <c r="F25" s="763">
        <f t="shared" si="3"/>
        <v>0</v>
      </c>
      <c r="G25" s="622">
        <f>'Preise BOLLERWAGEN'!D21</f>
        <v>2</v>
      </c>
      <c r="H25" s="609">
        <f t="shared" si="4"/>
        <v>22</v>
      </c>
      <c r="I25" s="764">
        <f t="shared" si="5"/>
        <v>0</v>
      </c>
      <c r="J25" s="763">
        <f t="shared" si="6"/>
        <v>0</v>
      </c>
      <c r="K25" s="622">
        <f>'Preise BOLLERWAGEN'!F21</f>
        <v>2</v>
      </c>
      <c r="L25" s="609">
        <f t="shared" si="7"/>
        <v>22</v>
      </c>
      <c r="M25" s="764">
        <f t="shared" si="8"/>
        <v>0</v>
      </c>
      <c r="N25" s="606"/>
      <c r="O25" s="605"/>
      <c r="P25" s="605"/>
      <c r="Q25" s="605"/>
      <c r="R25" s="605"/>
      <c r="S25" s="604"/>
      <c r="T25" s="773"/>
      <c r="U25" s="769"/>
      <c r="V25" s="605"/>
      <c r="W25" s="605"/>
      <c r="X25" s="605"/>
      <c r="Y25" s="605"/>
      <c r="Z25" s="604"/>
      <c r="AA25" s="742"/>
      <c r="AB25" s="769"/>
      <c r="AC25" s="605"/>
      <c r="AD25" s="605"/>
      <c r="AE25" s="605"/>
      <c r="AF25" s="605"/>
      <c r="AG25" s="604"/>
      <c r="AH25" s="742"/>
      <c r="AI25" s="769"/>
      <c r="AJ25" s="605"/>
      <c r="AK25" s="605"/>
      <c r="AL25" s="605"/>
      <c r="AM25" s="605"/>
      <c r="AN25" s="604"/>
      <c r="AO25" s="742"/>
      <c r="AP25" s="769"/>
      <c r="AQ25" s="605"/>
      <c r="AR25" s="605"/>
      <c r="AS25" s="605"/>
      <c r="AT25" s="605"/>
      <c r="AU25" s="604"/>
      <c r="AV25" s="742"/>
      <c r="AW25" s="606"/>
      <c r="AX25" s="605"/>
      <c r="AY25" s="605"/>
      <c r="AZ25" s="605"/>
      <c r="BA25" s="605"/>
      <c r="BB25" s="604"/>
      <c r="BC25" s="742"/>
      <c r="BD25" s="2"/>
      <c r="BE25" s="2"/>
      <c r="BF25" s="2">
        <f>SUM(BF22:BF24)</f>
        <v>0</v>
      </c>
      <c r="BG25" s="55">
        <f>AI8</f>
        <v>0</v>
      </c>
      <c r="BH25" s="2">
        <f>BG25*(1-BF25)</f>
        <v>0</v>
      </c>
    </row>
    <row r="26" spans="1:60" s="1" customFormat="1" ht="15.75">
      <c r="A26" s="755" t="s">
        <v>30</v>
      </c>
      <c r="B26" s="763">
        <f t="shared" si="0"/>
        <v>0</v>
      </c>
      <c r="C26" s="622">
        <f>'Preise BOLLERWAGEN'!B22</f>
        <v>2</v>
      </c>
      <c r="D26" s="612">
        <f t="shared" si="1"/>
        <v>22</v>
      </c>
      <c r="E26" s="764">
        <f t="shared" si="2"/>
        <v>0</v>
      </c>
      <c r="F26" s="763">
        <f t="shared" si="3"/>
        <v>0</v>
      </c>
      <c r="G26" s="622">
        <f>'Preise BOLLERWAGEN'!D22</f>
        <v>2</v>
      </c>
      <c r="H26" s="609">
        <f t="shared" si="4"/>
        <v>22</v>
      </c>
      <c r="I26" s="764">
        <f t="shared" si="5"/>
        <v>0</v>
      </c>
      <c r="J26" s="763">
        <f t="shared" si="6"/>
        <v>0</v>
      </c>
      <c r="K26" s="622">
        <f>'Preise BOLLERWAGEN'!F22</f>
        <v>2</v>
      </c>
      <c r="L26" s="609">
        <f t="shared" si="7"/>
        <v>22</v>
      </c>
      <c r="M26" s="764">
        <f t="shared" si="8"/>
        <v>0</v>
      </c>
      <c r="N26" s="606"/>
      <c r="O26" s="605"/>
      <c r="P26" s="605"/>
      <c r="Q26" s="605"/>
      <c r="R26" s="605"/>
      <c r="S26" s="604"/>
      <c r="T26" s="773"/>
      <c r="U26" s="769"/>
      <c r="V26" s="605"/>
      <c r="W26" s="605"/>
      <c r="X26" s="605"/>
      <c r="Y26" s="605"/>
      <c r="Z26" s="604"/>
      <c r="AA26" s="742"/>
      <c r="AB26" s="769"/>
      <c r="AC26" s="605"/>
      <c r="AD26" s="605"/>
      <c r="AE26" s="605"/>
      <c r="AF26" s="605"/>
      <c r="AG26" s="604"/>
      <c r="AH26" s="742"/>
      <c r="AI26" s="769"/>
      <c r="AJ26" s="605"/>
      <c r="AK26" s="605"/>
      <c r="AL26" s="605"/>
      <c r="AM26" s="605"/>
      <c r="AN26" s="604"/>
      <c r="AO26" s="742"/>
      <c r="AP26" s="769"/>
      <c r="AQ26" s="605"/>
      <c r="AR26" s="605"/>
      <c r="AS26" s="605"/>
      <c r="AT26" s="605"/>
      <c r="AU26" s="604"/>
      <c r="AV26" s="742"/>
      <c r="AW26" s="606"/>
      <c r="AX26" s="605"/>
      <c r="AY26" s="605"/>
      <c r="AZ26" s="605"/>
      <c r="BA26" s="605"/>
      <c r="BB26" s="604"/>
      <c r="BC26" s="742"/>
      <c r="BD26" s="2"/>
      <c r="BE26" s="2"/>
      <c r="BF26" s="2"/>
      <c r="BG26" s="2"/>
      <c r="BH26" s="2"/>
    </row>
    <row r="27" spans="1:60" s="1" customFormat="1" ht="15.75">
      <c r="A27" s="755" t="s">
        <v>31</v>
      </c>
      <c r="B27" s="763">
        <f t="shared" si="0"/>
        <v>0</v>
      </c>
      <c r="C27" s="622">
        <f>'Preise BOLLERWAGEN'!B23</f>
        <v>2</v>
      </c>
      <c r="D27" s="612">
        <f t="shared" si="1"/>
        <v>22</v>
      </c>
      <c r="E27" s="764">
        <f t="shared" si="2"/>
        <v>0</v>
      </c>
      <c r="F27" s="763">
        <f t="shared" si="3"/>
        <v>0</v>
      </c>
      <c r="G27" s="622">
        <f>'Preise BOLLERWAGEN'!D23</f>
        <v>2</v>
      </c>
      <c r="H27" s="609">
        <f t="shared" si="4"/>
        <v>22</v>
      </c>
      <c r="I27" s="764">
        <f t="shared" si="5"/>
        <v>0</v>
      </c>
      <c r="J27" s="763">
        <f t="shared" si="6"/>
        <v>0</v>
      </c>
      <c r="K27" s="622">
        <f>'Preise BOLLERWAGEN'!F23</f>
        <v>2</v>
      </c>
      <c r="L27" s="609">
        <f t="shared" si="7"/>
        <v>22</v>
      </c>
      <c r="M27" s="764">
        <f t="shared" si="8"/>
        <v>0</v>
      </c>
      <c r="N27" s="606"/>
      <c r="O27" s="605"/>
      <c r="P27" s="605"/>
      <c r="Q27" s="605"/>
      <c r="R27" s="605"/>
      <c r="S27" s="604"/>
      <c r="T27" s="773"/>
      <c r="U27" s="769"/>
      <c r="V27" s="605"/>
      <c r="W27" s="605"/>
      <c r="X27" s="605"/>
      <c r="Y27" s="605"/>
      <c r="Z27" s="604"/>
      <c r="AA27" s="742"/>
      <c r="AB27" s="769"/>
      <c r="AC27" s="605"/>
      <c r="AD27" s="605"/>
      <c r="AE27" s="605"/>
      <c r="AF27" s="605"/>
      <c r="AG27" s="604"/>
      <c r="AH27" s="742"/>
      <c r="AI27" s="769"/>
      <c r="AJ27" s="605"/>
      <c r="AK27" s="605"/>
      <c r="AL27" s="605"/>
      <c r="AM27" s="605"/>
      <c r="AN27" s="604"/>
      <c r="AO27" s="742"/>
      <c r="AP27" s="769"/>
      <c r="AQ27" s="605"/>
      <c r="AR27" s="605"/>
      <c r="AS27" s="605"/>
      <c r="AT27" s="605"/>
      <c r="AU27" s="604"/>
      <c r="AV27" s="742"/>
      <c r="AW27" s="606"/>
      <c r="AX27" s="605"/>
      <c r="AY27" s="605"/>
      <c r="AZ27" s="605"/>
      <c r="BA27" s="605"/>
      <c r="BB27" s="604"/>
      <c r="BC27" s="742"/>
      <c r="BD27" s="2"/>
      <c r="BE27" s="2"/>
      <c r="BF27" s="2"/>
      <c r="BG27" s="2"/>
      <c r="BH27" s="2"/>
    </row>
    <row r="28" spans="1:60" s="1" customFormat="1" ht="15.75">
      <c r="A28" s="755" t="s">
        <v>32</v>
      </c>
      <c r="B28" s="763">
        <f t="shared" si="0"/>
        <v>0</v>
      </c>
      <c r="C28" s="622">
        <f>'Preise BOLLERWAGEN'!B24</f>
        <v>2</v>
      </c>
      <c r="D28" s="612">
        <f t="shared" si="1"/>
        <v>22</v>
      </c>
      <c r="E28" s="764">
        <f t="shared" si="2"/>
        <v>0</v>
      </c>
      <c r="F28" s="763">
        <f t="shared" si="3"/>
        <v>0</v>
      </c>
      <c r="G28" s="622">
        <f>'Preise BOLLERWAGEN'!D24</f>
        <v>2</v>
      </c>
      <c r="H28" s="609">
        <f t="shared" si="4"/>
        <v>22</v>
      </c>
      <c r="I28" s="764">
        <f t="shared" si="5"/>
        <v>0</v>
      </c>
      <c r="J28" s="763">
        <f t="shared" si="6"/>
        <v>0</v>
      </c>
      <c r="K28" s="622">
        <f>'Preise BOLLERWAGEN'!F24</f>
        <v>2</v>
      </c>
      <c r="L28" s="609">
        <f t="shared" si="7"/>
        <v>22</v>
      </c>
      <c r="M28" s="764">
        <f t="shared" si="8"/>
        <v>0</v>
      </c>
      <c r="N28" s="606"/>
      <c r="O28" s="605"/>
      <c r="P28" s="605"/>
      <c r="Q28" s="605"/>
      <c r="R28" s="605"/>
      <c r="S28" s="604"/>
      <c r="T28" s="773"/>
      <c r="U28" s="769"/>
      <c r="V28" s="605"/>
      <c r="W28" s="605"/>
      <c r="X28" s="605"/>
      <c r="Y28" s="605"/>
      <c r="Z28" s="604"/>
      <c r="AA28" s="742"/>
      <c r="AB28" s="769"/>
      <c r="AC28" s="605"/>
      <c r="AD28" s="605"/>
      <c r="AE28" s="605"/>
      <c r="AF28" s="605"/>
      <c r="AG28" s="604"/>
      <c r="AH28" s="742"/>
      <c r="AI28" s="769"/>
      <c r="AJ28" s="605"/>
      <c r="AK28" s="605"/>
      <c r="AL28" s="605"/>
      <c r="AM28" s="605"/>
      <c r="AN28" s="604"/>
      <c r="AO28" s="742"/>
      <c r="AP28" s="769"/>
      <c r="AQ28" s="605"/>
      <c r="AR28" s="605"/>
      <c r="AS28" s="605"/>
      <c r="AT28" s="605"/>
      <c r="AU28" s="604"/>
      <c r="AV28" s="742"/>
      <c r="AW28" s="606"/>
      <c r="AX28" s="605"/>
      <c r="AY28" s="605"/>
      <c r="AZ28" s="605"/>
      <c r="BA28" s="605"/>
      <c r="BB28" s="604"/>
      <c r="BC28" s="742"/>
      <c r="BD28" s="2"/>
      <c r="BE28" s="2"/>
      <c r="BF28" s="2"/>
      <c r="BG28" s="2"/>
      <c r="BH28" s="2"/>
    </row>
    <row r="29" spans="1:60" s="1" customFormat="1" ht="15.75">
      <c r="A29" s="755" t="s">
        <v>33</v>
      </c>
      <c r="B29" s="763">
        <f t="shared" si="0"/>
        <v>0</v>
      </c>
      <c r="C29" s="622">
        <f>'Preise BOLLERWAGEN'!B25</f>
        <v>2</v>
      </c>
      <c r="D29" s="612">
        <f t="shared" si="1"/>
        <v>22</v>
      </c>
      <c r="E29" s="764">
        <f t="shared" si="2"/>
        <v>0</v>
      </c>
      <c r="F29" s="763">
        <f t="shared" si="3"/>
        <v>0</v>
      </c>
      <c r="G29" s="622">
        <f>'Preise BOLLERWAGEN'!D25</f>
        <v>2</v>
      </c>
      <c r="H29" s="609">
        <f t="shared" si="4"/>
        <v>22</v>
      </c>
      <c r="I29" s="764">
        <f t="shared" si="5"/>
        <v>0</v>
      </c>
      <c r="J29" s="763">
        <f t="shared" si="6"/>
        <v>0</v>
      </c>
      <c r="K29" s="622">
        <f>'Preise BOLLERWAGEN'!F25</f>
        <v>2</v>
      </c>
      <c r="L29" s="609">
        <f t="shared" si="7"/>
        <v>22</v>
      </c>
      <c r="M29" s="764">
        <f t="shared" si="8"/>
        <v>0</v>
      </c>
      <c r="N29" s="606"/>
      <c r="O29" s="605"/>
      <c r="P29" s="605"/>
      <c r="Q29" s="605"/>
      <c r="R29" s="605"/>
      <c r="S29" s="604"/>
      <c r="T29" s="773"/>
      <c r="U29" s="769"/>
      <c r="V29" s="605"/>
      <c r="W29" s="605"/>
      <c r="X29" s="605"/>
      <c r="Y29" s="605"/>
      <c r="Z29" s="604"/>
      <c r="AA29" s="742"/>
      <c r="AB29" s="769"/>
      <c r="AC29" s="605"/>
      <c r="AD29" s="605"/>
      <c r="AE29" s="605"/>
      <c r="AF29" s="605"/>
      <c r="AG29" s="604"/>
      <c r="AH29" s="742"/>
      <c r="AI29" s="769"/>
      <c r="AJ29" s="605"/>
      <c r="AK29" s="605"/>
      <c r="AL29" s="605"/>
      <c r="AM29" s="605"/>
      <c r="AN29" s="604"/>
      <c r="AO29" s="742"/>
      <c r="AP29" s="769"/>
      <c r="AQ29" s="605"/>
      <c r="AR29" s="605"/>
      <c r="AS29" s="605"/>
      <c r="AT29" s="605"/>
      <c r="AU29" s="604"/>
      <c r="AV29" s="742"/>
      <c r="AW29" s="606"/>
      <c r="AX29" s="605"/>
      <c r="AY29" s="605"/>
      <c r="AZ29" s="605"/>
      <c r="BA29" s="605"/>
      <c r="BB29" s="604"/>
      <c r="BC29" s="742"/>
      <c r="BD29" s="2"/>
      <c r="BE29" s="2"/>
      <c r="BF29" s="2"/>
      <c r="BG29" s="2"/>
      <c r="BH29" s="2"/>
    </row>
    <row r="30" spans="1:60" s="1" customFormat="1" ht="15.75">
      <c r="A30" s="755" t="s">
        <v>34</v>
      </c>
      <c r="B30" s="763">
        <f t="shared" si="0"/>
        <v>0</v>
      </c>
      <c r="C30" s="622">
        <f>'Preise BOLLERWAGEN'!B26</f>
        <v>2</v>
      </c>
      <c r="D30" s="612">
        <f t="shared" si="1"/>
        <v>22</v>
      </c>
      <c r="E30" s="764">
        <f t="shared" si="2"/>
        <v>0</v>
      </c>
      <c r="F30" s="763">
        <f t="shared" si="3"/>
        <v>0</v>
      </c>
      <c r="G30" s="622">
        <f>'Preise BOLLERWAGEN'!D26</f>
        <v>2</v>
      </c>
      <c r="H30" s="609">
        <f t="shared" si="4"/>
        <v>22</v>
      </c>
      <c r="I30" s="764">
        <f t="shared" si="5"/>
        <v>0</v>
      </c>
      <c r="J30" s="763">
        <f t="shared" si="6"/>
        <v>0</v>
      </c>
      <c r="K30" s="622">
        <f>'Preise BOLLERWAGEN'!F26</f>
        <v>2</v>
      </c>
      <c r="L30" s="609">
        <f t="shared" si="7"/>
        <v>22</v>
      </c>
      <c r="M30" s="764">
        <f t="shared" si="8"/>
        <v>0</v>
      </c>
      <c r="N30" s="606"/>
      <c r="O30" s="605"/>
      <c r="P30" s="605"/>
      <c r="Q30" s="605"/>
      <c r="R30" s="605"/>
      <c r="S30" s="604"/>
      <c r="T30" s="773"/>
      <c r="U30" s="769"/>
      <c r="V30" s="605"/>
      <c r="W30" s="605"/>
      <c r="X30" s="605"/>
      <c r="Y30" s="605"/>
      <c r="Z30" s="604"/>
      <c r="AA30" s="742"/>
      <c r="AB30" s="769"/>
      <c r="AC30" s="605"/>
      <c r="AD30" s="605"/>
      <c r="AE30" s="605"/>
      <c r="AF30" s="605"/>
      <c r="AG30" s="604"/>
      <c r="AH30" s="742"/>
      <c r="AI30" s="769"/>
      <c r="AJ30" s="605"/>
      <c r="AK30" s="605"/>
      <c r="AL30" s="605"/>
      <c r="AM30" s="605"/>
      <c r="AN30" s="604"/>
      <c r="AO30" s="742"/>
      <c r="AP30" s="769"/>
      <c r="AQ30" s="605"/>
      <c r="AR30" s="605"/>
      <c r="AS30" s="605"/>
      <c r="AT30" s="605"/>
      <c r="AU30" s="604"/>
      <c r="AV30" s="742"/>
      <c r="AW30" s="606"/>
      <c r="AX30" s="605"/>
      <c r="AY30" s="605"/>
      <c r="AZ30" s="605"/>
      <c r="BA30" s="605"/>
      <c r="BB30" s="604"/>
      <c r="BC30" s="742"/>
      <c r="BD30" s="2"/>
      <c r="BE30" s="2"/>
      <c r="BF30" s="2"/>
      <c r="BG30" s="2"/>
      <c r="BH30" s="2"/>
    </row>
    <row r="31" spans="1:60" s="1" customFormat="1" ht="15.75">
      <c r="A31" s="755" t="s">
        <v>35</v>
      </c>
      <c r="B31" s="763">
        <f t="shared" si="0"/>
        <v>0</v>
      </c>
      <c r="C31" s="622">
        <f>'Preise BOLLERWAGEN'!B27</f>
        <v>2</v>
      </c>
      <c r="D31" s="612">
        <f t="shared" si="1"/>
        <v>22</v>
      </c>
      <c r="E31" s="764">
        <f t="shared" si="2"/>
        <v>0</v>
      </c>
      <c r="F31" s="763">
        <f t="shared" si="3"/>
        <v>0</v>
      </c>
      <c r="G31" s="622">
        <f>'Preise BOLLERWAGEN'!D27</f>
        <v>2</v>
      </c>
      <c r="H31" s="609">
        <f t="shared" si="4"/>
        <v>22</v>
      </c>
      <c r="I31" s="764">
        <f t="shared" si="5"/>
        <v>0</v>
      </c>
      <c r="J31" s="763">
        <f t="shared" si="6"/>
        <v>0</v>
      </c>
      <c r="K31" s="622">
        <f>'Preise BOLLERWAGEN'!F27</f>
        <v>2</v>
      </c>
      <c r="L31" s="609">
        <f t="shared" si="7"/>
        <v>22</v>
      </c>
      <c r="M31" s="764">
        <f t="shared" si="8"/>
        <v>0</v>
      </c>
      <c r="N31" s="606"/>
      <c r="O31" s="605"/>
      <c r="P31" s="605"/>
      <c r="Q31" s="605"/>
      <c r="R31" s="605"/>
      <c r="S31" s="604"/>
      <c r="T31" s="773"/>
      <c r="U31" s="769"/>
      <c r="V31" s="605"/>
      <c r="W31" s="605"/>
      <c r="X31" s="605"/>
      <c r="Y31" s="605"/>
      <c r="Z31" s="604"/>
      <c r="AA31" s="742"/>
      <c r="AB31" s="769"/>
      <c r="AC31" s="605"/>
      <c r="AD31" s="605"/>
      <c r="AE31" s="605"/>
      <c r="AF31" s="605"/>
      <c r="AG31" s="604"/>
      <c r="AH31" s="742"/>
      <c r="AI31" s="769"/>
      <c r="AJ31" s="605"/>
      <c r="AK31" s="605"/>
      <c r="AL31" s="605"/>
      <c r="AM31" s="605"/>
      <c r="AN31" s="604"/>
      <c r="AO31" s="742"/>
      <c r="AP31" s="769"/>
      <c r="AQ31" s="605"/>
      <c r="AR31" s="605"/>
      <c r="AS31" s="605"/>
      <c r="AT31" s="605"/>
      <c r="AU31" s="604"/>
      <c r="AV31" s="742"/>
      <c r="AW31" s="606"/>
      <c r="AX31" s="605"/>
      <c r="AY31" s="605"/>
      <c r="AZ31" s="605"/>
      <c r="BA31" s="605"/>
      <c r="BB31" s="604"/>
      <c r="BC31" s="742"/>
      <c r="BD31" s="2"/>
      <c r="BE31" s="2"/>
      <c r="BF31" s="2"/>
      <c r="BG31" s="2"/>
      <c r="BH31" s="2"/>
    </row>
    <row r="32" spans="1:60" s="1" customFormat="1" ht="15.75">
      <c r="A32" s="755" t="s">
        <v>36</v>
      </c>
      <c r="B32" s="763">
        <f t="shared" si="0"/>
        <v>0</v>
      </c>
      <c r="C32" s="622">
        <f>'Preise BOLLERWAGEN'!B28</f>
        <v>2</v>
      </c>
      <c r="D32" s="612">
        <f t="shared" si="1"/>
        <v>22</v>
      </c>
      <c r="E32" s="764">
        <f t="shared" si="2"/>
        <v>0</v>
      </c>
      <c r="F32" s="763">
        <f t="shared" si="3"/>
        <v>0</v>
      </c>
      <c r="G32" s="622">
        <f>'Preise BOLLERWAGEN'!D28</f>
        <v>2</v>
      </c>
      <c r="H32" s="609">
        <f t="shared" si="4"/>
        <v>22</v>
      </c>
      <c r="I32" s="764">
        <f t="shared" si="5"/>
        <v>0</v>
      </c>
      <c r="J32" s="763">
        <f t="shared" si="6"/>
        <v>0</v>
      </c>
      <c r="K32" s="622">
        <f>'Preise BOLLERWAGEN'!F28</f>
        <v>2</v>
      </c>
      <c r="L32" s="609">
        <f t="shared" si="7"/>
        <v>22</v>
      </c>
      <c r="M32" s="764">
        <f t="shared" si="8"/>
        <v>0</v>
      </c>
      <c r="N32" s="606"/>
      <c r="O32" s="605"/>
      <c r="P32" s="605"/>
      <c r="Q32" s="605"/>
      <c r="R32" s="605"/>
      <c r="S32" s="604"/>
      <c r="T32" s="773"/>
      <c r="U32" s="769"/>
      <c r="V32" s="605"/>
      <c r="W32" s="605"/>
      <c r="X32" s="605"/>
      <c r="Y32" s="605"/>
      <c r="Z32" s="604"/>
      <c r="AA32" s="742"/>
      <c r="AB32" s="769"/>
      <c r="AC32" s="605"/>
      <c r="AD32" s="605"/>
      <c r="AE32" s="605"/>
      <c r="AF32" s="605"/>
      <c r="AG32" s="604"/>
      <c r="AH32" s="742"/>
      <c r="AI32" s="769"/>
      <c r="AJ32" s="605"/>
      <c r="AK32" s="605"/>
      <c r="AL32" s="605"/>
      <c r="AM32" s="605"/>
      <c r="AN32" s="604"/>
      <c r="AO32" s="742"/>
      <c r="AP32" s="769"/>
      <c r="AQ32" s="605"/>
      <c r="AR32" s="605"/>
      <c r="AS32" s="605"/>
      <c r="AT32" s="605"/>
      <c r="AU32" s="604"/>
      <c r="AV32" s="742"/>
      <c r="AW32" s="606"/>
      <c r="AX32" s="605"/>
      <c r="AY32" s="605"/>
      <c r="AZ32" s="605"/>
      <c r="BA32" s="605"/>
      <c r="BB32" s="604"/>
      <c r="BC32" s="742"/>
      <c r="BD32" s="2"/>
      <c r="BE32" s="2"/>
      <c r="BF32" s="2"/>
      <c r="BG32" s="2"/>
      <c r="BH32" s="2"/>
    </row>
    <row r="33" spans="1:60" s="1" customFormat="1" ht="15.75">
      <c r="A33" s="755" t="s">
        <v>37</v>
      </c>
      <c r="B33" s="763">
        <f t="shared" si="0"/>
        <v>0</v>
      </c>
      <c r="C33" s="622">
        <f>'Preise BOLLERWAGEN'!B29</f>
        <v>2</v>
      </c>
      <c r="D33" s="612">
        <f t="shared" si="1"/>
        <v>22</v>
      </c>
      <c r="E33" s="764">
        <f t="shared" si="2"/>
        <v>0</v>
      </c>
      <c r="F33" s="763">
        <f t="shared" si="3"/>
        <v>0</v>
      </c>
      <c r="G33" s="622">
        <f>'Preise BOLLERWAGEN'!D29</f>
        <v>2</v>
      </c>
      <c r="H33" s="609">
        <f t="shared" si="4"/>
        <v>22</v>
      </c>
      <c r="I33" s="764">
        <f t="shared" si="5"/>
        <v>0</v>
      </c>
      <c r="J33" s="763">
        <f t="shared" si="6"/>
        <v>0</v>
      </c>
      <c r="K33" s="622">
        <f>'Preise BOLLERWAGEN'!F29</f>
        <v>2</v>
      </c>
      <c r="L33" s="609">
        <f t="shared" si="7"/>
        <v>22</v>
      </c>
      <c r="M33" s="764">
        <f t="shared" si="8"/>
        <v>0</v>
      </c>
      <c r="N33" s="606"/>
      <c r="O33" s="605"/>
      <c r="P33" s="605"/>
      <c r="Q33" s="605"/>
      <c r="R33" s="605"/>
      <c r="S33" s="604"/>
      <c r="T33" s="773"/>
      <c r="U33" s="769"/>
      <c r="V33" s="605"/>
      <c r="W33" s="605"/>
      <c r="X33" s="605"/>
      <c r="Y33" s="605"/>
      <c r="Z33" s="604"/>
      <c r="AA33" s="742"/>
      <c r="AB33" s="769"/>
      <c r="AC33" s="605"/>
      <c r="AD33" s="605"/>
      <c r="AE33" s="605"/>
      <c r="AF33" s="605"/>
      <c r="AG33" s="604"/>
      <c r="AH33" s="742"/>
      <c r="AI33" s="769"/>
      <c r="AJ33" s="605"/>
      <c r="AK33" s="605"/>
      <c r="AL33" s="605"/>
      <c r="AM33" s="605"/>
      <c r="AN33" s="604"/>
      <c r="AO33" s="742"/>
      <c r="AP33" s="769"/>
      <c r="AQ33" s="605"/>
      <c r="AR33" s="605"/>
      <c r="AS33" s="605"/>
      <c r="AT33" s="605"/>
      <c r="AU33" s="604"/>
      <c r="AV33" s="742"/>
      <c r="AW33" s="606"/>
      <c r="AX33" s="605"/>
      <c r="AY33" s="605"/>
      <c r="AZ33" s="605"/>
      <c r="BA33" s="605"/>
      <c r="BB33" s="604"/>
      <c r="BC33" s="742"/>
      <c r="BD33" s="2"/>
      <c r="BE33" s="2"/>
      <c r="BF33" s="2"/>
      <c r="BG33" s="2"/>
      <c r="BH33" s="2"/>
    </row>
    <row r="34" spans="1:60" s="1" customFormat="1" ht="15.75">
      <c r="A34" s="755" t="s">
        <v>38</v>
      </c>
      <c r="B34" s="763">
        <f t="shared" si="0"/>
        <v>0</v>
      </c>
      <c r="C34" s="622">
        <f>'Preise BOLLERWAGEN'!B30</f>
        <v>2</v>
      </c>
      <c r="D34" s="612">
        <f t="shared" si="1"/>
        <v>22</v>
      </c>
      <c r="E34" s="764">
        <f t="shared" si="2"/>
        <v>0</v>
      </c>
      <c r="F34" s="763">
        <f t="shared" si="3"/>
        <v>0</v>
      </c>
      <c r="G34" s="622">
        <f>'Preise BOLLERWAGEN'!D30</f>
        <v>2</v>
      </c>
      <c r="H34" s="609">
        <f t="shared" si="4"/>
        <v>22</v>
      </c>
      <c r="I34" s="764">
        <f t="shared" si="5"/>
        <v>0</v>
      </c>
      <c r="J34" s="763">
        <f t="shared" si="6"/>
        <v>0</v>
      </c>
      <c r="K34" s="622">
        <f>'Preise BOLLERWAGEN'!F30</f>
        <v>2</v>
      </c>
      <c r="L34" s="609">
        <f t="shared" si="7"/>
        <v>22</v>
      </c>
      <c r="M34" s="764">
        <f t="shared" si="8"/>
        <v>0</v>
      </c>
      <c r="N34" s="606"/>
      <c r="O34" s="605"/>
      <c r="P34" s="605"/>
      <c r="Q34" s="605"/>
      <c r="R34" s="605"/>
      <c r="S34" s="604"/>
      <c r="T34" s="773"/>
      <c r="U34" s="769"/>
      <c r="V34" s="605"/>
      <c r="W34" s="605"/>
      <c r="X34" s="605"/>
      <c r="Y34" s="605"/>
      <c r="Z34" s="604"/>
      <c r="AA34" s="742"/>
      <c r="AB34" s="769"/>
      <c r="AC34" s="605"/>
      <c r="AD34" s="605"/>
      <c r="AE34" s="605"/>
      <c r="AF34" s="605"/>
      <c r="AG34" s="604"/>
      <c r="AH34" s="742"/>
      <c r="AI34" s="769"/>
      <c r="AJ34" s="605"/>
      <c r="AK34" s="605"/>
      <c r="AL34" s="605"/>
      <c r="AM34" s="605"/>
      <c r="AN34" s="604"/>
      <c r="AO34" s="742"/>
      <c r="AP34" s="769"/>
      <c r="AQ34" s="605"/>
      <c r="AR34" s="605"/>
      <c r="AS34" s="605"/>
      <c r="AT34" s="605"/>
      <c r="AU34" s="604"/>
      <c r="AV34" s="742"/>
      <c r="AW34" s="606"/>
      <c r="AX34" s="605"/>
      <c r="AY34" s="605"/>
      <c r="AZ34" s="605"/>
      <c r="BA34" s="605"/>
      <c r="BB34" s="604"/>
      <c r="BC34" s="742"/>
      <c r="BD34" s="2"/>
      <c r="BE34" s="2"/>
      <c r="BF34" s="2"/>
      <c r="BG34" s="2"/>
      <c r="BH34" s="2"/>
    </row>
    <row r="35" spans="1:60" s="1" customFormat="1" ht="15.75">
      <c r="A35" s="755" t="s">
        <v>39</v>
      </c>
      <c r="B35" s="763">
        <f t="shared" si="0"/>
        <v>0</v>
      </c>
      <c r="C35" s="622">
        <f>'Preise BOLLERWAGEN'!B31</f>
        <v>2</v>
      </c>
      <c r="D35" s="612">
        <f t="shared" si="1"/>
        <v>22</v>
      </c>
      <c r="E35" s="764">
        <f t="shared" si="2"/>
        <v>0</v>
      </c>
      <c r="F35" s="763">
        <f t="shared" si="3"/>
        <v>0</v>
      </c>
      <c r="G35" s="622">
        <f>'Preise BOLLERWAGEN'!D31</f>
        <v>2</v>
      </c>
      <c r="H35" s="609">
        <f t="shared" si="4"/>
        <v>22</v>
      </c>
      <c r="I35" s="764">
        <f t="shared" si="5"/>
        <v>0</v>
      </c>
      <c r="J35" s="763">
        <f t="shared" si="6"/>
        <v>0</v>
      </c>
      <c r="K35" s="622">
        <f>'Preise BOLLERWAGEN'!F31</f>
        <v>2</v>
      </c>
      <c r="L35" s="609">
        <f t="shared" si="7"/>
        <v>22</v>
      </c>
      <c r="M35" s="764">
        <f t="shared" si="8"/>
        <v>0</v>
      </c>
      <c r="N35" s="606"/>
      <c r="O35" s="605"/>
      <c r="P35" s="605"/>
      <c r="Q35" s="605"/>
      <c r="R35" s="605"/>
      <c r="S35" s="604"/>
      <c r="T35" s="773"/>
      <c r="U35" s="769"/>
      <c r="V35" s="605"/>
      <c r="W35" s="605"/>
      <c r="X35" s="605"/>
      <c r="Y35" s="605"/>
      <c r="Z35" s="604"/>
      <c r="AA35" s="742"/>
      <c r="AB35" s="769"/>
      <c r="AC35" s="605"/>
      <c r="AD35" s="605"/>
      <c r="AE35" s="605"/>
      <c r="AF35" s="605"/>
      <c r="AG35" s="604"/>
      <c r="AH35" s="742"/>
      <c r="AI35" s="769"/>
      <c r="AJ35" s="605"/>
      <c r="AK35" s="605"/>
      <c r="AL35" s="605"/>
      <c r="AM35" s="605"/>
      <c r="AN35" s="604"/>
      <c r="AO35" s="742"/>
      <c r="AP35" s="769"/>
      <c r="AQ35" s="605"/>
      <c r="AR35" s="605"/>
      <c r="AS35" s="605"/>
      <c r="AT35" s="605"/>
      <c r="AU35" s="604"/>
      <c r="AV35" s="742"/>
      <c r="AW35" s="606"/>
      <c r="AX35" s="605"/>
      <c r="AY35" s="605"/>
      <c r="AZ35" s="605"/>
      <c r="BA35" s="605"/>
      <c r="BB35" s="604"/>
      <c r="BC35" s="742"/>
      <c r="BD35" s="2"/>
      <c r="BE35" s="2"/>
      <c r="BF35" s="2"/>
      <c r="BG35" s="2"/>
      <c r="BH35" s="2"/>
    </row>
    <row r="36" spans="1:60" s="1" customFormat="1" ht="15.75">
      <c r="A36" s="755" t="s">
        <v>40</v>
      </c>
      <c r="B36" s="763">
        <f t="shared" si="0"/>
        <v>0</v>
      </c>
      <c r="C36" s="622">
        <f>'Preise BOLLERWAGEN'!B32</f>
        <v>2</v>
      </c>
      <c r="D36" s="612">
        <f t="shared" si="1"/>
        <v>22</v>
      </c>
      <c r="E36" s="764">
        <f t="shared" si="2"/>
        <v>0</v>
      </c>
      <c r="F36" s="763">
        <f t="shared" si="3"/>
        <v>0</v>
      </c>
      <c r="G36" s="622">
        <f>'Preise BOLLERWAGEN'!D32</f>
        <v>2</v>
      </c>
      <c r="H36" s="609">
        <f t="shared" si="4"/>
        <v>22</v>
      </c>
      <c r="I36" s="764">
        <f t="shared" si="5"/>
        <v>0</v>
      </c>
      <c r="J36" s="763">
        <f t="shared" si="6"/>
        <v>0</v>
      </c>
      <c r="K36" s="622">
        <f>'Preise BOLLERWAGEN'!F32</f>
        <v>2</v>
      </c>
      <c r="L36" s="609">
        <f t="shared" si="7"/>
        <v>22</v>
      </c>
      <c r="M36" s="764">
        <f t="shared" si="8"/>
        <v>0</v>
      </c>
      <c r="N36" s="606"/>
      <c r="O36" s="605"/>
      <c r="P36" s="605"/>
      <c r="Q36" s="605"/>
      <c r="R36" s="605"/>
      <c r="S36" s="604"/>
      <c r="T36" s="773"/>
      <c r="U36" s="769"/>
      <c r="V36" s="605"/>
      <c r="W36" s="605"/>
      <c r="X36" s="605"/>
      <c r="Y36" s="605"/>
      <c r="Z36" s="604"/>
      <c r="AA36" s="742"/>
      <c r="AB36" s="769"/>
      <c r="AC36" s="605"/>
      <c r="AD36" s="605"/>
      <c r="AE36" s="605"/>
      <c r="AF36" s="605"/>
      <c r="AG36" s="604"/>
      <c r="AH36" s="742"/>
      <c r="AI36" s="769"/>
      <c r="AJ36" s="605"/>
      <c r="AK36" s="605"/>
      <c r="AL36" s="605"/>
      <c r="AM36" s="605"/>
      <c r="AN36" s="604"/>
      <c r="AO36" s="742"/>
      <c r="AP36" s="769"/>
      <c r="AQ36" s="605"/>
      <c r="AR36" s="605"/>
      <c r="AS36" s="605"/>
      <c r="AT36" s="605"/>
      <c r="AU36" s="604"/>
      <c r="AV36" s="742"/>
      <c r="AW36" s="606"/>
      <c r="AX36" s="605"/>
      <c r="AY36" s="605"/>
      <c r="AZ36" s="605"/>
      <c r="BA36" s="605"/>
      <c r="BB36" s="604"/>
      <c r="BC36" s="742"/>
      <c r="BD36" s="2"/>
      <c r="BE36" s="2"/>
      <c r="BF36" s="2"/>
      <c r="BG36" s="2"/>
      <c r="BH36" s="2"/>
    </row>
    <row r="37" spans="1:60" s="1" customFormat="1" ht="15.75">
      <c r="A37" s="755" t="s">
        <v>41</v>
      </c>
      <c r="B37" s="763">
        <f t="shared" si="0"/>
        <v>0</v>
      </c>
      <c r="C37" s="622">
        <f>'Preise BOLLERWAGEN'!B33</f>
        <v>2</v>
      </c>
      <c r="D37" s="612">
        <f t="shared" si="1"/>
        <v>22</v>
      </c>
      <c r="E37" s="764">
        <f t="shared" si="2"/>
        <v>0</v>
      </c>
      <c r="F37" s="763">
        <f t="shared" si="3"/>
        <v>0</v>
      </c>
      <c r="G37" s="622">
        <f>'Preise BOLLERWAGEN'!D33</f>
        <v>2</v>
      </c>
      <c r="H37" s="609">
        <f t="shared" si="4"/>
        <v>22</v>
      </c>
      <c r="I37" s="764">
        <f t="shared" si="5"/>
        <v>0</v>
      </c>
      <c r="J37" s="763">
        <f t="shared" si="6"/>
        <v>0</v>
      </c>
      <c r="K37" s="622">
        <f>'Preise BOLLERWAGEN'!F33</f>
        <v>2</v>
      </c>
      <c r="L37" s="609">
        <f t="shared" si="7"/>
        <v>22</v>
      </c>
      <c r="M37" s="764">
        <f t="shared" si="8"/>
        <v>0</v>
      </c>
      <c r="N37" s="606"/>
      <c r="O37" s="605"/>
      <c r="P37" s="605"/>
      <c r="Q37" s="605"/>
      <c r="R37" s="605"/>
      <c r="S37" s="604"/>
      <c r="T37" s="773"/>
      <c r="U37" s="769"/>
      <c r="V37" s="605"/>
      <c r="W37" s="605"/>
      <c r="X37" s="605"/>
      <c r="Y37" s="605"/>
      <c r="Z37" s="604"/>
      <c r="AA37" s="742"/>
      <c r="AB37" s="769"/>
      <c r="AC37" s="605"/>
      <c r="AD37" s="605"/>
      <c r="AE37" s="605"/>
      <c r="AF37" s="605"/>
      <c r="AG37" s="604"/>
      <c r="AH37" s="742"/>
      <c r="AI37" s="769"/>
      <c r="AJ37" s="605"/>
      <c r="AK37" s="605"/>
      <c r="AL37" s="605"/>
      <c r="AM37" s="605"/>
      <c r="AN37" s="604"/>
      <c r="AO37" s="742"/>
      <c r="AP37" s="769"/>
      <c r="AQ37" s="605"/>
      <c r="AR37" s="605"/>
      <c r="AS37" s="605"/>
      <c r="AT37" s="605"/>
      <c r="AU37" s="604"/>
      <c r="AV37" s="742"/>
      <c r="AW37" s="606"/>
      <c r="AX37" s="605"/>
      <c r="AY37" s="605"/>
      <c r="AZ37" s="605"/>
      <c r="BA37" s="605"/>
      <c r="BB37" s="604"/>
      <c r="BC37" s="742"/>
      <c r="BD37" s="2"/>
      <c r="BE37" s="2"/>
      <c r="BF37" s="2"/>
      <c r="BG37" s="2"/>
      <c r="BH37" s="2"/>
    </row>
    <row r="38" spans="1:60" s="1" customFormat="1" ht="15.75">
      <c r="A38" s="755" t="s">
        <v>42</v>
      </c>
      <c r="B38" s="763">
        <f t="shared" si="0"/>
        <v>0</v>
      </c>
      <c r="C38" s="622">
        <f>'Preise BOLLERWAGEN'!B34</f>
        <v>2</v>
      </c>
      <c r="D38" s="612">
        <f t="shared" si="1"/>
        <v>22</v>
      </c>
      <c r="E38" s="764">
        <f t="shared" si="2"/>
        <v>0</v>
      </c>
      <c r="F38" s="763">
        <f t="shared" si="3"/>
        <v>0</v>
      </c>
      <c r="G38" s="622">
        <f>'Preise BOLLERWAGEN'!D34</f>
        <v>2</v>
      </c>
      <c r="H38" s="609">
        <f t="shared" si="4"/>
        <v>22</v>
      </c>
      <c r="I38" s="764">
        <f t="shared" si="5"/>
        <v>0</v>
      </c>
      <c r="J38" s="763">
        <f t="shared" si="6"/>
        <v>0</v>
      </c>
      <c r="K38" s="622">
        <f>'Preise BOLLERWAGEN'!F34</f>
        <v>2</v>
      </c>
      <c r="L38" s="609">
        <f t="shared" si="7"/>
        <v>22</v>
      </c>
      <c r="M38" s="764">
        <f t="shared" si="8"/>
        <v>0</v>
      </c>
      <c r="N38" s="606"/>
      <c r="O38" s="605"/>
      <c r="P38" s="605"/>
      <c r="Q38" s="605"/>
      <c r="R38" s="605"/>
      <c r="S38" s="604"/>
      <c r="T38" s="773"/>
      <c r="U38" s="769"/>
      <c r="V38" s="605"/>
      <c r="W38" s="605"/>
      <c r="X38" s="605"/>
      <c r="Y38" s="605"/>
      <c r="Z38" s="604"/>
      <c r="AA38" s="742"/>
      <c r="AB38" s="769"/>
      <c r="AC38" s="605"/>
      <c r="AD38" s="605"/>
      <c r="AE38" s="605"/>
      <c r="AF38" s="605"/>
      <c r="AG38" s="604"/>
      <c r="AH38" s="742"/>
      <c r="AI38" s="769"/>
      <c r="AJ38" s="605"/>
      <c r="AK38" s="605"/>
      <c r="AL38" s="605"/>
      <c r="AM38" s="605"/>
      <c r="AN38" s="604"/>
      <c r="AO38" s="742"/>
      <c r="AP38" s="769"/>
      <c r="AQ38" s="605"/>
      <c r="AR38" s="605"/>
      <c r="AS38" s="605"/>
      <c r="AT38" s="605"/>
      <c r="AU38" s="604"/>
      <c r="AV38" s="742"/>
      <c r="AW38" s="606"/>
      <c r="AX38" s="605"/>
      <c r="AY38" s="605"/>
      <c r="AZ38" s="605"/>
      <c r="BA38" s="605"/>
      <c r="BB38" s="604"/>
      <c r="BC38" s="742"/>
      <c r="BD38" s="2"/>
      <c r="BE38" s="2"/>
      <c r="BF38" s="2"/>
      <c r="BG38" s="2"/>
      <c r="BH38" s="2"/>
    </row>
    <row r="39" spans="1:60" s="1" customFormat="1" ht="15.75">
      <c r="A39" s="755" t="s">
        <v>43</v>
      </c>
      <c r="B39" s="763">
        <f t="shared" si="0"/>
        <v>0</v>
      </c>
      <c r="C39" s="622">
        <f>'Preise BOLLERWAGEN'!B35</f>
        <v>2</v>
      </c>
      <c r="D39" s="612">
        <f t="shared" si="1"/>
        <v>22</v>
      </c>
      <c r="E39" s="764">
        <f t="shared" si="2"/>
        <v>0</v>
      </c>
      <c r="F39" s="763">
        <f t="shared" si="3"/>
        <v>0</v>
      </c>
      <c r="G39" s="622">
        <f>'Preise BOLLERWAGEN'!D35</f>
        <v>2</v>
      </c>
      <c r="H39" s="609">
        <f t="shared" si="4"/>
        <v>22</v>
      </c>
      <c r="I39" s="764">
        <f t="shared" si="5"/>
        <v>0</v>
      </c>
      <c r="J39" s="763">
        <f t="shared" si="6"/>
        <v>0</v>
      </c>
      <c r="K39" s="622">
        <f>'Preise BOLLERWAGEN'!F35</f>
        <v>2</v>
      </c>
      <c r="L39" s="609">
        <f t="shared" si="7"/>
        <v>22</v>
      </c>
      <c r="M39" s="764">
        <f t="shared" si="8"/>
        <v>0</v>
      </c>
      <c r="N39" s="606"/>
      <c r="O39" s="605"/>
      <c r="P39" s="605"/>
      <c r="Q39" s="605"/>
      <c r="R39" s="605"/>
      <c r="S39" s="604"/>
      <c r="T39" s="773"/>
      <c r="U39" s="769"/>
      <c r="V39" s="605"/>
      <c r="W39" s="605"/>
      <c r="X39" s="605"/>
      <c r="Y39" s="605"/>
      <c r="Z39" s="604"/>
      <c r="AA39" s="742"/>
      <c r="AB39" s="769"/>
      <c r="AC39" s="605"/>
      <c r="AD39" s="605"/>
      <c r="AE39" s="605"/>
      <c r="AF39" s="605"/>
      <c r="AG39" s="604"/>
      <c r="AH39" s="742"/>
      <c r="AI39" s="769"/>
      <c r="AJ39" s="605"/>
      <c r="AK39" s="605"/>
      <c r="AL39" s="605"/>
      <c r="AM39" s="605"/>
      <c r="AN39" s="604"/>
      <c r="AO39" s="742"/>
      <c r="AP39" s="769"/>
      <c r="AQ39" s="605"/>
      <c r="AR39" s="605"/>
      <c r="AS39" s="605"/>
      <c r="AT39" s="605"/>
      <c r="AU39" s="604"/>
      <c r="AV39" s="742"/>
      <c r="AW39" s="606"/>
      <c r="AX39" s="605"/>
      <c r="AY39" s="605"/>
      <c r="AZ39" s="605"/>
      <c r="BA39" s="605"/>
      <c r="BB39" s="604"/>
      <c r="BC39" s="742"/>
      <c r="BD39" s="2"/>
      <c r="BE39" s="2"/>
      <c r="BF39" s="2"/>
      <c r="BG39" s="2"/>
      <c r="BH39" s="2"/>
    </row>
    <row r="40" spans="1:60" s="1" customFormat="1" ht="15.75">
      <c r="A40" s="755" t="s">
        <v>44</v>
      </c>
      <c r="B40" s="763">
        <f t="shared" si="0"/>
        <v>0</v>
      </c>
      <c r="C40" s="622">
        <f>'Preise BOLLERWAGEN'!B36</f>
        <v>2</v>
      </c>
      <c r="D40" s="612">
        <f t="shared" si="1"/>
        <v>22</v>
      </c>
      <c r="E40" s="764">
        <f t="shared" si="2"/>
        <v>0</v>
      </c>
      <c r="F40" s="763">
        <f t="shared" si="3"/>
        <v>0</v>
      </c>
      <c r="G40" s="622">
        <f>'Preise BOLLERWAGEN'!D36</f>
        <v>2</v>
      </c>
      <c r="H40" s="609">
        <f t="shared" si="4"/>
        <v>22</v>
      </c>
      <c r="I40" s="764">
        <f t="shared" si="5"/>
        <v>0</v>
      </c>
      <c r="J40" s="763">
        <f t="shared" si="6"/>
        <v>0</v>
      </c>
      <c r="K40" s="622">
        <f>'Preise BOLLERWAGEN'!F36</f>
        <v>2</v>
      </c>
      <c r="L40" s="609">
        <f t="shared" si="7"/>
        <v>22</v>
      </c>
      <c r="M40" s="764">
        <f t="shared" si="8"/>
        <v>0</v>
      </c>
      <c r="N40" s="606"/>
      <c r="O40" s="605"/>
      <c r="P40" s="605"/>
      <c r="Q40" s="605"/>
      <c r="R40" s="605"/>
      <c r="S40" s="604"/>
      <c r="T40" s="773"/>
      <c r="U40" s="769"/>
      <c r="V40" s="605"/>
      <c r="W40" s="605"/>
      <c r="X40" s="605"/>
      <c r="Y40" s="605"/>
      <c r="Z40" s="604"/>
      <c r="AA40" s="742"/>
      <c r="AB40" s="769"/>
      <c r="AC40" s="605"/>
      <c r="AD40" s="605"/>
      <c r="AE40" s="605"/>
      <c r="AF40" s="605"/>
      <c r="AG40" s="604"/>
      <c r="AH40" s="742"/>
      <c r="AI40" s="769"/>
      <c r="AJ40" s="605"/>
      <c r="AK40" s="605"/>
      <c r="AL40" s="605"/>
      <c r="AM40" s="605"/>
      <c r="AN40" s="604"/>
      <c r="AO40" s="742"/>
      <c r="AP40" s="769"/>
      <c r="AQ40" s="605"/>
      <c r="AR40" s="605"/>
      <c r="AS40" s="605"/>
      <c r="AT40" s="605"/>
      <c r="AU40" s="604"/>
      <c r="AV40" s="742"/>
      <c r="AW40" s="606"/>
      <c r="AX40" s="605"/>
      <c r="AY40" s="605"/>
      <c r="AZ40" s="605"/>
      <c r="BA40" s="605"/>
      <c r="BB40" s="604"/>
      <c r="BC40" s="742"/>
      <c r="BD40" s="2"/>
      <c r="BE40" s="2"/>
      <c r="BF40" s="2"/>
      <c r="BG40" s="2"/>
      <c r="BH40" s="2"/>
    </row>
    <row r="41" spans="1:60" s="73" customFormat="1" ht="16.5" thickBot="1">
      <c r="A41" s="756" t="s">
        <v>45</v>
      </c>
      <c r="B41" s="765">
        <f>SUM(B17:B40)</f>
        <v>0</v>
      </c>
      <c r="C41" s="743"/>
      <c r="D41" s="743"/>
      <c r="E41" s="766">
        <f>SUM(E17:E40)</f>
        <v>0</v>
      </c>
      <c r="F41" s="765">
        <f>SUM(F17:F40)</f>
        <v>0</v>
      </c>
      <c r="G41" s="743"/>
      <c r="H41" s="743"/>
      <c r="I41" s="766">
        <f>SUM(I17:I40)</f>
        <v>0</v>
      </c>
      <c r="J41" s="765">
        <f>SUM(J17:J40)</f>
        <v>0</v>
      </c>
      <c r="K41" s="743"/>
      <c r="L41" s="743"/>
      <c r="M41" s="766">
        <f>SUM(M17:M40)</f>
        <v>0</v>
      </c>
      <c r="N41" s="745">
        <f t="shared" ref="N41:BC41" si="9">SUM(N22:N40)</f>
        <v>0</v>
      </c>
      <c r="O41" s="744">
        <f t="shared" si="9"/>
        <v>0</v>
      </c>
      <c r="P41" s="744">
        <f t="shared" si="9"/>
        <v>0</v>
      </c>
      <c r="Q41" s="744">
        <f t="shared" si="9"/>
        <v>0</v>
      </c>
      <c r="R41" s="744">
        <f t="shared" si="9"/>
        <v>0</v>
      </c>
      <c r="S41" s="744">
        <f t="shared" si="9"/>
        <v>0</v>
      </c>
      <c r="T41" s="774">
        <f t="shared" si="9"/>
        <v>0</v>
      </c>
      <c r="U41" s="770">
        <f t="shared" si="9"/>
        <v>0</v>
      </c>
      <c r="V41" s="744">
        <f t="shared" si="9"/>
        <v>0</v>
      </c>
      <c r="W41" s="744">
        <f t="shared" si="9"/>
        <v>0</v>
      </c>
      <c r="X41" s="744">
        <f t="shared" si="9"/>
        <v>0</v>
      </c>
      <c r="Y41" s="744">
        <f t="shared" si="9"/>
        <v>0</v>
      </c>
      <c r="Z41" s="744">
        <f t="shared" si="9"/>
        <v>0</v>
      </c>
      <c r="AA41" s="746">
        <f t="shared" si="9"/>
        <v>0</v>
      </c>
      <c r="AB41" s="770">
        <f t="shared" si="9"/>
        <v>0</v>
      </c>
      <c r="AC41" s="744">
        <f t="shared" si="9"/>
        <v>0</v>
      </c>
      <c r="AD41" s="744">
        <f t="shared" si="9"/>
        <v>0</v>
      </c>
      <c r="AE41" s="744">
        <f t="shared" si="9"/>
        <v>0</v>
      </c>
      <c r="AF41" s="744">
        <f t="shared" si="9"/>
        <v>0</v>
      </c>
      <c r="AG41" s="744">
        <f t="shared" si="9"/>
        <v>0</v>
      </c>
      <c r="AH41" s="746">
        <f t="shared" si="9"/>
        <v>0</v>
      </c>
      <c r="AI41" s="770">
        <f t="shared" si="9"/>
        <v>0</v>
      </c>
      <c r="AJ41" s="744">
        <f t="shared" si="9"/>
        <v>0</v>
      </c>
      <c r="AK41" s="744">
        <f t="shared" si="9"/>
        <v>0</v>
      </c>
      <c r="AL41" s="744">
        <f t="shared" si="9"/>
        <v>0</v>
      </c>
      <c r="AM41" s="744">
        <f t="shared" si="9"/>
        <v>0</v>
      </c>
      <c r="AN41" s="744">
        <f t="shared" si="9"/>
        <v>0</v>
      </c>
      <c r="AO41" s="746">
        <f t="shared" si="9"/>
        <v>0</v>
      </c>
      <c r="AP41" s="770">
        <f t="shared" si="9"/>
        <v>0</v>
      </c>
      <c r="AQ41" s="744">
        <f t="shared" si="9"/>
        <v>0</v>
      </c>
      <c r="AR41" s="744">
        <f t="shared" si="9"/>
        <v>0</v>
      </c>
      <c r="AS41" s="744">
        <f t="shared" si="9"/>
        <v>0</v>
      </c>
      <c r="AT41" s="744">
        <f t="shared" si="9"/>
        <v>0</v>
      </c>
      <c r="AU41" s="744">
        <f t="shared" si="9"/>
        <v>0</v>
      </c>
      <c r="AV41" s="746">
        <f t="shared" si="9"/>
        <v>0</v>
      </c>
      <c r="AW41" s="745">
        <f t="shared" si="9"/>
        <v>0</v>
      </c>
      <c r="AX41" s="744">
        <f t="shared" si="9"/>
        <v>0</v>
      </c>
      <c r="AY41" s="744">
        <f t="shared" si="9"/>
        <v>0</v>
      </c>
      <c r="AZ41" s="744">
        <f t="shared" si="9"/>
        <v>0</v>
      </c>
      <c r="BA41" s="744">
        <f t="shared" si="9"/>
        <v>0</v>
      </c>
      <c r="BB41" s="744">
        <f t="shared" si="9"/>
        <v>0</v>
      </c>
      <c r="BC41" s="746">
        <f t="shared" si="9"/>
        <v>0</v>
      </c>
      <c r="BD41" s="72"/>
      <c r="BE41" s="72"/>
      <c r="BF41" s="72"/>
      <c r="BG41" s="72"/>
      <c r="BH41" s="72"/>
    </row>
    <row r="42" spans="1:60" s="1" customFormat="1"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</row>
    <row r="43" spans="1:60" s="1" customFormat="1"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</row>
    <row r="44" spans="1:60" s="1" customFormat="1"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</row>
    <row r="45" spans="1:60" s="1" customForma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</row>
    <row r="46" spans="1:60" s="1" customFormat="1"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</row>
    <row r="47" spans="1:60" s="1" customFormat="1"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</row>
    <row r="48" spans="1:60" s="1" customFormat="1"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</row>
    <row r="49" spans="3:55" s="1" customFormat="1"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</row>
    <row r="50" spans="3:55" s="1" customFormat="1"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</row>
    <row r="51" spans="3:55" s="1" customFormat="1"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</row>
    <row r="52" spans="3:55" s="1" customFormat="1"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</row>
    <row r="53" spans="3:55" s="1" customFormat="1"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</row>
    <row r="54" spans="3:55" s="1" customFormat="1"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</row>
    <row r="55" spans="3:55" s="1" customFormat="1"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</row>
    <row r="56" spans="3:55" s="1" customFormat="1"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spans="3:55" s="1" customFormat="1"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3:55" s="1" customFormat="1"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3:55" s="1" customFormat="1"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</row>
    <row r="60" spans="3:55" s="1" customFormat="1"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spans="3:55" s="1" customFormat="1"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spans="3:55" s="1" customFormat="1"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spans="3:55" s="1" customFormat="1"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spans="3:55" s="1" customFormat="1"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spans="3:13" s="1" customFormat="1"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spans="3:13" s="1" customFormat="1"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spans="3:13" s="1" customFormat="1"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spans="3:13" s="1" customFormat="1"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spans="3:13" s="1" customFormat="1"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spans="3:13" s="1" customFormat="1"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3:13" s="1" customFormat="1"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spans="3:13" s="1" customFormat="1"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spans="3:13" s="1" customFormat="1"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spans="3:13" s="1" customFormat="1"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spans="3:13" s="1" customFormat="1"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spans="3:13" s="1" customFormat="1"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spans="3:13" s="1" customFormat="1"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</sheetData>
  <mergeCells count="30">
    <mergeCell ref="U14:AA14"/>
    <mergeCell ref="AB14:AH14"/>
    <mergeCell ref="AI14:AO14"/>
    <mergeCell ref="AP14:AV14"/>
    <mergeCell ref="AW14:BC14"/>
    <mergeCell ref="I12:K12"/>
    <mergeCell ref="M12:O12"/>
    <mergeCell ref="B14:E14"/>
    <mergeCell ref="F14:I14"/>
    <mergeCell ref="J14:M14"/>
    <mergeCell ref="N14:T14"/>
    <mergeCell ref="I9:K9"/>
    <mergeCell ref="M9:O9"/>
    <mergeCell ref="I10:K10"/>
    <mergeCell ref="M10:O10"/>
    <mergeCell ref="I11:K11"/>
    <mergeCell ref="M11:O11"/>
    <mergeCell ref="D2:G2"/>
    <mergeCell ref="E7:G7"/>
    <mergeCell ref="I7:K7"/>
    <mergeCell ref="M7:O7"/>
    <mergeCell ref="E8:G8"/>
    <mergeCell ref="I8:K8"/>
    <mergeCell ref="M8:O8"/>
    <mergeCell ref="A4:BH4"/>
    <mergeCell ref="E6:G6"/>
    <mergeCell ref="I6:K6"/>
    <mergeCell ref="M6:O6"/>
    <mergeCell ref="AN6:AV6"/>
    <mergeCell ref="R5:V5"/>
  </mergeCells>
  <pageMargins left="0.11811023622047245" right="0.11811023622047245" top="0.78740157480314965" bottom="0.78740157480314965" header="0.31496062992125984" footer="0.31496062992125984"/>
  <pageSetup paperSize="9" scale="44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119"/>
  <sheetViews>
    <sheetView zoomScale="85" zoomScaleNormal="85" workbookViewId="0">
      <selection activeCell="F18" sqref="F18:F31"/>
    </sheetView>
  </sheetViews>
  <sheetFormatPr baseColWidth="10" defaultColWidth="11.42578125" defaultRowHeight="15"/>
  <cols>
    <col min="1" max="1" width="14.140625" style="1" customWidth="1"/>
    <col min="2" max="2" width="17.42578125" style="99" customWidth="1"/>
    <col min="3" max="11" width="17.42578125" style="96" customWidth="1"/>
    <col min="12" max="12" width="12.85546875" style="1" customWidth="1"/>
    <col min="13" max="13" width="20.42578125" style="1" customWidth="1"/>
    <col min="14" max="14" width="10.5703125" style="1" customWidth="1"/>
    <col min="15" max="15" width="3.85546875" style="1" customWidth="1"/>
    <col min="16" max="16" width="3.5703125" style="1" customWidth="1"/>
    <col min="17" max="17" width="2.42578125" style="1" customWidth="1"/>
    <col min="18" max="18" width="3.140625" style="1" customWidth="1"/>
    <col min="19" max="19" width="10.42578125" style="1" customWidth="1"/>
    <col min="20" max="20" width="7.7109375" style="1" customWidth="1"/>
    <col min="21" max="21" width="12.85546875" style="1" bestFit="1" customWidth="1"/>
    <col min="22" max="22" width="11.7109375" style="1" bestFit="1" customWidth="1"/>
    <col min="23" max="23" width="14.42578125" style="1" bestFit="1" customWidth="1"/>
    <col min="24" max="24" width="20.42578125" style="1" bestFit="1" customWidth="1"/>
    <col min="25" max="25" width="19.5703125" style="1" bestFit="1" customWidth="1"/>
    <col min="26" max="16384" width="11.42578125" style="1"/>
  </cols>
  <sheetData>
    <row r="1" spans="1:64" ht="39" customHeight="1" thickBot="1">
      <c r="A1" s="533" t="s">
        <v>169</v>
      </c>
      <c r="B1" s="533"/>
      <c r="C1" s="533"/>
      <c r="D1" s="564"/>
      <c r="E1" s="859" t="s">
        <v>132</v>
      </c>
      <c r="F1" s="859"/>
      <c r="G1" s="859"/>
      <c r="H1" s="859"/>
      <c r="I1" s="859"/>
      <c r="J1" s="859"/>
      <c r="K1" s="859"/>
      <c r="L1" s="859"/>
      <c r="M1" s="859"/>
      <c r="N1" s="859"/>
      <c r="O1" s="533"/>
      <c r="P1" s="993" t="s">
        <v>161</v>
      </c>
      <c r="Q1" s="993"/>
      <c r="R1" s="993"/>
      <c r="S1" s="993"/>
      <c r="T1" s="99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</row>
    <row r="2" spans="1:64" ht="23.25">
      <c r="D2" s="405"/>
      <c r="E2" s="563" t="s">
        <v>125</v>
      </c>
      <c r="F2" s="549"/>
      <c r="G2" s="549"/>
      <c r="H2" s="549"/>
      <c r="I2" s="549"/>
      <c r="J2" s="549"/>
      <c r="K2" s="549"/>
      <c r="L2" s="549"/>
      <c r="M2" s="549"/>
      <c r="N2" s="550"/>
      <c r="P2" s="565" t="s">
        <v>110</v>
      </c>
      <c r="Q2" s="565"/>
      <c r="R2" s="565"/>
      <c r="S2" s="565"/>
      <c r="T2" s="565" t="s">
        <v>113</v>
      </c>
    </row>
    <row r="3" spans="1:64" s="91" customFormat="1" ht="32.450000000000003" customHeight="1">
      <c r="A3" s="545"/>
      <c r="B3" s="545"/>
      <c r="C3" s="957" t="s">
        <v>148</v>
      </c>
      <c r="D3" s="1101"/>
      <c r="E3" s="542" t="s">
        <v>129</v>
      </c>
      <c r="F3" s="543" t="s">
        <v>153</v>
      </c>
      <c r="G3" s="543" t="s">
        <v>126</v>
      </c>
      <c r="H3" s="548" t="s">
        <v>128</v>
      </c>
      <c r="I3" s="543" t="s">
        <v>127</v>
      </c>
      <c r="J3" s="543" t="s">
        <v>130</v>
      </c>
      <c r="K3" s="543" t="s">
        <v>131</v>
      </c>
      <c r="L3" s="543" t="s">
        <v>135</v>
      </c>
      <c r="M3" s="543" t="s">
        <v>133</v>
      </c>
      <c r="N3" s="544" t="s">
        <v>134</v>
      </c>
      <c r="P3" s="566">
        <v>1</v>
      </c>
      <c r="Q3" s="566" t="s">
        <v>112</v>
      </c>
      <c r="R3" s="566">
        <v>15</v>
      </c>
      <c r="S3" s="566" t="s">
        <v>111</v>
      </c>
      <c r="T3" s="566">
        <v>110</v>
      </c>
    </row>
    <row r="4" spans="1:64" ht="15.75">
      <c r="C4" s="957"/>
      <c r="D4" s="1101"/>
      <c r="E4" s="541" t="s">
        <v>55</v>
      </c>
      <c r="F4" s="539" t="s">
        <v>79</v>
      </c>
      <c r="G4" s="539"/>
      <c r="H4" s="540">
        <f>IF($E$4=$J$11,VLOOKUP($F$4,$A$37:$K$78,11,0),IF($E$4=$H$11,VLOOKUP($F$4,$A$37:$K$78,9,0),IF($E$4=$F$11,VLOOKUP($F$4,$A$37:$K$78,7,0),IF($E$4=$D$11,VLOOKUP($F$4,$A$37:$K$78,5,0),IF($E$4=$B$11,VLOOKUP($F$4,$A$37:$K$78,3,0))))))</f>
        <v>450</v>
      </c>
      <c r="I4" s="540">
        <f>H4*G4</f>
        <v>0</v>
      </c>
      <c r="J4" s="551"/>
      <c r="K4" s="551"/>
      <c r="L4" s="540">
        <f>(I4-(I4*J4))-(I4-(I4*J4))*K4</f>
        <v>0</v>
      </c>
      <c r="M4" s="556" t="e">
        <f>1-L4/I4</f>
        <v>#DIV/0!</v>
      </c>
      <c r="N4" s="557" t="e">
        <f>(1-M4)*100</f>
        <v>#DIV/0!</v>
      </c>
      <c r="P4" s="566">
        <v>16</v>
      </c>
      <c r="Q4" s="566" t="s">
        <v>112</v>
      </c>
      <c r="R4" s="566">
        <v>24</v>
      </c>
      <c r="S4" s="566" t="s">
        <v>111</v>
      </c>
      <c r="T4" s="566">
        <v>105</v>
      </c>
    </row>
    <row r="5" spans="1:64" s="2" customFormat="1" ht="15.75">
      <c r="B5" s="97"/>
      <c r="C5" s="95"/>
      <c r="E5" s="541" t="s">
        <v>55</v>
      </c>
      <c r="F5" s="539" t="s">
        <v>79</v>
      </c>
      <c r="G5" s="539"/>
      <c r="H5" s="540">
        <f>IF($E$5=$J$11,VLOOKUP($F$5,$A$37:$K$78,11,0),IF($E$5=$H$11,VLOOKUP($F$5,$A$37:$K$78,9,0),IF($E$5=$F$11,VLOOKUP($F$5,$A$37:$K$78,7,0),IF($E$5=$D$11,VLOOKUP($F$5,$A$37:$K$78,5,0),IF($E$5=$B$11,VLOOKUP($F$5,$A$37:$K$78,3,0))))))</f>
        <v>450</v>
      </c>
      <c r="I5" s="540">
        <f>H5*G5</f>
        <v>0</v>
      </c>
      <c r="J5" s="551"/>
      <c r="K5" s="552"/>
      <c r="L5" s="540">
        <f>(I5-(I5*J5))-(I5-(I5*J5))*K5</f>
        <v>0</v>
      </c>
      <c r="M5" s="556" t="e">
        <f>1-L5/I5</f>
        <v>#DIV/0!</v>
      </c>
      <c r="N5" s="557" t="e">
        <f>(1-M5)*100</f>
        <v>#DIV/0!</v>
      </c>
      <c r="P5" s="566">
        <v>25</v>
      </c>
      <c r="Q5" s="566" t="s">
        <v>112</v>
      </c>
      <c r="R5" s="566">
        <v>34</v>
      </c>
      <c r="S5" s="566" t="s">
        <v>111</v>
      </c>
      <c r="T5" s="566">
        <v>100</v>
      </c>
    </row>
    <row r="6" spans="1:64" s="2" customFormat="1" ht="16.5" thickBot="1">
      <c r="B6" s="97"/>
      <c r="C6" s="95"/>
      <c r="E6" s="541" t="s">
        <v>55</v>
      </c>
      <c r="F6" s="539" t="s">
        <v>79</v>
      </c>
      <c r="G6" s="539"/>
      <c r="H6" s="540">
        <f>IF($E$6=$J$11,VLOOKUP($F$6,$A$37:$K$78,11,0),IF($E$6=$H$11,VLOOKUP($F$6,$A$37:$K$78,9,0),IF($E$6=$F$11,VLOOKUP($F$6,$A$37:$K$78,7,0),IF($E$6=$D$11,VLOOKUP($F$6,$A$37:$K$78,5,0),IF($E$6=$B$11,VLOOKUP($F$6,$A$37:$K$78,3,0))))))</f>
        <v>450</v>
      </c>
      <c r="I6" s="540">
        <f>H6*G6</f>
        <v>0</v>
      </c>
      <c r="J6" s="551"/>
      <c r="K6" s="552"/>
      <c r="L6" s="540">
        <f>(I6-(I6*J6))-(I6-(I6*J6))*K6</f>
        <v>0</v>
      </c>
      <c r="M6" s="556" t="e">
        <f>1-L6/I6</f>
        <v>#DIV/0!</v>
      </c>
      <c r="N6" s="557" t="e">
        <f>(1-M6)*100</f>
        <v>#DIV/0!</v>
      </c>
      <c r="P6" s="566">
        <v>35</v>
      </c>
      <c r="Q6" s="566" t="s">
        <v>112</v>
      </c>
      <c r="R6" s="566">
        <v>99</v>
      </c>
      <c r="S6" s="566" t="s">
        <v>111</v>
      </c>
      <c r="T6" s="566">
        <v>95</v>
      </c>
    </row>
    <row r="7" spans="1:64" s="2" customFormat="1" ht="18.75" thickBot="1">
      <c r="A7" s="92" t="s">
        <v>53</v>
      </c>
      <c r="B7" s="97"/>
      <c r="C7" s="592">
        <v>30</v>
      </c>
      <c r="E7" s="848" t="s">
        <v>55</v>
      </c>
      <c r="F7" s="849" t="s">
        <v>79</v>
      </c>
      <c r="G7" s="849"/>
      <c r="H7" s="850">
        <f>IF($E$7=$J$11,VLOOKUP($F$7,$A$37:$K$78,11,0),IF($E$7=$H$11,VLOOKUP($F$7,$A$37:$K$78,9,0),IF($E$7=$F$11,VLOOKUP($F$7,$A$37:$K$78,7,0),IF($E$7=$D$11,VLOOKUP($F$7,$A$37:$K$78,5,0),IF($E$7=$B$11,VLOOKUP($F$7,$A$37:$K$78,3,0))))))</f>
        <v>450</v>
      </c>
      <c r="I7" s="850">
        <f>H7*G7</f>
        <v>0</v>
      </c>
      <c r="J7" s="851"/>
      <c r="K7" s="852"/>
      <c r="L7" s="850">
        <f>(I7-(I7*J7))-(I7-(I7*J7))*K7</f>
        <v>0</v>
      </c>
      <c r="M7" s="853" t="e">
        <f>1-L7/I7</f>
        <v>#DIV/0!</v>
      </c>
      <c r="N7" s="854" t="e">
        <f>(1-M7)*100</f>
        <v>#DIV/0!</v>
      </c>
    </row>
    <row r="8" spans="1:64" s="2" customFormat="1" ht="18">
      <c r="A8" s="92"/>
      <c r="E8" s="182"/>
      <c r="F8" s="182"/>
      <c r="G8" s="182"/>
      <c r="H8" s="554"/>
      <c r="I8" s="554"/>
      <c r="J8" s="558"/>
      <c r="K8" s="559"/>
      <c r="L8" s="554">
        <f>SUM(L4:L7)</f>
        <v>0</v>
      </c>
      <c r="M8" s="555"/>
      <c r="N8" s="560"/>
      <c r="O8" s="147"/>
      <c r="Q8" s="147"/>
      <c r="R8" s="147"/>
      <c r="S8" s="147"/>
    </row>
    <row r="9" spans="1:64" s="2" customFormat="1" ht="18">
      <c r="A9" s="92" t="s">
        <v>164</v>
      </c>
      <c r="B9" s="97"/>
      <c r="C9" s="561"/>
      <c r="E9" s="182"/>
      <c r="F9" s="182"/>
      <c r="G9" s="182"/>
      <c r="H9" s="554"/>
      <c r="I9" s="554"/>
      <c r="J9" s="558"/>
      <c r="K9" s="559"/>
      <c r="L9" s="554"/>
      <c r="M9" s="555"/>
      <c r="N9" s="560"/>
      <c r="O9" s="147"/>
      <c r="P9" s="147"/>
      <c r="Q9" s="147"/>
      <c r="R9" s="147"/>
      <c r="S9" s="147"/>
    </row>
    <row r="10" spans="1:64" s="2" customFormat="1" ht="18">
      <c r="A10" s="1132" t="s">
        <v>54</v>
      </c>
      <c r="B10" s="1132"/>
      <c r="C10" s="1132"/>
      <c r="D10" s="1132"/>
      <c r="E10" s="1132"/>
      <c r="F10" s="1132"/>
      <c r="G10" s="1132"/>
      <c r="H10" s="1132"/>
      <c r="I10" s="1132"/>
      <c r="J10" s="1132"/>
      <c r="K10" s="1132"/>
    </row>
    <row r="11" spans="1:64" s="3" customFormat="1" ht="19.899999999999999" customHeight="1">
      <c r="A11" s="791"/>
      <c r="B11" s="1133" t="s">
        <v>55</v>
      </c>
      <c r="C11" s="1133"/>
      <c r="D11" s="1134" t="s">
        <v>0</v>
      </c>
      <c r="E11" s="1134"/>
      <c r="F11" s="1134" t="s">
        <v>21</v>
      </c>
      <c r="G11" s="1134"/>
      <c r="H11" s="1134" t="s">
        <v>56</v>
      </c>
      <c r="I11" s="1134"/>
      <c r="J11" s="1134" t="s">
        <v>57</v>
      </c>
      <c r="K11" s="1134"/>
    </row>
    <row r="12" spans="1:64" s="2" customFormat="1" ht="38.25" customHeight="1">
      <c r="A12" s="792" t="s">
        <v>58</v>
      </c>
      <c r="B12" s="793" t="s">
        <v>114</v>
      </c>
      <c r="C12" s="794" t="s">
        <v>59</v>
      </c>
      <c r="D12" s="793" t="s">
        <v>109</v>
      </c>
      <c r="E12" s="794" t="s">
        <v>59</v>
      </c>
      <c r="F12" s="793" t="s">
        <v>109</v>
      </c>
      <c r="G12" s="794" t="s">
        <v>59</v>
      </c>
      <c r="H12" s="793" t="s">
        <v>109</v>
      </c>
      <c r="I12" s="794" t="s">
        <v>59</v>
      </c>
      <c r="J12" s="793" t="s">
        <v>109</v>
      </c>
      <c r="K12" s="794" t="s">
        <v>59</v>
      </c>
    </row>
    <row r="13" spans="1:64" s="2" customFormat="1" ht="21.6" customHeight="1">
      <c r="A13" s="588" t="s">
        <v>103</v>
      </c>
      <c r="B13" s="587"/>
      <c r="C13" s="586">
        <f t="shared" ref="C13:C38" si="0">IF(AND($C$7&gt;=$P$5,$C$7&lt;=$R$5),B13*$C$7*$T$5/100,IF(AND($C$7&gt;=$P$4,$C$7&lt;=$R$4),B13*$C$7*$T$4/100,IF(AND($C$7&gt;=$P$3,$C$7&lt;=$R$3),B13*$C$7*$T$3/100,IF($C$7&gt;=$P$6,B13*$C$7*$T$6/100))))</f>
        <v>0</v>
      </c>
      <c r="D13" s="587"/>
      <c r="E13" s="586">
        <f t="shared" ref="E13:E38" si="1">IF(AND($C$7&gt;=$P$5,$C$7&lt;=$R$5),D13*$C$7*$T$5/100,IF(AND($C$7&gt;=$P$4,$C$7&lt;=$R$4),D13*$C$7*$T$4/100,IF(AND($C$7&gt;=$P$3,$C$7&lt;=$R$3),D13*$C$7*$T$3/100,IF($C$7&gt;=$P$6,D13*$C$7*$T$6/100))))</f>
        <v>0</v>
      </c>
      <c r="F13" s="587"/>
      <c r="G13" s="586">
        <f t="shared" ref="G13:G35" si="2">IF(AND($C$7&gt;=$P$5,$C$7&lt;=$R$5),F13*$C$7*$T$5/100,IF(AND($C$7&gt;=$P$4,$C$7&lt;=$R$4),F13*$C$7*$T$4/100,IF(AND($C$7&gt;=$P$3,$C$7&lt;=$R$3),F13*$C$7*$T$3/100,IF($C$7&gt;=$P$6,F13*$C$7*$T$6/100))))</f>
        <v>0</v>
      </c>
      <c r="H13" s="586">
        <f t="shared" ref="H13:H36" si="3">((B13*5)+D13)/6</f>
        <v>0</v>
      </c>
      <c r="I13" s="586">
        <f t="shared" ref="I13:I36" si="4">IF(AND($C$7&gt;=$P$5,$C$7&lt;=$R$5),H13*$C$7*$T$5/100,IF(AND($C$7&gt;=$P$4,$C$7&lt;=$R$4),H13*$C$7*$T$4/100,IF(AND($C$7&gt;=$P$3,$C$7&lt;=$R$3),H13*$C$7*$T$3/100,IF($C$7&gt;=$P$6,H13*$C$7*$T$6/100))))</f>
        <v>0</v>
      </c>
      <c r="J13" s="586">
        <f t="shared" ref="J13:J36" si="5">((B13*5)+D13+F13)/7</f>
        <v>0</v>
      </c>
      <c r="K13" s="586">
        <f t="shared" ref="K13:K36" si="6">IF(AND($C$7&gt;=$P$5,$C$7&lt;=$R$5),J13*$C$7*$T$5/100,IF(AND($C$7&gt;=$P$4,$C$7&lt;=$R$4),J13*$C$7*$T$4/100,IF(AND($C$7&gt;=$P$3,$C$7&lt;=$R$3),J13*$C$7*$T$3/100,IF($C$7&gt;=$P$6,J13*$C$7*$T$6/100))))</f>
        <v>0</v>
      </c>
      <c r="L13" s="553"/>
      <c r="M13" s="553"/>
      <c r="N13" s="553"/>
      <c r="T13" s="140"/>
      <c r="U13" s="140"/>
    </row>
    <row r="14" spans="1:64" s="2" customFormat="1" ht="21.6" customHeight="1">
      <c r="A14" s="585" t="s">
        <v>107</v>
      </c>
      <c r="B14" s="584"/>
      <c r="C14" s="583">
        <f t="shared" si="0"/>
        <v>0</v>
      </c>
      <c r="D14" s="584"/>
      <c r="E14" s="583">
        <f t="shared" si="1"/>
        <v>0</v>
      </c>
      <c r="F14" s="584"/>
      <c r="G14" s="583">
        <f t="shared" si="2"/>
        <v>0</v>
      </c>
      <c r="H14" s="583">
        <f t="shared" si="3"/>
        <v>0</v>
      </c>
      <c r="I14" s="583">
        <f t="shared" si="4"/>
        <v>0</v>
      </c>
      <c r="J14" s="583">
        <f t="shared" si="5"/>
        <v>0</v>
      </c>
      <c r="K14" s="583">
        <f t="shared" si="6"/>
        <v>0</v>
      </c>
      <c r="T14" s="140"/>
      <c r="U14" s="140"/>
    </row>
    <row r="15" spans="1:64" s="2" customFormat="1" ht="21.6" customHeight="1">
      <c r="A15" s="585" t="s">
        <v>106</v>
      </c>
      <c r="B15" s="584"/>
      <c r="C15" s="583">
        <f t="shared" si="0"/>
        <v>0</v>
      </c>
      <c r="D15" s="584"/>
      <c r="E15" s="583">
        <f t="shared" si="1"/>
        <v>0</v>
      </c>
      <c r="F15" s="584"/>
      <c r="G15" s="583">
        <f t="shared" si="2"/>
        <v>0</v>
      </c>
      <c r="H15" s="583">
        <f t="shared" si="3"/>
        <v>0</v>
      </c>
      <c r="I15" s="583">
        <f t="shared" si="4"/>
        <v>0</v>
      </c>
      <c r="J15" s="583">
        <f t="shared" si="5"/>
        <v>0</v>
      </c>
      <c r="K15" s="583">
        <f t="shared" si="6"/>
        <v>0</v>
      </c>
      <c r="T15" s="140"/>
      <c r="U15" s="140"/>
    </row>
    <row r="16" spans="1:64" s="2" customFormat="1" ht="21.6" customHeight="1">
      <c r="A16" s="585" t="s">
        <v>105</v>
      </c>
      <c r="B16" s="584"/>
      <c r="C16" s="583">
        <f t="shared" si="0"/>
        <v>0</v>
      </c>
      <c r="D16" s="584"/>
      <c r="E16" s="583">
        <f t="shared" si="1"/>
        <v>0</v>
      </c>
      <c r="F16" s="584"/>
      <c r="G16" s="583">
        <f t="shared" si="2"/>
        <v>0</v>
      </c>
      <c r="H16" s="583">
        <f t="shared" si="3"/>
        <v>0</v>
      </c>
      <c r="I16" s="583">
        <f t="shared" si="4"/>
        <v>0</v>
      </c>
      <c r="J16" s="583">
        <f t="shared" si="5"/>
        <v>0</v>
      </c>
      <c r="K16" s="583">
        <f t="shared" si="6"/>
        <v>0</v>
      </c>
    </row>
    <row r="17" spans="1:26" s="2" customFormat="1" ht="18">
      <c r="A17" s="585" t="s">
        <v>104</v>
      </c>
      <c r="B17" s="584"/>
      <c r="C17" s="583">
        <f t="shared" si="0"/>
        <v>0</v>
      </c>
      <c r="D17" s="584"/>
      <c r="E17" s="583">
        <f t="shared" si="1"/>
        <v>0</v>
      </c>
      <c r="F17" s="584"/>
      <c r="G17" s="583">
        <f t="shared" si="2"/>
        <v>0</v>
      </c>
      <c r="H17" s="583">
        <f t="shared" si="3"/>
        <v>0</v>
      </c>
      <c r="I17" s="583">
        <f t="shared" si="4"/>
        <v>0</v>
      </c>
      <c r="J17" s="583">
        <f t="shared" si="5"/>
        <v>0</v>
      </c>
      <c r="K17" s="583">
        <f t="shared" si="6"/>
        <v>0</v>
      </c>
      <c r="S17" s="141"/>
      <c r="V17" s="1"/>
      <c r="W17" s="1"/>
      <c r="X17" s="1"/>
      <c r="Y17" s="1"/>
      <c r="Z17" s="1"/>
    </row>
    <row r="18" spans="1:26" s="2" customFormat="1" ht="18">
      <c r="A18" s="585" t="s">
        <v>60</v>
      </c>
      <c r="B18" s="584">
        <v>15</v>
      </c>
      <c r="C18" s="583">
        <f t="shared" si="0"/>
        <v>450</v>
      </c>
      <c r="D18" s="584">
        <v>15</v>
      </c>
      <c r="E18" s="583">
        <f t="shared" si="1"/>
        <v>450</v>
      </c>
      <c r="F18" s="584">
        <v>15</v>
      </c>
      <c r="G18" s="583">
        <f t="shared" si="2"/>
        <v>450</v>
      </c>
      <c r="H18" s="583">
        <f t="shared" si="3"/>
        <v>15</v>
      </c>
      <c r="I18" s="583">
        <f t="shared" si="4"/>
        <v>450</v>
      </c>
      <c r="J18" s="583">
        <f t="shared" si="5"/>
        <v>15</v>
      </c>
      <c r="K18" s="583">
        <f t="shared" si="6"/>
        <v>450</v>
      </c>
      <c r="V18" s="3"/>
      <c r="W18" s="404"/>
      <c r="X18" s="3"/>
      <c r="Y18" s="3"/>
      <c r="Z18" s="3"/>
    </row>
    <row r="19" spans="1:26" s="2" customFormat="1" ht="18">
      <c r="A19" s="585" t="s">
        <v>61</v>
      </c>
      <c r="B19" s="584">
        <v>15</v>
      </c>
      <c r="C19" s="583">
        <f t="shared" si="0"/>
        <v>450</v>
      </c>
      <c r="D19" s="584">
        <v>15</v>
      </c>
      <c r="E19" s="583">
        <f t="shared" si="1"/>
        <v>450</v>
      </c>
      <c r="F19" s="584">
        <v>15</v>
      </c>
      <c r="G19" s="583">
        <f t="shared" si="2"/>
        <v>450</v>
      </c>
      <c r="H19" s="583">
        <f t="shared" si="3"/>
        <v>15</v>
      </c>
      <c r="I19" s="583">
        <f t="shared" si="4"/>
        <v>450</v>
      </c>
      <c r="J19" s="583">
        <f t="shared" si="5"/>
        <v>15</v>
      </c>
      <c r="K19" s="583">
        <f t="shared" si="6"/>
        <v>450</v>
      </c>
      <c r="V19" s="3"/>
      <c r="W19" s="3"/>
      <c r="X19" s="3"/>
      <c r="Y19" s="3"/>
      <c r="Z19" s="3"/>
    </row>
    <row r="20" spans="1:26" s="2" customFormat="1" ht="18">
      <c r="A20" s="585" t="s">
        <v>62</v>
      </c>
      <c r="B20" s="584">
        <v>15</v>
      </c>
      <c r="C20" s="583">
        <f t="shared" si="0"/>
        <v>450</v>
      </c>
      <c r="D20" s="584">
        <v>15</v>
      </c>
      <c r="E20" s="583">
        <f t="shared" si="1"/>
        <v>450</v>
      </c>
      <c r="F20" s="584">
        <v>15</v>
      </c>
      <c r="G20" s="583">
        <f t="shared" si="2"/>
        <v>450</v>
      </c>
      <c r="H20" s="583">
        <f t="shared" si="3"/>
        <v>15</v>
      </c>
      <c r="I20" s="583">
        <f t="shared" si="4"/>
        <v>450</v>
      </c>
      <c r="J20" s="583">
        <f t="shared" si="5"/>
        <v>15</v>
      </c>
      <c r="K20" s="583">
        <f t="shared" si="6"/>
        <v>450</v>
      </c>
      <c r="V20" s="3"/>
      <c r="W20" s="3"/>
      <c r="X20" s="3"/>
      <c r="Y20" s="3"/>
      <c r="Z20" s="3"/>
    </row>
    <row r="21" spans="1:26" s="2" customFormat="1" ht="18">
      <c r="A21" s="585" t="s">
        <v>63</v>
      </c>
      <c r="B21" s="584">
        <v>15</v>
      </c>
      <c r="C21" s="583">
        <f t="shared" si="0"/>
        <v>450</v>
      </c>
      <c r="D21" s="584">
        <v>15</v>
      </c>
      <c r="E21" s="583">
        <f t="shared" si="1"/>
        <v>450</v>
      </c>
      <c r="F21" s="584">
        <v>15</v>
      </c>
      <c r="G21" s="583">
        <f t="shared" si="2"/>
        <v>450</v>
      </c>
      <c r="H21" s="583">
        <f t="shared" si="3"/>
        <v>15</v>
      </c>
      <c r="I21" s="583">
        <f t="shared" si="4"/>
        <v>450</v>
      </c>
      <c r="J21" s="583">
        <f t="shared" si="5"/>
        <v>15</v>
      </c>
      <c r="K21" s="583">
        <f t="shared" si="6"/>
        <v>450</v>
      </c>
      <c r="V21" s="3"/>
      <c r="W21" s="3"/>
      <c r="X21" s="3"/>
      <c r="Y21" s="3"/>
      <c r="Z21" s="3"/>
    </row>
    <row r="22" spans="1:26" s="2" customFormat="1" ht="18">
      <c r="A22" s="585" t="s">
        <v>64</v>
      </c>
      <c r="B22" s="584">
        <v>15</v>
      </c>
      <c r="C22" s="583">
        <f t="shared" si="0"/>
        <v>450</v>
      </c>
      <c r="D22" s="584">
        <v>15</v>
      </c>
      <c r="E22" s="583">
        <f t="shared" si="1"/>
        <v>450</v>
      </c>
      <c r="F22" s="584">
        <v>15</v>
      </c>
      <c r="G22" s="583">
        <f t="shared" si="2"/>
        <v>450</v>
      </c>
      <c r="H22" s="583">
        <f t="shared" si="3"/>
        <v>15</v>
      </c>
      <c r="I22" s="583">
        <f t="shared" si="4"/>
        <v>450</v>
      </c>
      <c r="J22" s="583">
        <f t="shared" si="5"/>
        <v>15</v>
      </c>
      <c r="K22" s="583">
        <f t="shared" si="6"/>
        <v>450</v>
      </c>
    </row>
    <row r="23" spans="1:26" s="2" customFormat="1" ht="18">
      <c r="A23" s="585" t="s">
        <v>65</v>
      </c>
      <c r="B23" s="584">
        <v>15</v>
      </c>
      <c r="C23" s="583">
        <f t="shared" si="0"/>
        <v>450</v>
      </c>
      <c r="D23" s="584">
        <v>15</v>
      </c>
      <c r="E23" s="583">
        <f t="shared" si="1"/>
        <v>450</v>
      </c>
      <c r="F23" s="584">
        <v>15</v>
      </c>
      <c r="G23" s="583">
        <f t="shared" si="2"/>
        <v>450</v>
      </c>
      <c r="H23" s="583">
        <f t="shared" si="3"/>
        <v>15</v>
      </c>
      <c r="I23" s="583">
        <f t="shared" si="4"/>
        <v>450</v>
      </c>
      <c r="J23" s="583">
        <f t="shared" si="5"/>
        <v>15</v>
      </c>
      <c r="K23" s="583">
        <f t="shared" si="6"/>
        <v>450</v>
      </c>
    </row>
    <row r="24" spans="1:26" s="2" customFormat="1" ht="18">
      <c r="A24" s="585" t="s">
        <v>66</v>
      </c>
      <c r="B24" s="584">
        <v>15</v>
      </c>
      <c r="C24" s="583">
        <f t="shared" si="0"/>
        <v>450</v>
      </c>
      <c r="D24" s="584">
        <v>15</v>
      </c>
      <c r="E24" s="583">
        <f t="shared" si="1"/>
        <v>450</v>
      </c>
      <c r="F24" s="584">
        <v>15</v>
      </c>
      <c r="G24" s="583">
        <f t="shared" si="2"/>
        <v>450</v>
      </c>
      <c r="H24" s="583">
        <f t="shared" si="3"/>
        <v>15</v>
      </c>
      <c r="I24" s="583">
        <f t="shared" si="4"/>
        <v>450</v>
      </c>
      <c r="J24" s="583">
        <f t="shared" si="5"/>
        <v>15</v>
      </c>
      <c r="K24" s="583">
        <f t="shared" si="6"/>
        <v>450</v>
      </c>
    </row>
    <row r="25" spans="1:26" s="2" customFormat="1" ht="18">
      <c r="A25" s="585" t="s">
        <v>67</v>
      </c>
      <c r="B25" s="584">
        <v>15</v>
      </c>
      <c r="C25" s="583">
        <f t="shared" si="0"/>
        <v>450</v>
      </c>
      <c r="D25" s="584">
        <v>15</v>
      </c>
      <c r="E25" s="583">
        <f t="shared" si="1"/>
        <v>450</v>
      </c>
      <c r="F25" s="584">
        <v>15</v>
      </c>
      <c r="G25" s="583">
        <f t="shared" si="2"/>
        <v>450</v>
      </c>
      <c r="H25" s="583">
        <f t="shared" si="3"/>
        <v>15</v>
      </c>
      <c r="I25" s="583">
        <f t="shared" si="4"/>
        <v>450</v>
      </c>
      <c r="J25" s="583">
        <f t="shared" si="5"/>
        <v>15</v>
      </c>
      <c r="K25" s="583">
        <f t="shared" si="6"/>
        <v>450</v>
      </c>
    </row>
    <row r="26" spans="1:26" s="2" customFormat="1" ht="18">
      <c r="A26" s="585" t="s">
        <v>68</v>
      </c>
      <c r="B26" s="584">
        <v>15</v>
      </c>
      <c r="C26" s="583">
        <f t="shared" si="0"/>
        <v>450</v>
      </c>
      <c r="D26" s="584">
        <v>15</v>
      </c>
      <c r="E26" s="583">
        <f t="shared" si="1"/>
        <v>450</v>
      </c>
      <c r="F26" s="584">
        <v>15</v>
      </c>
      <c r="G26" s="583">
        <f t="shared" si="2"/>
        <v>450</v>
      </c>
      <c r="H26" s="583">
        <f t="shared" si="3"/>
        <v>15</v>
      </c>
      <c r="I26" s="583">
        <f t="shared" si="4"/>
        <v>450</v>
      </c>
      <c r="J26" s="583">
        <f t="shared" si="5"/>
        <v>15</v>
      </c>
      <c r="K26" s="583">
        <f t="shared" si="6"/>
        <v>450</v>
      </c>
    </row>
    <row r="27" spans="1:26" s="2" customFormat="1" ht="18">
      <c r="A27" s="585" t="s">
        <v>69</v>
      </c>
      <c r="B27" s="584">
        <v>15</v>
      </c>
      <c r="C27" s="583">
        <f t="shared" si="0"/>
        <v>450</v>
      </c>
      <c r="D27" s="584">
        <v>15</v>
      </c>
      <c r="E27" s="583">
        <f t="shared" si="1"/>
        <v>450</v>
      </c>
      <c r="F27" s="584">
        <v>15</v>
      </c>
      <c r="G27" s="583">
        <f t="shared" si="2"/>
        <v>450</v>
      </c>
      <c r="H27" s="583">
        <f t="shared" si="3"/>
        <v>15</v>
      </c>
      <c r="I27" s="583">
        <f t="shared" si="4"/>
        <v>450</v>
      </c>
      <c r="J27" s="583">
        <f t="shared" si="5"/>
        <v>15</v>
      </c>
      <c r="K27" s="583">
        <f t="shared" si="6"/>
        <v>450</v>
      </c>
    </row>
    <row r="28" spans="1:26" s="2" customFormat="1" ht="18">
      <c r="A28" s="585" t="s">
        <v>70</v>
      </c>
      <c r="B28" s="584">
        <v>15</v>
      </c>
      <c r="C28" s="583">
        <f t="shared" si="0"/>
        <v>450</v>
      </c>
      <c r="D28" s="584">
        <v>15</v>
      </c>
      <c r="E28" s="583">
        <f t="shared" si="1"/>
        <v>450</v>
      </c>
      <c r="F28" s="584">
        <v>15</v>
      </c>
      <c r="G28" s="583">
        <f t="shared" si="2"/>
        <v>450</v>
      </c>
      <c r="H28" s="583">
        <f t="shared" si="3"/>
        <v>15</v>
      </c>
      <c r="I28" s="583">
        <f t="shared" si="4"/>
        <v>450</v>
      </c>
      <c r="J28" s="583">
        <f t="shared" si="5"/>
        <v>15</v>
      </c>
      <c r="K28" s="583">
        <f t="shared" si="6"/>
        <v>450</v>
      </c>
    </row>
    <row r="29" spans="1:26" s="2" customFormat="1" ht="18">
      <c r="A29" s="585" t="s">
        <v>71</v>
      </c>
      <c r="B29" s="584">
        <v>15</v>
      </c>
      <c r="C29" s="583">
        <f t="shared" si="0"/>
        <v>450</v>
      </c>
      <c r="D29" s="584">
        <v>15</v>
      </c>
      <c r="E29" s="583">
        <f t="shared" si="1"/>
        <v>450</v>
      </c>
      <c r="F29" s="584">
        <v>15</v>
      </c>
      <c r="G29" s="583">
        <f t="shared" si="2"/>
        <v>450</v>
      </c>
      <c r="H29" s="583">
        <f t="shared" si="3"/>
        <v>15</v>
      </c>
      <c r="I29" s="583">
        <f t="shared" si="4"/>
        <v>450</v>
      </c>
      <c r="J29" s="583">
        <f t="shared" si="5"/>
        <v>15</v>
      </c>
      <c r="K29" s="583">
        <f t="shared" si="6"/>
        <v>450</v>
      </c>
    </row>
    <row r="30" spans="1:26" s="2" customFormat="1" ht="18">
      <c r="A30" s="585" t="s">
        <v>72</v>
      </c>
      <c r="B30" s="584">
        <v>15</v>
      </c>
      <c r="C30" s="583">
        <f t="shared" si="0"/>
        <v>450</v>
      </c>
      <c r="D30" s="584">
        <v>15</v>
      </c>
      <c r="E30" s="583">
        <f t="shared" si="1"/>
        <v>450</v>
      </c>
      <c r="F30" s="584">
        <v>15</v>
      </c>
      <c r="G30" s="583">
        <f t="shared" si="2"/>
        <v>450</v>
      </c>
      <c r="H30" s="583">
        <f t="shared" si="3"/>
        <v>15</v>
      </c>
      <c r="I30" s="583">
        <f t="shared" si="4"/>
        <v>450</v>
      </c>
      <c r="J30" s="583">
        <f t="shared" si="5"/>
        <v>15</v>
      </c>
      <c r="K30" s="583">
        <f t="shared" si="6"/>
        <v>450</v>
      </c>
    </row>
    <row r="31" spans="1:26" s="2" customFormat="1" ht="18">
      <c r="A31" s="585" t="s">
        <v>73</v>
      </c>
      <c r="B31" s="584">
        <v>15</v>
      </c>
      <c r="C31" s="583">
        <f t="shared" si="0"/>
        <v>450</v>
      </c>
      <c r="D31" s="584">
        <v>15</v>
      </c>
      <c r="E31" s="583">
        <f t="shared" si="1"/>
        <v>450</v>
      </c>
      <c r="F31" s="584">
        <v>15</v>
      </c>
      <c r="G31" s="583">
        <f t="shared" si="2"/>
        <v>450</v>
      </c>
      <c r="H31" s="583">
        <f t="shared" si="3"/>
        <v>15</v>
      </c>
      <c r="I31" s="583">
        <f t="shared" si="4"/>
        <v>450</v>
      </c>
      <c r="J31" s="583">
        <f t="shared" si="5"/>
        <v>15</v>
      </c>
      <c r="K31" s="583">
        <f t="shared" si="6"/>
        <v>450</v>
      </c>
    </row>
    <row r="32" spans="1:26" s="2" customFormat="1" ht="18">
      <c r="A32" s="585" t="s">
        <v>74</v>
      </c>
      <c r="B32" s="584"/>
      <c r="C32" s="583">
        <f t="shared" si="0"/>
        <v>0</v>
      </c>
      <c r="D32" s="584"/>
      <c r="E32" s="583">
        <f t="shared" si="1"/>
        <v>0</v>
      </c>
      <c r="F32" s="584"/>
      <c r="G32" s="583">
        <f t="shared" si="2"/>
        <v>0</v>
      </c>
      <c r="H32" s="583">
        <f t="shared" si="3"/>
        <v>0</v>
      </c>
      <c r="I32" s="583">
        <f t="shared" si="4"/>
        <v>0</v>
      </c>
      <c r="J32" s="583">
        <f t="shared" si="5"/>
        <v>0</v>
      </c>
      <c r="K32" s="583">
        <f t="shared" si="6"/>
        <v>0</v>
      </c>
    </row>
    <row r="33" spans="1:19" s="2" customFormat="1" ht="18">
      <c r="A33" s="585" t="s">
        <v>75</v>
      </c>
      <c r="B33" s="584"/>
      <c r="C33" s="583">
        <f t="shared" si="0"/>
        <v>0</v>
      </c>
      <c r="D33" s="584"/>
      <c r="E33" s="583">
        <f t="shared" si="1"/>
        <v>0</v>
      </c>
      <c r="F33" s="584"/>
      <c r="G33" s="583">
        <f t="shared" si="2"/>
        <v>0</v>
      </c>
      <c r="H33" s="583">
        <f t="shared" si="3"/>
        <v>0</v>
      </c>
      <c r="I33" s="583">
        <f t="shared" si="4"/>
        <v>0</v>
      </c>
      <c r="J33" s="583">
        <f t="shared" si="5"/>
        <v>0</v>
      </c>
      <c r="K33" s="583">
        <f t="shared" si="6"/>
        <v>0</v>
      </c>
    </row>
    <row r="34" spans="1:19" s="2" customFormat="1" ht="18">
      <c r="A34" s="585" t="s">
        <v>76</v>
      </c>
      <c r="B34" s="584"/>
      <c r="C34" s="583">
        <f t="shared" si="0"/>
        <v>0</v>
      </c>
      <c r="D34" s="584"/>
      <c r="E34" s="583">
        <f t="shared" si="1"/>
        <v>0</v>
      </c>
      <c r="F34" s="584"/>
      <c r="G34" s="583">
        <f t="shared" si="2"/>
        <v>0</v>
      </c>
      <c r="H34" s="583">
        <f t="shared" si="3"/>
        <v>0</v>
      </c>
      <c r="I34" s="583">
        <f t="shared" si="4"/>
        <v>0</v>
      </c>
      <c r="J34" s="583">
        <f t="shared" si="5"/>
        <v>0</v>
      </c>
      <c r="K34" s="583">
        <f t="shared" si="6"/>
        <v>0</v>
      </c>
    </row>
    <row r="35" spans="1:19" s="2" customFormat="1" ht="18">
      <c r="A35" s="585" t="s">
        <v>77</v>
      </c>
      <c r="B35" s="584"/>
      <c r="C35" s="583">
        <f t="shared" si="0"/>
        <v>0</v>
      </c>
      <c r="D35" s="584"/>
      <c r="E35" s="583">
        <f t="shared" si="1"/>
        <v>0</v>
      </c>
      <c r="F35" s="584"/>
      <c r="G35" s="583">
        <f t="shared" si="2"/>
        <v>0</v>
      </c>
      <c r="H35" s="583">
        <f t="shared" si="3"/>
        <v>0</v>
      </c>
      <c r="I35" s="583">
        <f t="shared" si="4"/>
        <v>0</v>
      </c>
      <c r="J35" s="583">
        <f t="shared" si="5"/>
        <v>0</v>
      </c>
      <c r="K35" s="583">
        <f t="shared" si="6"/>
        <v>0</v>
      </c>
      <c r="R35" s="140"/>
    </row>
    <row r="36" spans="1:19" s="2" customFormat="1" ht="18">
      <c r="A36" s="582" t="s">
        <v>78</v>
      </c>
      <c r="B36" s="581"/>
      <c r="C36" s="580">
        <f t="shared" si="0"/>
        <v>0</v>
      </c>
      <c r="D36" s="581"/>
      <c r="E36" s="580">
        <f t="shared" si="1"/>
        <v>0</v>
      </c>
      <c r="F36" s="581"/>
      <c r="G36" s="580">
        <f>F36*$C$7</f>
        <v>0</v>
      </c>
      <c r="H36" s="580">
        <f t="shared" si="3"/>
        <v>0</v>
      </c>
      <c r="I36" s="580">
        <f t="shared" si="4"/>
        <v>0</v>
      </c>
      <c r="J36" s="580">
        <f t="shared" si="5"/>
        <v>0</v>
      </c>
      <c r="K36" s="580">
        <f t="shared" si="6"/>
        <v>0</v>
      </c>
    </row>
    <row r="37" spans="1:19" s="3" customFormat="1" ht="27.75" customHeight="1">
      <c r="A37" s="795" t="s">
        <v>79</v>
      </c>
      <c r="B37" s="796">
        <f>SUM(B19:B30)/12</f>
        <v>15</v>
      </c>
      <c r="C37" s="797">
        <f t="shared" si="0"/>
        <v>450</v>
      </c>
      <c r="D37" s="797">
        <f>SUM(D19:D30)/12</f>
        <v>15</v>
      </c>
      <c r="E37" s="797">
        <f t="shared" si="1"/>
        <v>450</v>
      </c>
      <c r="F37" s="797">
        <f>SUM(F19:F30)/12</f>
        <v>15</v>
      </c>
      <c r="G37" s="797">
        <f>IF(AND($C$7&gt;=$P$5,$C$7&lt;=$R$5),F37*$C$7*$T$5/100,IF(AND($C$7&gt;=$P$4,$C$7&lt;=$R$4),F37*$C$7*$T$4/100,IF(AND($C$7&gt;=$P$3,$C$7&lt;=$R$3),F37*$C$7*$T$3/100,IF($C$7&gt;=$P$6,F37*$C$7*$T$6/100))))</f>
        <v>450</v>
      </c>
      <c r="H37" s="797">
        <f>SUM(H19:H30)/12</f>
        <v>15</v>
      </c>
      <c r="I37" s="797">
        <f t="shared" ref="I37:I59" si="7">((5*C37)+E37)/6</f>
        <v>450</v>
      </c>
      <c r="J37" s="798">
        <f>SUM(J19:J30)/12</f>
        <v>15</v>
      </c>
      <c r="K37" s="797">
        <f t="shared" ref="K37:K59" si="8">((5*C37)+E37+G37)/7</f>
        <v>450</v>
      </c>
    </row>
    <row r="38" spans="1:19" s="3" customFormat="1" ht="21.75" customHeight="1">
      <c r="A38" s="791" t="s">
        <v>80</v>
      </c>
      <c r="B38" s="575">
        <f>SUM(B18:B22)/5</f>
        <v>15</v>
      </c>
      <c r="C38" s="574">
        <f t="shared" si="0"/>
        <v>450</v>
      </c>
      <c r="D38" s="574">
        <f>SUM(D18:D22)/5</f>
        <v>15</v>
      </c>
      <c r="E38" s="574">
        <f t="shared" si="1"/>
        <v>450</v>
      </c>
      <c r="F38" s="574">
        <f>SUM(F18:F22)/5</f>
        <v>15</v>
      </c>
      <c r="G38" s="574">
        <f>IF(AND($C$7&gt;=$P$5,$C$7&lt;=$R$5),F38*$C$7*$T$5/100,IF(AND($C$7&gt;=$P$4,$C$7&lt;=$R$4),F38*$C$7*$T$4/100,IF(AND($C$7&gt;=$P$3,$C$7&lt;=$R$3),F38*$C$7*$T$3/100,IF($C$7&gt;=$P$6,F38*$C$7*$T$6/100))))</f>
        <v>450</v>
      </c>
      <c r="H38" s="574">
        <f>SUM(H18:H22)/5</f>
        <v>15</v>
      </c>
      <c r="I38" s="574">
        <f t="shared" si="7"/>
        <v>450</v>
      </c>
      <c r="J38" s="574">
        <f>SUM(J18:J22)/5</f>
        <v>15</v>
      </c>
      <c r="K38" s="574">
        <f t="shared" si="8"/>
        <v>450</v>
      </c>
    </row>
    <row r="39" spans="1:19" s="3" customFormat="1" ht="21.75" customHeight="1">
      <c r="A39" s="791"/>
      <c r="B39" s="570"/>
      <c r="C39" s="569"/>
      <c r="D39" s="572"/>
      <c r="E39" s="569"/>
      <c r="F39" s="572"/>
      <c r="G39" s="569"/>
      <c r="H39" s="572"/>
      <c r="I39" s="569"/>
      <c r="J39" s="572"/>
      <c r="K39" s="569"/>
    </row>
    <row r="40" spans="1:19" s="3" customFormat="1" ht="21.75" customHeight="1">
      <c r="A40" s="791"/>
      <c r="B40" s="570"/>
      <c r="C40" s="569"/>
      <c r="D40" s="572"/>
      <c r="E40" s="569"/>
      <c r="F40" s="572"/>
      <c r="G40" s="569"/>
      <c r="H40" s="572"/>
      <c r="I40" s="569"/>
      <c r="J40" s="572"/>
      <c r="K40" s="569"/>
      <c r="S40" s="128"/>
    </row>
    <row r="41" spans="1:19" s="3" customFormat="1" ht="21.75" customHeight="1">
      <c r="A41" s="791" t="s">
        <v>81</v>
      </c>
      <c r="B41" s="570">
        <f>SUM(B19:B21)/3</f>
        <v>15</v>
      </c>
      <c r="C41" s="569">
        <f>IF(AND($C$7&gt;=$P$5,$C$7&lt;=$R$5),B41*$C$7*$T$5/100,IF(AND($C$7&gt;=$P$4,$C$7&lt;=$R$4),B41*$C$7*$T$4/100,IF(AND($C$7&gt;=$P$3,$C$7&lt;=$R$3),B41*$C$7*$T$3/100,IF($C$7&gt;=$P$6,B41*$C$7*$T$6/100))))</f>
        <v>450</v>
      </c>
      <c r="D41" s="569">
        <f>SUM(D19:D21)/3</f>
        <v>15</v>
      </c>
      <c r="E41" s="569">
        <f>IF(AND($C$7&gt;=$P$5,$C$7&lt;=$R$5),D41*$C$7*$T$5/100,IF(AND($C$7&gt;=$P$4,$C$7&lt;=$R$4),D41*$C$7*$T$4/100,IF(AND($C$7&gt;=$P$3,$C$7&lt;=$R$3),D41*$C$7*$T$3/100,IF($C$7&gt;=$P$6,D41*$C$7*$T$6/100))))</f>
        <v>450</v>
      </c>
      <c r="F41" s="569">
        <f>SUM(F19:F21)/3</f>
        <v>15</v>
      </c>
      <c r="G41" s="569">
        <f>IF(AND($C$7&gt;=$P$5,$C$7&lt;=$R$5),F41*$C$7*$T$5/100,IF(AND($C$7&gt;=$P$4,$C$7&lt;=$R$4),F41*$C$7*$T$4/100,IF(AND($C$7&gt;=$P$3,$C$7&lt;=$R$3),F41*$C$7*$T$3/100,IF($C$7&gt;=$P$6,F41*$C$7*$T$6/100))))</f>
        <v>450</v>
      </c>
      <c r="H41" s="569">
        <f>SUM(H19:H21)/3</f>
        <v>15</v>
      </c>
      <c r="I41" s="569">
        <f t="shared" si="7"/>
        <v>450</v>
      </c>
      <c r="J41" s="569">
        <f>SUM(J19:J21)/3</f>
        <v>15</v>
      </c>
      <c r="K41" s="569">
        <f t="shared" si="8"/>
        <v>450</v>
      </c>
    </row>
    <row r="42" spans="1:19" s="3" customFormat="1" ht="21.75" customHeight="1">
      <c r="A42" s="791" t="s">
        <v>82</v>
      </c>
      <c r="B42" s="570">
        <f>SUM(B19:B22)/4</f>
        <v>15</v>
      </c>
      <c r="C42" s="569">
        <f>IF(AND($C$7&gt;=$P$5,$C$7&lt;=$R$5),B42*$C$7*$T$5/100,IF(AND($C$7&gt;=$P$4,$C$7&lt;=$R$4),B42*$C$7*$T$4/100,IF(AND($C$7&gt;=$P$3,$C$7&lt;=$R$3),B42*$C$7*$T$3/100,IF($C$7&gt;=$P$6,B42*$C$7*$T$6/100))))</f>
        <v>450</v>
      </c>
      <c r="D42" s="569">
        <f>SUM(D19:D22)/4</f>
        <v>15</v>
      </c>
      <c r="E42" s="569">
        <f>IF(AND($C$7&gt;=$P$5,$C$7&lt;=$R$5),D42*$C$7*$T$5/100,IF(AND($C$7&gt;=$P$4,$C$7&lt;=$R$4),D42*$C$7*$T$4/100,IF(AND($C$7&gt;=$P$3,$C$7&lt;=$R$3),D42*$C$7*$T$3/100,IF($C$7&gt;=$P$6,D42*$C$7*$T$6/100))))</f>
        <v>450</v>
      </c>
      <c r="F42" s="569">
        <f>SUM(F19:F22)/4</f>
        <v>15</v>
      </c>
      <c r="G42" s="569">
        <f>IF(AND($C$7&gt;=$P$5,$C$7&lt;=$R$5),F42*$C$7*$T$5/100,IF(AND($C$7&gt;=$P$4,$C$7&lt;=$R$4),F42*$C$7*$T$4/100,IF(AND($C$7&gt;=$P$3,$C$7&lt;=$R$3),F42*$C$7*$T$3/100,IF($C$7&gt;=$P$6,F42*$C$7*$T$6/100))))</f>
        <v>450</v>
      </c>
      <c r="H42" s="569">
        <f>SUM(H19:H22)/4</f>
        <v>15</v>
      </c>
      <c r="I42" s="569">
        <f t="shared" si="7"/>
        <v>450</v>
      </c>
      <c r="J42" s="569">
        <f>SUM(J19:J22)/4</f>
        <v>15</v>
      </c>
      <c r="K42" s="569">
        <f t="shared" si="8"/>
        <v>450</v>
      </c>
    </row>
    <row r="43" spans="1:19" s="3" customFormat="1" ht="21.75" customHeight="1">
      <c r="A43" s="791" t="s">
        <v>154</v>
      </c>
      <c r="B43" s="570">
        <f>SUM(B19:B26)/8</f>
        <v>15</v>
      </c>
      <c r="C43" s="569">
        <f>IF(AND($C$7&gt;=$P$5,$C$7&lt;=$R$5),B43*$C$7*$T$5/100,IF(AND($C$7&gt;=$P$4,$C$7&lt;=$R$4),B43*$C$7*$T$4/100,IF(AND($C$7&gt;=$P$3,$C$7&lt;=$R$3),B43*$C$7*$T$3/100,IF($C$7&gt;=$P$6,B43*$C$7*$T$6/100))))</f>
        <v>450</v>
      </c>
      <c r="D43" s="569">
        <f>SUM(D19:D26)/8</f>
        <v>15</v>
      </c>
      <c r="E43" s="569">
        <f>IF(AND($C$7&gt;=$P$5,$C$7&lt;=$R$5),D43*$C$7*$T$5/100,IF(AND($C$7&gt;=$P$4,$C$7&lt;=$R$4),D43*$C$7*$T$4/100,IF(AND($C$7&gt;=$P$3,$C$7&lt;=$R$3),D43*$C$7*$T$3/100,IF($C$7&gt;=$P$6,D43*$C$7*$T$6/100))))</f>
        <v>450</v>
      </c>
      <c r="F43" s="569">
        <f>SUM(F19:F26)/8</f>
        <v>15</v>
      </c>
      <c r="G43" s="569">
        <f>IF(AND($C$7&gt;=$P$5,$C$7&lt;=$R$5),F43*$C$7*$T$5/100,IF(AND($C$7&gt;=$P$4,$C$7&lt;=$R$4),F43*$C$7*$T$4/100,IF(AND($C$7&gt;=$P$3,$C$7&lt;=$R$3),F43*$C$7*$T$3/100,IF($C$7&gt;=$P$6,F43*$C$7*$T$6/100))))</f>
        <v>450</v>
      </c>
      <c r="H43" s="569">
        <f>SUM(H19:H26)/8</f>
        <v>15</v>
      </c>
      <c r="I43" s="569">
        <f t="shared" ref="I43" si="9">((5*C43)+E43)/6</f>
        <v>450</v>
      </c>
      <c r="J43" s="569">
        <f>SUM(J19:J26)/8</f>
        <v>15</v>
      </c>
      <c r="K43" s="569">
        <f t="shared" ref="K43" si="10">((5*C43)+E43+G43)/7</f>
        <v>450</v>
      </c>
    </row>
    <row r="44" spans="1:19" s="3" customFormat="1" ht="21.75" customHeight="1">
      <c r="A44" s="791" t="s">
        <v>83</v>
      </c>
      <c r="B44" s="570">
        <f>SUM(B19:B31)/13</f>
        <v>15</v>
      </c>
      <c r="C44" s="569">
        <f>IF(AND($C$7&gt;=$P$5,$C$7&lt;=$R$5),B44*$C$7*$T$5/100,IF(AND($C$7&gt;=$P$4,$C$7&lt;=$R$4),B44*$C$7*$T$4/100,IF(AND($C$7&gt;=$P$3,$C$7&lt;=$R$3),B44*$C$7*$T$3/100,IF($C$7&gt;=$P$6,B44*$C$7*$T$6/100))))</f>
        <v>450</v>
      </c>
      <c r="D44" s="569">
        <f>SUM(D19:D31)/13</f>
        <v>15</v>
      </c>
      <c r="E44" s="569">
        <f>IF(AND($C$7&gt;=$P$5,$C$7&lt;=$R$5),D44*$C$7*$T$5/100,IF(AND($C$7&gt;=$P$4,$C$7&lt;=$R$4),D44*$C$7*$T$4/100,IF(AND($C$7&gt;=$P$3,$C$7&lt;=$R$3),D44*$C$7*$T$3/100,IF($C$7&gt;=$P$6,D44*$C$7*$T$6/100))))</f>
        <v>450</v>
      </c>
      <c r="F44" s="569">
        <f>SUM(F19:F31)/13</f>
        <v>15</v>
      </c>
      <c r="G44" s="569">
        <f>IF(AND($C$7&gt;=$P$5,$C$7&lt;=$R$5),F44*$C$7*$T$5/100,IF(AND($C$7&gt;=$P$4,$C$7&lt;=$R$4),F44*$C$7*$T$4/100,IF(AND($C$7&gt;=$P$3,$C$7&lt;=$R$3),F44*$C$7*$T$3/100,IF($C$7&gt;=$P$6,F44*$C$7*$T$6/100))))</f>
        <v>450</v>
      </c>
      <c r="H44" s="569">
        <f>SUM(H19:H31)/13</f>
        <v>15</v>
      </c>
      <c r="I44" s="569">
        <f t="shared" si="7"/>
        <v>450</v>
      </c>
      <c r="J44" s="569">
        <f>SUM(J19:J31)/13</f>
        <v>15</v>
      </c>
      <c r="K44" s="569">
        <f t="shared" si="8"/>
        <v>450</v>
      </c>
    </row>
    <row r="45" spans="1:19" s="3" customFormat="1" ht="21.75" customHeight="1">
      <c r="A45" s="791"/>
      <c r="B45" s="570"/>
      <c r="C45" s="569"/>
      <c r="D45" s="569"/>
      <c r="E45" s="569"/>
      <c r="F45" s="569"/>
      <c r="G45" s="569"/>
      <c r="H45" s="569"/>
      <c r="I45" s="569"/>
      <c r="J45" s="569"/>
      <c r="K45" s="569"/>
    </row>
    <row r="46" spans="1:19" s="3" customFormat="1" ht="21.75" customHeight="1">
      <c r="A46" s="791"/>
      <c r="B46" s="573"/>
      <c r="C46" s="569"/>
      <c r="D46" s="569"/>
      <c r="E46" s="569"/>
      <c r="F46" s="569"/>
      <c r="G46" s="569"/>
      <c r="H46" s="569"/>
      <c r="I46" s="569"/>
      <c r="J46" s="569"/>
      <c r="K46" s="569"/>
    </row>
    <row r="47" spans="1:19" ht="21.75" customHeight="1">
      <c r="A47" s="791"/>
      <c r="B47" s="570"/>
      <c r="C47" s="569"/>
      <c r="D47" s="569"/>
      <c r="E47" s="569"/>
      <c r="F47" s="569"/>
      <c r="G47" s="569"/>
      <c r="H47" s="569"/>
      <c r="I47" s="569"/>
      <c r="J47" s="569"/>
      <c r="K47" s="569"/>
    </row>
    <row r="48" spans="1:19" ht="21.75" customHeight="1">
      <c r="A48" s="791"/>
      <c r="B48" s="570"/>
      <c r="C48" s="569"/>
      <c r="D48" s="569"/>
      <c r="E48" s="569"/>
      <c r="F48" s="569"/>
      <c r="G48" s="569"/>
      <c r="H48" s="569"/>
      <c r="I48" s="569"/>
      <c r="J48" s="569"/>
      <c r="K48" s="569"/>
    </row>
    <row r="49" spans="1:38" s="3" customFormat="1" ht="21.75" customHeight="1">
      <c r="A49" s="791" t="s">
        <v>86</v>
      </c>
      <c r="B49" s="570">
        <f>SUM(B21:B25)/5</f>
        <v>15</v>
      </c>
      <c r="C49" s="569">
        <f>IF(AND($C$7&gt;=$P$5,$C$7&lt;=$R$5),B49*$C$7*$T$5/100,IF(AND($C$7&gt;=$P$4,$C$7&lt;=$R$4),B49*$C$7*$T$4/100,IF(AND($C$7&gt;=$P$3,$C$7&lt;=$R$3),B49*$C$7*$T$3/100,IF($C$7&gt;=$P$6,B49*$C$7*$T$6/100))))</f>
        <v>450</v>
      </c>
      <c r="D49" s="569">
        <f>SUM(D21:D25)/5</f>
        <v>15</v>
      </c>
      <c r="E49" s="569">
        <f>IF(AND($C$7&gt;=$P$5,$C$7&lt;=$R$5),D49*$C$7*$T$5/100,IF(AND($C$7&gt;=$P$4,$C$7&lt;=$R$4),D49*$C$7*$T$4/100,IF(AND($C$7&gt;=$P$3,$C$7&lt;=$R$3),D49*$C$7*$T$3/100,IF($C$7&gt;=$P$6,D49*$C$7*$T$6/100))))</f>
        <v>450</v>
      </c>
      <c r="F49" s="569">
        <f>SUM(F21:F25)/5</f>
        <v>15</v>
      </c>
      <c r="G49" s="569">
        <f>IF(AND($C$7&gt;=$P$5,$C$7&lt;=$R$5),F49*$C$7*$T$5/100,IF(AND($C$7&gt;=$P$4,$C$7&lt;=$R$4),F49*$C$7*$T$4/100,IF(AND($C$7&gt;=$P$3,$C$7&lt;=$R$3),F49*$C$7*$T$3/100,IF($C$7&gt;=$P$6,F49*$C$7*$T$6/100))))</f>
        <v>450</v>
      </c>
      <c r="H49" s="569">
        <f>SUM(H21:H25)/5</f>
        <v>15</v>
      </c>
      <c r="I49" s="569">
        <f t="shared" si="7"/>
        <v>450</v>
      </c>
      <c r="J49" s="569">
        <f>SUM(J21:J25)/5</f>
        <v>15</v>
      </c>
      <c r="K49" s="569">
        <f t="shared" si="8"/>
        <v>450</v>
      </c>
    </row>
    <row r="50" spans="1:38" s="3" customFormat="1" ht="21.75" customHeight="1">
      <c r="A50" s="791" t="s">
        <v>87</v>
      </c>
      <c r="B50" s="570">
        <f>SUM(B21:B30)/10</f>
        <v>15</v>
      </c>
      <c r="C50" s="569">
        <f>IF(AND($C$7&gt;=$P$5,$C$7&lt;=$R$5),B50*$C$7*$T$5/100,IF(AND($C$7&gt;=$P$4,$C$7&lt;=$R$4),B50*$C$7*$T$4/100,IF(AND($C$7&gt;=$P$3,$C$7&lt;=$R$3),B50*$C$7*$T$3/100,IF($C$7&gt;=$P$6,B50*$C$7*$T$6/100))))</f>
        <v>450</v>
      </c>
      <c r="D50" s="569">
        <f>SUM(D21:D30)/10</f>
        <v>15</v>
      </c>
      <c r="E50" s="569">
        <f>IF(AND($C$7&gt;=$P$5,$C$7&lt;=$R$5),D50*$C$7*$T$5/100,IF(AND($C$7&gt;=$P$4,$C$7&lt;=$R$4),D50*$C$7*$T$4/100,IF(AND($C$7&gt;=$P$3,$C$7&lt;=$R$3),D50*$C$7*$T$3/100,IF($C$7&gt;=$P$6,D50*$C$7*$T$6/100))))</f>
        <v>450</v>
      </c>
      <c r="F50" s="569">
        <f>SUM(F21:F30)/10</f>
        <v>15</v>
      </c>
      <c r="G50" s="569">
        <f>IF(AND($C$7&gt;=$P$5,$C$7&lt;=$R$5),F50*$C$7*$T$5/100,IF(AND($C$7&gt;=$P$4,$C$7&lt;=$R$4),F50*$C$7*$T$4/100,IF(AND($C$7&gt;=$P$3,$C$7&lt;=$R$3),F50*$C$7*$T$3/100,IF($C$7&gt;=$P$6,F50*$C$7*$T$6/100))))</f>
        <v>450</v>
      </c>
      <c r="H50" s="569">
        <f>SUM(H21:H30)/10</f>
        <v>15</v>
      </c>
      <c r="I50" s="569">
        <f t="shared" si="7"/>
        <v>450</v>
      </c>
      <c r="J50" s="569">
        <f>SUM(J21:J30)/10</f>
        <v>15</v>
      </c>
      <c r="K50" s="569">
        <f t="shared" si="8"/>
        <v>450</v>
      </c>
    </row>
    <row r="51" spans="1:38" s="3" customFormat="1" ht="21.75" customHeight="1">
      <c r="A51" s="791" t="s">
        <v>100</v>
      </c>
      <c r="B51" s="570">
        <f>SUM(B21:B31)/11</f>
        <v>15</v>
      </c>
      <c r="C51" s="569">
        <f>IF(AND($C$7&gt;=$P$5,$C$7&lt;=$R$5),B51*$C$7*$T$5/100,IF(AND($C$7&gt;=$P$4,$C$7&lt;=$R$4),B51*$C$7*$T$4/100,IF(AND($C$7&gt;=$P$3,$C$7&lt;=$R$3),B51*$C$7*$T$3/100,IF($C$7&gt;=$P$6,B51*$C$7*$T$6/100))))</f>
        <v>450</v>
      </c>
      <c r="D51" s="569">
        <f>SUM(D21:D31)/11</f>
        <v>15</v>
      </c>
      <c r="E51" s="569">
        <f>IF(AND($C$7&gt;=$P$5,$C$7&lt;=$R$5),D51*$C$7*$T$5/100,IF(AND($C$7&gt;=$P$4,$C$7&lt;=$R$4),D51*$C$7*$T$4/100,IF(AND($C$7&gt;=$P$3,$C$7&lt;=$R$3),D51*$C$7*$T$3/100,IF($C$7&gt;=$P$6,D51*$C$7*$T$6/100))))</f>
        <v>450</v>
      </c>
      <c r="F51" s="569">
        <f>SUM(F21:F31)/11</f>
        <v>15</v>
      </c>
      <c r="G51" s="569">
        <f>IF(AND($C$7&gt;=$P$5,$C$7&lt;=$R$5),F51*$C$7*$T$5/100,IF(AND($C$7&gt;=$P$4,$C$7&lt;=$R$4),F51*$C$7*$T$4/100,IF(AND($C$7&gt;=$P$3,$C$7&lt;=$R$3),F51*$C$7*$T$3/100,IF($C$7&gt;=$P$6,F51*$C$7*$T$6/100))))</f>
        <v>450</v>
      </c>
      <c r="H51" s="569">
        <f>SUM(H21:H31)/11</f>
        <v>15</v>
      </c>
      <c r="I51" s="569">
        <f t="shared" si="7"/>
        <v>450</v>
      </c>
      <c r="J51" s="569">
        <f>SUM(J21:J31)/11</f>
        <v>15</v>
      </c>
      <c r="K51" s="569">
        <f t="shared" si="8"/>
        <v>450</v>
      </c>
    </row>
    <row r="52" spans="1:38" s="3" customFormat="1" ht="21.75" customHeight="1">
      <c r="A52" s="791"/>
      <c r="B52" s="570"/>
      <c r="C52" s="569"/>
      <c r="D52" s="569"/>
      <c r="E52" s="569"/>
      <c r="F52" s="569"/>
      <c r="G52" s="569"/>
      <c r="H52" s="569"/>
      <c r="I52" s="569"/>
      <c r="J52" s="569"/>
      <c r="K52" s="569"/>
    </row>
    <row r="53" spans="1:38" s="3" customFormat="1" ht="21.75" customHeight="1">
      <c r="A53" s="791"/>
      <c r="B53" s="570"/>
      <c r="C53" s="569"/>
      <c r="D53" s="569"/>
      <c r="E53" s="569"/>
      <c r="F53" s="569"/>
      <c r="G53" s="569"/>
      <c r="H53" s="569"/>
      <c r="I53" s="569"/>
      <c r="J53" s="569"/>
      <c r="K53" s="569"/>
    </row>
    <row r="54" spans="1:38" s="3" customFormat="1" ht="21.75" customHeight="1">
      <c r="A54" s="791"/>
      <c r="B54" s="570"/>
      <c r="C54" s="570"/>
      <c r="D54" s="569"/>
      <c r="E54" s="569"/>
      <c r="F54" s="569"/>
      <c r="G54" s="569"/>
      <c r="H54" s="569"/>
      <c r="I54" s="569"/>
      <c r="J54" s="569"/>
      <c r="K54" s="569"/>
      <c r="L54" s="165"/>
      <c r="O54" s="158"/>
      <c r="P54" s="158"/>
      <c r="Q54" s="167"/>
      <c r="R54" s="166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</row>
    <row r="55" spans="1:38" s="3" customFormat="1" ht="21.75" customHeight="1">
      <c r="A55" s="791"/>
      <c r="B55" s="570"/>
      <c r="C55" s="569"/>
      <c r="D55" s="569"/>
      <c r="E55" s="569"/>
      <c r="F55" s="569"/>
      <c r="G55" s="569"/>
      <c r="H55" s="569"/>
      <c r="I55" s="569"/>
      <c r="J55" s="569"/>
      <c r="K55" s="569"/>
    </row>
    <row r="56" spans="1:38" s="3" customFormat="1" ht="21.75" customHeight="1">
      <c r="A56" s="791" t="s">
        <v>157</v>
      </c>
      <c r="B56" s="570">
        <f>SUM(B23:B27)/5</f>
        <v>15</v>
      </c>
      <c r="C56" s="569">
        <f>IF(AND($C$7&gt;=$P$5,$C$7&lt;=$R$5),B56*$C$7*$T$5/100,IF(AND($C$7&gt;=$P$4,$C$7&lt;=$R$4),B56*$C$7*$T$4/100,IF(AND($C$7&gt;=$P$3,$C$7&lt;=$R$3),B56*$C$7*$T$3/100,IF($C$7&gt;=$P$6,B56*$C$7*$T$6/100))))</f>
        <v>450</v>
      </c>
      <c r="D56" s="569">
        <f>SUM(D23:D27)/5</f>
        <v>15</v>
      </c>
      <c r="E56" s="569">
        <f>IF(AND($C$7&gt;=$P$5,$C$7&lt;=$R$5),D56*$C$7*$T$5/100,IF(AND($C$7&gt;=$P$4,$C$7&lt;=$R$4),D56*$C$7*$T$4/100,IF(AND($C$7&gt;=$P$3,$C$7&lt;=$R$3),D56*$C$7*$T$3/100,IF($C$7&gt;=$P$6,D56*$C$7*$T$6/100))))</f>
        <v>450</v>
      </c>
      <c r="F56" s="569">
        <f>SUM(F23:F27)/5</f>
        <v>15</v>
      </c>
      <c r="G56" s="569">
        <f>IF(AND($C$7&gt;=$P$5,$C$7&lt;=$R$5),F56*$C$7*$T$5/100,IF(AND($C$7&gt;=$P$4,$C$7&lt;=$R$4),F56*$C$7*$T$4/100,IF(AND($C$7&gt;=$P$3,$C$7&lt;=$R$3),F56*$C$7*$T$3/100,IF($C$7&gt;=$P$6,F56*$C$7*$T$6/100))))</f>
        <v>450</v>
      </c>
      <c r="H56" s="569">
        <f>SUM(H23:H27)/5</f>
        <v>15</v>
      </c>
      <c r="I56" s="569">
        <f t="shared" ref="I56" si="11">((5*C56)+E56)/6</f>
        <v>450</v>
      </c>
      <c r="J56" s="569">
        <f>SUM(J23:J27)/5</f>
        <v>15</v>
      </c>
      <c r="K56" s="569">
        <f t="shared" ref="K56" si="12">((5*C56)+E56+G56)/7</f>
        <v>450</v>
      </c>
    </row>
    <row r="57" spans="1:38" s="3" customFormat="1" ht="21.75" customHeight="1">
      <c r="A57" s="791" t="s">
        <v>90</v>
      </c>
      <c r="B57" s="570">
        <f>SUM(B23:B28)/6</f>
        <v>15</v>
      </c>
      <c r="C57" s="569">
        <f>IF(AND($C$7&gt;=$P$5,$C$7&lt;=$R$5),B57*$C$7*$T$5/100,IF(AND($C$7&gt;=$P$4,$C$7&lt;=$R$4),B57*$C$7*$T$4/100,IF(AND($C$7&gt;=$P$3,$C$7&lt;=$R$3),B57*$C$7*$T$3/100,IF($C$7&gt;=$P$6,B57*$C$7*$T$6/100))))</f>
        <v>450</v>
      </c>
      <c r="D57" s="569">
        <f>SUM(D23:D28)/6</f>
        <v>15</v>
      </c>
      <c r="E57" s="569">
        <f>IF(AND($C$7&gt;=$P$5,$C$7&lt;=$R$5),D57*$C$7*$T$5/100,IF(AND($C$7&gt;=$P$4,$C$7&lt;=$R$4),D57*$C$7*$T$4/100,IF(AND($C$7&gt;=$P$3,$C$7&lt;=$R$3),D57*$C$7*$T$3/100,IF($C$7&gt;=$P$6,D57*$C$7*$T$6/100))))</f>
        <v>450</v>
      </c>
      <c r="F57" s="569">
        <f>SUM(F23:F28)/6</f>
        <v>15</v>
      </c>
      <c r="G57" s="569">
        <f>IF(AND($C$7&gt;=$P$5,$C$7&lt;=$R$5),F57*$C$7*$T$5/100,IF(AND($C$7&gt;=$P$4,$C$7&lt;=$R$4),F57*$C$7*$T$4/100,IF(AND($C$7&gt;=$P$3,$C$7&lt;=$R$3),F57*$C$7*$T$3/100,IF($C$7&gt;=$P$6,F57*$C$7*$T$6/100))))</f>
        <v>450</v>
      </c>
      <c r="H57" s="569">
        <f>SUM(H23:H28)/6</f>
        <v>15</v>
      </c>
      <c r="I57" s="569">
        <f t="shared" si="7"/>
        <v>450</v>
      </c>
      <c r="J57" s="569">
        <f>SUM(J23:J28)/6</f>
        <v>15</v>
      </c>
      <c r="K57" s="569">
        <f t="shared" si="8"/>
        <v>450</v>
      </c>
    </row>
    <row r="58" spans="1:38" s="3" customFormat="1" ht="21.75" customHeight="1">
      <c r="A58" s="791" t="s">
        <v>91</v>
      </c>
      <c r="B58" s="570">
        <f>SUM(B23:B30)/8</f>
        <v>15</v>
      </c>
      <c r="C58" s="569">
        <f>IF(AND($C$7&gt;=$P$5,$C$7&lt;=$R$5),B58*$C$7*$T$5/100,IF(AND($C$7&gt;=$P$4,$C$7&lt;=$R$4),B58*$C$7*$T$4/100,IF(AND($C$7&gt;=$P$3,$C$7&lt;=$R$3),B58*$C$7*$T$3/100,IF($C$7&gt;=$P$6,B58*$C$7*$T$6/100))))</f>
        <v>450</v>
      </c>
      <c r="D58" s="569">
        <f>SUM(D23:D30)/8</f>
        <v>15</v>
      </c>
      <c r="E58" s="569">
        <f>IF(AND($C$7&gt;=$P$5,$C$7&lt;=$R$5),D58*$C$7*$T$5/100,IF(AND($C$7&gt;=$P$4,$C$7&lt;=$R$4),D58*$C$7*$T$4/100,IF(AND($C$7&gt;=$P$3,$C$7&lt;=$R$3),D58*$C$7*$T$3/100,IF($C$7&gt;=$P$6,D58*$C$7*$T$6/100))))</f>
        <v>450</v>
      </c>
      <c r="F58" s="569">
        <f>SUM(F23:F30)/8</f>
        <v>15</v>
      </c>
      <c r="G58" s="569">
        <f>IF(AND($C$7&gt;=$P$5,$C$7&lt;=$R$5),F58*$C$7*$T$5/100,IF(AND($C$7&gt;=$P$4,$C$7&lt;=$R$4),F58*$C$7*$T$4/100,IF(AND($C$7&gt;=$P$3,$C$7&lt;=$R$3),F58*$C$7*$T$3/100,IF($C$7&gt;=$P$6,F58*$C$7*$T$6/100))))</f>
        <v>450</v>
      </c>
      <c r="H58" s="569">
        <f>SUM(H23:H30)/8</f>
        <v>15</v>
      </c>
      <c r="I58" s="569">
        <f t="shared" si="7"/>
        <v>450</v>
      </c>
      <c r="J58" s="569">
        <f>SUM(J23:J30)/8</f>
        <v>15</v>
      </c>
      <c r="K58" s="569">
        <f t="shared" si="8"/>
        <v>450</v>
      </c>
    </row>
    <row r="59" spans="1:38" s="3" customFormat="1" ht="21.75" customHeight="1">
      <c r="A59" s="791" t="s">
        <v>99</v>
      </c>
      <c r="B59" s="570">
        <f>SUM(B23:B31)/9</f>
        <v>15</v>
      </c>
      <c r="C59" s="569">
        <f>IF(AND($C$7&gt;=$P$5,$C$7&lt;=$R$5),B59*$C$7*$T$5/100,IF(AND($C$7&gt;=$P$4,$C$7&lt;=$R$4),B59*$C$7*$T$4/100,IF(AND($C$7&gt;=$P$3,$C$7&lt;=$R$3),B59*$C$7*$T$3/100,IF($C$7&gt;=$P$6,B59*$C$7*$T$6/100))))</f>
        <v>450</v>
      </c>
      <c r="D59" s="572">
        <f>SUM(D23:D31)/9</f>
        <v>15</v>
      </c>
      <c r="E59" s="569">
        <f>IF(AND($C$7&gt;=$P$5,$C$7&lt;=$R$5),D59*$C$7*$T$5/100,IF(AND($C$7&gt;=$P$4,$C$7&lt;=$R$4),D59*$C$7*$T$4/100,IF(AND($C$7&gt;=$P$3,$C$7&lt;=$R$3),D59*$C$7*$T$3/100,IF($C$7&gt;=$P$6,D59*$C$7*$T$6/100))))</f>
        <v>450</v>
      </c>
      <c r="F59" s="572">
        <f>SUM(F23:F31)/9</f>
        <v>15</v>
      </c>
      <c r="G59" s="569">
        <f>IF(AND($C$7&gt;=$P$5,$C$7&lt;=$R$5),F59*$C$7*$T$5/100,IF(AND($C$7&gt;=$P$4,$C$7&lt;=$R$4),F59*$C$7*$T$4/100,IF(AND($C$7&gt;=$P$3,$C$7&lt;=$R$3),F59*$C$7*$T$3/100,IF($C$7&gt;=$P$6,F59*$C$7*$T$6/100))))</f>
        <v>450</v>
      </c>
      <c r="H59" s="572">
        <f>SUM(H23:H31)/9</f>
        <v>15</v>
      </c>
      <c r="I59" s="569">
        <f t="shared" si="7"/>
        <v>450</v>
      </c>
      <c r="J59" s="572">
        <f>SUM(J23:J31)/9</f>
        <v>15</v>
      </c>
      <c r="K59" s="569">
        <f t="shared" si="8"/>
        <v>450</v>
      </c>
    </row>
    <row r="60" spans="1:38" s="3" customFormat="1" ht="21.75" customHeight="1">
      <c r="A60" s="791"/>
      <c r="B60" s="570"/>
      <c r="C60" s="569"/>
      <c r="D60" s="569"/>
      <c r="E60" s="569"/>
      <c r="F60" s="569"/>
      <c r="G60" s="569"/>
      <c r="H60" s="569"/>
      <c r="I60" s="569"/>
      <c r="J60" s="569"/>
      <c r="K60" s="569"/>
    </row>
    <row r="61" spans="1:38" s="3" customFormat="1" ht="21.75" customHeight="1">
      <c r="A61" s="791"/>
      <c r="B61" s="570"/>
      <c r="C61" s="569"/>
      <c r="D61" s="569"/>
      <c r="E61" s="569"/>
      <c r="F61" s="569"/>
      <c r="G61" s="569"/>
      <c r="H61" s="569"/>
      <c r="I61" s="569"/>
      <c r="J61" s="569"/>
      <c r="K61" s="569"/>
      <c r="S61" s="128"/>
    </row>
    <row r="62" spans="1:38" s="3" customFormat="1" ht="21.75" customHeight="1">
      <c r="A62" s="791"/>
      <c r="B62" s="570"/>
      <c r="C62" s="569"/>
      <c r="D62" s="569"/>
      <c r="E62" s="569"/>
      <c r="F62" s="569"/>
      <c r="G62" s="569"/>
      <c r="H62" s="569"/>
      <c r="I62" s="569"/>
      <c r="J62" s="569"/>
      <c r="K62" s="569"/>
      <c r="S62" s="128"/>
    </row>
    <row r="63" spans="1:38" s="3" customFormat="1" ht="21.75" customHeight="1">
      <c r="A63" s="791"/>
      <c r="B63" s="570"/>
      <c r="C63" s="569"/>
      <c r="D63" s="569"/>
      <c r="E63" s="569"/>
      <c r="F63" s="569"/>
      <c r="G63" s="569"/>
      <c r="H63" s="569"/>
      <c r="I63" s="569"/>
      <c r="J63" s="569"/>
      <c r="K63" s="569"/>
      <c r="S63" s="128"/>
    </row>
    <row r="64" spans="1:38" s="3" customFormat="1" ht="21.75" customHeight="1">
      <c r="A64" s="791" t="s">
        <v>165</v>
      </c>
      <c r="B64" s="570">
        <f>SUM(B27:B31)/5</f>
        <v>15</v>
      </c>
      <c r="C64" s="569">
        <f>IF(AND($C$7&gt;=$P$5,$C$7&lt;=$R$5),B64*$C$7*$T$5/100,IF(AND($C$7&gt;=$P$4,$C$7&lt;=$R$4),B64*$C$7*$T$4/100,IF(AND($C$7&gt;=$P$3,$C$7&lt;=$R$3),B64*$C$7*$T$3/100,IF($C$7&gt;=$P$6,B64*$C$7*$T$6/100))))</f>
        <v>450</v>
      </c>
      <c r="D64" s="569">
        <f>SUM(D27:D31)/5</f>
        <v>15</v>
      </c>
      <c r="E64" s="569">
        <f>IF(AND($C$7&gt;=$P$5,$C$7&lt;=$R$5),D64*$C$7*$T$5/100,IF(AND($C$7&gt;=$P$4,$C$7&lt;=$R$4),D64*$C$7*$T$4/100,IF(AND($C$7&gt;=$P$3,$C$7&lt;=$R$3),D64*$C$7*$T$3/100,IF($C$7&gt;=$P$6,D64*$C$7*$T$6/100))))</f>
        <v>450</v>
      </c>
      <c r="F64" s="569">
        <f>SUM(F27:F31)/5</f>
        <v>15</v>
      </c>
      <c r="G64" s="569">
        <f>IF(AND($C$7&gt;=$P$5,$C$7&lt;=$R$5),F64*$C$7*$T$5/100,IF(AND($C$7&gt;=$P$4,$C$7&lt;=$R$4),F64*$C$7*$T$4/100,IF(AND($C$7&gt;=$P$3,$C$7&lt;=$R$3),F64*$C$7*$T$3/100,IF($C$7&gt;=$P$6,F64*$C$7*$T$6/100))))</f>
        <v>450</v>
      </c>
      <c r="H64" s="569">
        <f>SUM(H27:H31)/5</f>
        <v>15</v>
      </c>
      <c r="I64" s="569">
        <f t="shared" ref="I64" si="13">((5*C64)+E64)/6</f>
        <v>450</v>
      </c>
      <c r="J64" s="569">
        <f>SUM(J27:J31)/5</f>
        <v>15</v>
      </c>
      <c r="K64" s="569">
        <f t="shared" ref="K64" si="14">((5*C64)+E64+G64)/7</f>
        <v>450</v>
      </c>
      <c r="S64" s="128"/>
    </row>
    <row r="65" spans="1:19" s="3" customFormat="1" ht="21.75" customHeight="1">
      <c r="A65" s="791"/>
      <c r="B65" s="570"/>
      <c r="C65" s="569"/>
      <c r="D65" s="569"/>
      <c r="E65" s="569"/>
      <c r="F65" s="569"/>
      <c r="G65" s="569"/>
      <c r="H65" s="569"/>
      <c r="I65" s="569"/>
      <c r="J65" s="569"/>
      <c r="K65" s="569"/>
      <c r="S65" s="128"/>
    </row>
    <row r="66" spans="1:19" s="3" customFormat="1" ht="21.75" customHeight="1">
      <c r="A66" s="791"/>
      <c r="B66" s="570"/>
      <c r="C66" s="569"/>
      <c r="D66" s="569"/>
      <c r="E66" s="569"/>
      <c r="F66" s="569"/>
      <c r="G66" s="569"/>
      <c r="H66" s="569"/>
      <c r="I66" s="569"/>
      <c r="J66" s="569"/>
      <c r="K66" s="569"/>
      <c r="S66" s="128"/>
    </row>
    <row r="67" spans="1:19" s="3" customFormat="1" ht="21.75" customHeight="1">
      <c r="A67" s="791"/>
      <c r="B67" s="570"/>
      <c r="C67" s="569"/>
      <c r="D67" s="569"/>
      <c r="E67" s="569"/>
      <c r="F67" s="569"/>
      <c r="G67" s="569"/>
      <c r="H67" s="569"/>
      <c r="I67" s="569"/>
      <c r="J67" s="569"/>
      <c r="K67" s="569"/>
      <c r="S67" s="128"/>
    </row>
    <row r="68" spans="1:19" s="3" customFormat="1" ht="21.75" customHeight="1">
      <c r="A68" s="791"/>
      <c r="B68" s="570"/>
      <c r="C68" s="569"/>
      <c r="D68" s="570"/>
      <c r="E68" s="569"/>
      <c r="F68" s="570"/>
      <c r="G68" s="569"/>
      <c r="H68" s="570"/>
      <c r="I68" s="569"/>
      <c r="J68" s="570"/>
      <c r="K68" s="569"/>
      <c r="S68" s="128"/>
    </row>
    <row r="69" spans="1:19" s="3" customFormat="1" ht="21.75" customHeight="1">
      <c r="A69" s="791"/>
      <c r="B69" s="570"/>
      <c r="C69" s="569"/>
      <c r="D69" s="569"/>
      <c r="E69" s="569"/>
      <c r="F69" s="569"/>
      <c r="G69" s="569"/>
      <c r="H69" s="569"/>
      <c r="I69" s="569"/>
      <c r="J69" s="569"/>
      <c r="K69" s="569"/>
      <c r="S69" s="128"/>
    </row>
    <row r="70" spans="1:19" s="3" customFormat="1" ht="21.75" customHeight="1">
      <c r="A70" s="791"/>
      <c r="B70" s="570"/>
      <c r="C70" s="569"/>
      <c r="D70" s="569"/>
      <c r="E70" s="569"/>
      <c r="F70" s="569"/>
      <c r="G70" s="569"/>
      <c r="H70" s="569"/>
      <c r="I70" s="569"/>
      <c r="J70" s="569"/>
      <c r="K70" s="569"/>
      <c r="S70" s="128"/>
    </row>
    <row r="71" spans="1:19" s="3" customFormat="1" ht="21.75" customHeight="1">
      <c r="A71" s="791" t="s">
        <v>168</v>
      </c>
      <c r="B71" s="570">
        <f>SUM(B29:B31)/3</f>
        <v>15</v>
      </c>
      <c r="C71" s="569">
        <f>IF(AND($C$7&gt;=$P$5,$C$7&lt;=$R$5),B71*$C$7*$T$5/100,IF(AND($C$7&gt;=$P$4,$C$7&lt;=$R$4),B71*$C$7*$T$4/100,IF(AND($C$7&gt;=$P$3,$C$7&lt;=$R$3),B71*$C$7*$T$3/100,IF($C$7&gt;=$P$6,B71*$C$7*$T$6/100))))</f>
        <v>450</v>
      </c>
      <c r="D71" s="569">
        <f>SUM(D29:D31)/3</f>
        <v>15</v>
      </c>
      <c r="E71" s="569">
        <f>IF(AND($C$7&gt;=$P$5,$C$7&lt;=$R$5),D71*$C$7*$T$5/100,IF(AND($C$7&gt;=$P$4,$C$7&lt;=$R$4),D71*$C$7*$T$4/100,IF(AND($C$7&gt;=$P$3,$C$7&lt;=$R$3),D71*$C$7*$T$3/100,IF($C$7&gt;=$P$6,D71*$C$7*$T$6/100))))</f>
        <v>450</v>
      </c>
      <c r="F71" s="569">
        <f>SUM(F29:F31)/3</f>
        <v>15</v>
      </c>
      <c r="G71" s="569">
        <f>IF(AND($C$7&gt;=$P$5,$C$7&lt;=$R$5),F71*$C$7*$T$5/100,IF(AND($C$7&gt;=$P$4,$C$7&lt;=$R$4),F71*$C$7*$T$4/100,IF(AND($C$7&gt;=$P$3,$C$7&lt;=$R$3),F71*$C$7*$T$3/100,IF($C$7&gt;=$P$6,F71*$C$7*$T$6/100))))</f>
        <v>450</v>
      </c>
      <c r="H71" s="569">
        <f>SUM(H29:H31)/3</f>
        <v>15</v>
      </c>
      <c r="I71" s="569">
        <f t="shared" ref="I71:I72" si="15">((5*C71)+E71)/6</f>
        <v>450</v>
      </c>
      <c r="J71" s="569">
        <f>SUM(J29:J31)/3</f>
        <v>15</v>
      </c>
      <c r="K71" s="569">
        <f t="shared" ref="K71:K72" si="16">((5*C71)+E71+G71)/7</f>
        <v>450</v>
      </c>
      <c r="S71" s="128"/>
    </row>
    <row r="72" spans="1:19" s="3" customFormat="1" ht="21.75" customHeight="1">
      <c r="A72" s="791" t="s">
        <v>166</v>
      </c>
      <c r="B72" s="570">
        <f>SUM(B30:B31)/2</f>
        <v>15</v>
      </c>
      <c r="C72" s="569">
        <f>IF(AND($C$7&gt;=$P$5,$C$7&lt;=$R$5),B72*$C$7*$T$5/100,IF(AND($C$7&gt;=$P$4,$C$7&lt;=$R$4),B72*$C$7*$T$4/100,IF(AND($C$7&gt;=$P$3,$C$7&lt;=$R$3),B72*$C$7*$T$3/100,IF($C$7&gt;=$P$6,B72*$C$7*$T$6/100))))</f>
        <v>450</v>
      </c>
      <c r="D72" s="569">
        <f>SUM(D30:D31)/2</f>
        <v>15</v>
      </c>
      <c r="E72" s="569">
        <f>IF(AND($C$7&gt;=$P$5,$C$7&lt;=$R$5),D72*$C$7*$T$5/100,IF(AND($C$7&gt;=$P$4,$C$7&lt;=$R$4),D72*$C$7*$T$4/100,IF(AND($C$7&gt;=$P$3,$C$7&lt;=$R$3),D72*$C$7*$T$3/100,IF($C$7&gt;=$P$6,D72*$C$7*$T$6/100))))</f>
        <v>450</v>
      </c>
      <c r="F72" s="569">
        <f>SUM(F30:F31)/2</f>
        <v>15</v>
      </c>
      <c r="G72" s="569">
        <f>IF(AND($C$7&gt;=$P$5,$C$7&lt;=$R$5),F72*$C$7*$T$5/100,IF(AND($C$7&gt;=$P$4,$C$7&lt;=$R$4),F72*$C$7*$T$4/100,IF(AND($C$7&gt;=$P$3,$C$7&lt;=$R$3),F72*$C$7*$T$3/100,IF($C$7&gt;=$P$6,F72*$C$7*$T$6/100))))</f>
        <v>450</v>
      </c>
      <c r="H72" s="569">
        <f>SUM(H30:H31)/2</f>
        <v>15</v>
      </c>
      <c r="I72" s="569">
        <f t="shared" si="15"/>
        <v>450</v>
      </c>
      <c r="J72" s="569">
        <f>SUM(J30:J31)/2</f>
        <v>15</v>
      </c>
      <c r="K72" s="569">
        <f t="shared" si="16"/>
        <v>450</v>
      </c>
      <c r="S72" s="128"/>
    </row>
    <row r="73" spans="1:19" s="3" customFormat="1" ht="21.75" customHeight="1">
      <c r="A73" s="791"/>
      <c r="B73" s="570"/>
      <c r="C73" s="569"/>
      <c r="D73" s="569"/>
      <c r="E73" s="569"/>
      <c r="F73" s="569"/>
      <c r="G73" s="569"/>
      <c r="H73" s="569"/>
      <c r="I73" s="569"/>
      <c r="J73" s="569"/>
      <c r="K73" s="569"/>
      <c r="R73" s="546"/>
      <c r="S73" s="128"/>
    </row>
    <row r="74" spans="1:19" s="3" customFormat="1" ht="21.75" customHeight="1">
      <c r="A74" s="791"/>
      <c r="B74" s="570"/>
      <c r="C74" s="569"/>
      <c r="D74" s="572"/>
      <c r="E74" s="569"/>
      <c r="F74" s="572"/>
      <c r="G74" s="569"/>
      <c r="H74" s="572"/>
      <c r="I74" s="569"/>
      <c r="J74" s="572"/>
      <c r="K74" s="569"/>
      <c r="S74" s="128"/>
    </row>
    <row r="75" spans="1:19" s="3" customFormat="1" ht="21.75" customHeight="1">
      <c r="A75" s="791"/>
      <c r="B75" s="570"/>
      <c r="C75" s="569"/>
      <c r="D75" s="569"/>
      <c r="E75" s="569"/>
      <c r="F75" s="569"/>
      <c r="G75" s="569"/>
      <c r="H75" s="569"/>
      <c r="I75" s="569"/>
      <c r="J75" s="569"/>
      <c r="K75" s="569"/>
      <c r="S75" s="128"/>
    </row>
    <row r="76" spans="1:19" s="3" customFormat="1" ht="21.75" customHeight="1">
      <c r="A76" s="791"/>
      <c r="B76" s="570"/>
      <c r="C76" s="569"/>
      <c r="D76" s="569"/>
      <c r="E76" s="569"/>
      <c r="F76" s="569"/>
      <c r="G76" s="569"/>
      <c r="H76" s="569"/>
      <c r="I76" s="569"/>
      <c r="J76" s="569"/>
      <c r="K76" s="569"/>
    </row>
    <row r="77" spans="1:19" s="3" customFormat="1" ht="21.75" customHeight="1">
      <c r="A77" s="791"/>
      <c r="B77" s="570"/>
      <c r="C77" s="569"/>
      <c r="D77" s="569"/>
      <c r="E77" s="569"/>
      <c r="F77" s="569"/>
      <c r="G77" s="569"/>
      <c r="H77" s="569"/>
      <c r="I77" s="569"/>
      <c r="J77" s="569"/>
      <c r="K77" s="569"/>
    </row>
    <row r="78" spans="1:19" ht="21.75" customHeight="1">
      <c r="A78" s="791"/>
      <c r="B78" s="570"/>
      <c r="C78" s="569"/>
      <c r="D78" s="569"/>
      <c r="E78" s="569"/>
      <c r="F78" s="569"/>
      <c r="G78" s="569"/>
      <c r="H78" s="569"/>
      <c r="I78" s="569"/>
      <c r="J78" s="569"/>
      <c r="K78" s="569"/>
    </row>
    <row r="115" spans="1:1">
      <c r="A115" s="1" t="s">
        <v>55</v>
      </c>
    </row>
    <row r="116" spans="1:1">
      <c r="A116" s="1" t="s">
        <v>0</v>
      </c>
    </row>
    <row r="117" spans="1:1">
      <c r="A117" s="1" t="s">
        <v>21</v>
      </c>
    </row>
    <row r="118" spans="1:1">
      <c r="A118" s="1" t="s">
        <v>136</v>
      </c>
    </row>
    <row r="119" spans="1:1">
      <c r="A119" s="1" t="s">
        <v>137</v>
      </c>
    </row>
  </sheetData>
  <mergeCells count="9">
    <mergeCell ref="P1:T1"/>
    <mergeCell ref="E1:N1"/>
    <mergeCell ref="A10:K10"/>
    <mergeCell ref="B11:C11"/>
    <mergeCell ref="D11:E11"/>
    <mergeCell ref="F11:G11"/>
    <mergeCell ref="H11:I11"/>
    <mergeCell ref="J11:K11"/>
    <mergeCell ref="C3:D4"/>
  </mergeCells>
  <dataValidations count="3">
    <dataValidation type="list" allowBlank="1" showInputMessage="1" showErrorMessage="1" sqref="E8:E9">
      <formula1>$B$11:$K$11</formula1>
    </dataValidation>
    <dataValidation type="list" allowBlank="1" showInputMessage="1" showErrorMessage="1" sqref="E4:E7">
      <formula1>$A$115:$A$119</formula1>
    </dataValidation>
    <dataValidation type="list" allowBlank="1" showInputMessage="1" showErrorMessage="1" sqref="F4:F9">
      <formula1>$A$37:$A$80</formula1>
    </dataValidation>
  </dataValidations>
  <pageMargins left="0.7" right="0.7" top="0.78740157499999996" bottom="0.78740157499999996" header="0.3" footer="0.3"/>
  <pageSetup paperSize="9" scale="49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77"/>
  <sheetViews>
    <sheetView zoomScale="85" zoomScaleNormal="85" workbookViewId="0"/>
  </sheetViews>
  <sheetFormatPr baseColWidth="10" defaultColWidth="14.42578125" defaultRowHeight="15" outlineLevelCol="1"/>
  <cols>
    <col min="1" max="1" width="14.42578125" style="6" customWidth="1"/>
    <col min="2" max="2" width="6" style="6" customWidth="1"/>
    <col min="3" max="4" width="8.85546875" style="76" customWidth="1"/>
    <col min="5" max="5" width="11.140625" style="76" customWidth="1"/>
    <col min="6" max="13" width="8.85546875" style="76" customWidth="1"/>
    <col min="14" max="34" width="4.5703125" style="6" customWidth="1"/>
    <col min="35" max="48" width="4.5703125" style="6" customWidth="1" outlineLevel="1"/>
    <col min="49" max="55" width="4.7109375" style="6" customWidth="1" outlineLevel="1"/>
    <col min="56" max="56" width="14.42578125" style="6"/>
    <col min="57" max="57" width="0" style="6" hidden="1" customWidth="1"/>
    <col min="58" max="58" width="16.85546875" style="6" hidden="1" customWidth="1"/>
    <col min="59" max="61" width="0" style="6" hidden="1" customWidth="1"/>
    <col min="62" max="16384" width="14.42578125" style="6"/>
  </cols>
  <sheetData>
    <row r="1" spans="1:60" s="78" customFormat="1">
      <c r="A1" s="23"/>
      <c r="B1" s="23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</row>
    <row r="2" spans="1:60" s="80" customFormat="1" ht="47.25">
      <c r="A2" s="842"/>
      <c r="B2" s="842"/>
      <c r="C2" s="842"/>
      <c r="D2" s="1155" t="s">
        <v>148</v>
      </c>
      <c r="E2" s="1155"/>
      <c r="F2" s="1155"/>
      <c r="G2" s="1155"/>
      <c r="H2" s="842"/>
      <c r="I2" s="842"/>
      <c r="J2" s="842"/>
      <c r="K2" s="842"/>
      <c r="L2" s="842"/>
      <c r="M2" s="842"/>
      <c r="N2" s="842"/>
      <c r="O2" s="842"/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842"/>
      <c r="AB2" s="842"/>
      <c r="AC2" s="842"/>
      <c r="AD2" s="842"/>
      <c r="AE2" s="842"/>
      <c r="AF2" s="842"/>
      <c r="AG2" s="842"/>
      <c r="AH2" s="842"/>
      <c r="AI2" s="842"/>
      <c r="AJ2" s="842"/>
      <c r="AK2" s="842"/>
      <c r="AL2" s="842"/>
      <c r="AM2" s="842"/>
      <c r="AN2" s="842"/>
      <c r="AO2" s="842"/>
      <c r="AP2" s="842"/>
      <c r="AQ2" s="842"/>
      <c r="AR2" s="842"/>
      <c r="AS2" s="842"/>
      <c r="AT2" s="842"/>
      <c r="AU2" s="842"/>
      <c r="AV2" s="842"/>
      <c r="AW2" s="842"/>
      <c r="AX2" s="842"/>
      <c r="AY2" s="842"/>
      <c r="AZ2" s="842"/>
      <c r="BA2" s="842"/>
      <c r="BB2" s="842"/>
      <c r="BC2" s="842"/>
      <c r="BD2" s="79"/>
      <c r="BE2" s="79"/>
      <c r="BF2" s="79"/>
      <c r="BG2" s="79"/>
      <c r="BH2" s="79"/>
    </row>
    <row r="3" spans="1:60" s="78" customFormat="1" ht="11.25" customHeight="1">
      <c r="A3" s="81"/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23"/>
      <c r="BE3" s="23"/>
      <c r="BF3" s="23"/>
      <c r="BG3" s="23"/>
      <c r="BH3" s="23"/>
    </row>
    <row r="4" spans="1:60" ht="18.75" customHeight="1">
      <c r="A4" s="900" t="s">
        <v>169</v>
      </c>
      <c r="B4" s="900"/>
      <c r="C4" s="900"/>
      <c r="D4" s="900"/>
      <c r="E4" s="900"/>
      <c r="F4" s="900"/>
      <c r="G4" s="900"/>
      <c r="H4" s="900"/>
      <c r="I4" s="900"/>
      <c r="J4" s="900"/>
      <c r="K4" s="900"/>
      <c r="L4" s="900"/>
      <c r="M4" s="900"/>
      <c r="N4" s="900"/>
      <c r="O4" s="900"/>
      <c r="P4" s="900"/>
      <c r="Q4" s="900"/>
      <c r="R4" s="900"/>
      <c r="S4" s="900"/>
      <c r="T4" s="900"/>
      <c r="U4" s="900"/>
      <c r="V4" s="900"/>
      <c r="W4" s="900"/>
      <c r="X4" s="900"/>
      <c r="Y4" s="900"/>
      <c r="Z4" s="900"/>
      <c r="AA4" s="900"/>
      <c r="AB4" s="900"/>
      <c r="AC4" s="900"/>
      <c r="AD4" s="900"/>
      <c r="AE4" s="900"/>
      <c r="AF4" s="900"/>
      <c r="AG4" s="900"/>
      <c r="AH4" s="900"/>
      <c r="AI4" s="900"/>
      <c r="AJ4" s="900"/>
      <c r="AK4" s="900"/>
      <c r="AL4" s="900"/>
      <c r="AM4" s="900"/>
      <c r="AN4" s="900"/>
      <c r="AO4" s="900"/>
      <c r="AP4" s="900"/>
      <c r="AQ4" s="900"/>
      <c r="AR4" s="900"/>
      <c r="AS4" s="900"/>
      <c r="AT4" s="900"/>
      <c r="AU4" s="900"/>
      <c r="AV4" s="900"/>
      <c r="AW4" s="900"/>
      <c r="AX4" s="900"/>
      <c r="AY4" s="900"/>
      <c r="AZ4" s="900"/>
      <c r="BA4" s="900"/>
      <c r="BB4" s="900"/>
      <c r="BC4" s="900"/>
      <c r="BD4" s="900"/>
      <c r="BE4" s="900"/>
      <c r="BF4" s="900"/>
      <c r="BG4" s="900"/>
      <c r="BH4" s="900"/>
    </row>
    <row r="5" spans="1:60" s="9" customFormat="1" ht="28.5" customHeight="1" thickBot="1">
      <c r="A5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7"/>
      <c r="Q5" s="12"/>
      <c r="R5" s="993" t="s">
        <v>161</v>
      </c>
      <c r="S5" s="993"/>
      <c r="T5" s="993"/>
      <c r="U5" s="993"/>
      <c r="V5" s="993"/>
      <c r="W5" s="13"/>
      <c r="X5" s="13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 spans="1:60" s="16" customFormat="1" ht="18.75" thickBot="1">
      <c r="A6" s="10"/>
      <c r="B6" s="84" t="s">
        <v>1</v>
      </c>
      <c r="C6" s="85"/>
      <c r="D6" s="11"/>
      <c r="E6" s="1150"/>
      <c r="F6" s="1151"/>
      <c r="G6" s="1152"/>
      <c r="H6" s="85"/>
      <c r="I6" s="1142" t="s">
        <v>2</v>
      </c>
      <c r="J6" s="1143"/>
      <c r="K6" s="1143"/>
      <c r="L6" s="828"/>
      <c r="M6" s="1156">
        <f>B41+F41+J41</f>
        <v>0</v>
      </c>
      <c r="N6" s="1156"/>
      <c r="O6" s="1157"/>
      <c r="P6" s="3"/>
      <c r="Q6" s="89"/>
      <c r="R6" s="143" t="s">
        <v>110</v>
      </c>
      <c r="S6" s="144"/>
      <c r="T6" s="144"/>
      <c r="U6" s="144"/>
      <c r="V6" s="145" t="s">
        <v>113</v>
      </c>
      <c r="W6" s="13"/>
      <c r="X6" s="13"/>
      <c r="Y6" s="18"/>
      <c r="Z6" s="12"/>
      <c r="AA6" s="12"/>
      <c r="AB6" s="12"/>
      <c r="AC6" s="12"/>
      <c r="AD6" s="12"/>
      <c r="AE6" s="10"/>
      <c r="AF6" s="10"/>
      <c r="AG6" s="10"/>
      <c r="AH6" s="10"/>
      <c r="AI6" s="13"/>
      <c r="AJ6" s="13"/>
      <c r="AK6" s="13"/>
      <c r="AL6" s="13"/>
      <c r="AM6" s="10"/>
      <c r="AN6" s="903"/>
      <c r="AO6" s="903"/>
      <c r="AP6" s="903"/>
      <c r="AQ6" s="903"/>
      <c r="AR6" s="903"/>
      <c r="AS6" s="903"/>
      <c r="AT6" s="903"/>
      <c r="AU6" s="903"/>
      <c r="AV6" s="903"/>
      <c r="AW6" s="10"/>
      <c r="AX6" s="10"/>
      <c r="AY6" s="10"/>
      <c r="AZ6" s="10"/>
      <c r="BA6" s="10"/>
      <c r="BB6" s="10"/>
      <c r="BC6" s="10"/>
      <c r="BD6" s="10"/>
      <c r="BE6" s="14">
        <f>WEEKDAY(AP7,2)</f>
        <v>6</v>
      </c>
      <c r="BF6" s="15">
        <f>DAYS360(AP7,AP8)+1</f>
        <v>1</v>
      </c>
      <c r="BG6" s="10"/>
      <c r="BH6" s="10"/>
    </row>
    <row r="7" spans="1:60" s="16" customFormat="1" ht="18.75" thickBot="1">
      <c r="A7" s="10"/>
      <c r="B7" s="84" t="s">
        <v>3</v>
      </c>
      <c r="C7" s="85"/>
      <c r="D7" s="11"/>
      <c r="E7" s="1150"/>
      <c r="F7" s="1151"/>
      <c r="G7" s="1152"/>
      <c r="H7" s="85"/>
      <c r="I7" s="1153" t="s">
        <v>4</v>
      </c>
      <c r="J7" s="907"/>
      <c r="K7" s="907"/>
      <c r="L7" s="711"/>
      <c r="M7" s="904">
        <f>G9*M6</f>
        <v>0</v>
      </c>
      <c r="N7" s="904"/>
      <c r="O7" s="1154"/>
      <c r="P7" s="3"/>
      <c r="Q7" s="89"/>
      <c r="R7" s="146">
        <v>1</v>
      </c>
      <c r="S7" s="147" t="s">
        <v>112</v>
      </c>
      <c r="T7" s="147">
        <v>15</v>
      </c>
      <c r="U7" s="147" t="s">
        <v>23</v>
      </c>
      <c r="V7" s="148">
        <v>110</v>
      </c>
      <c r="W7" s="13"/>
      <c r="X7" s="13"/>
      <c r="Y7" s="18"/>
      <c r="Z7" s="12"/>
      <c r="AA7" s="12"/>
      <c r="AB7" s="12"/>
      <c r="AC7" s="12"/>
      <c r="AD7" s="89"/>
      <c r="AE7" s="10"/>
      <c r="AF7" s="10"/>
      <c r="AG7" s="10"/>
      <c r="AH7" s="10"/>
      <c r="AI7" s="13"/>
      <c r="AJ7" s="13"/>
      <c r="AK7" s="13"/>
      <c r="AL7" s="13"/>
      <c r="AM7" s="10"/>
      <c r="AN7" s="18"/>
      <c r="AO7" s="18"/>
      <c r="AP7" s="19"/>
      <c r="AQ7" s="19"/>
      <c r="AR7" s="19"/>
      <c r="AS7" s="19"/>
      <c r="AT7" s="19"/>
      <c r="AU7" s="19"/>
      <c r="AV7" s="19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s="16" customFormat="1" ht="18.75" thickBot="1">
      <c r="A8" s="10"/>
      <c r="B8" s="84" t="s">
        <v>5</v>
      </c>
      <c r="C8" s="85"/>
      <c r="D8" s="11"/>
      <c r="E8" s="1150"/>
      <c r="F8" s="1151"/>
      <c r="G8" s="1152"/>
      <c r="H8" s="85"/>
      <c r="I8" s="1146" t="s">
        <v>6</v>
      </c>
      <c r="J8" s="1147"/>
      <c r="K8" s="1147"/>
      <c r="L8" s="829"/>
      <c r="M8" s="1148">
        <f>E41+I41+M41</f>
        <v>0</v>
      </c>
      <c r="N8" s="1148"/>
      <c r="O8" s="1149"/>
      <c r="P8" s="3"/>
      <c r="Q8" s="12"/>
      <c r="R8" s="146">
        <v>16</v>
      </c>
      <c r="S8" s="147" t="s">
        <v>112</v>
      </c>
      <c r="T8" s="147">
        <v>24</v>
      </c>
      <c r="U8" s="147" t="s">
        <v>23</v>
      </c>
      <c r="V8" s="148">
        <v>105</v>
      </c>
      <c r="W8" s="10"/>
      <c r="X8" s="10"/>
      <c r="Y8" s="18"/>
      <c r="Z8" s="12"/>
      <c r="AA8" s="12"/>
      <c r="AB8" s="90"/>
      <c r="AC8" s="12"/>
      <c r="AD8" s="89"/>
      <c r="AE8" s="10"/>
      <c r="AF8" s="10"/>
      <c r="AG8" s="10"/>
      <c r="AH8" s="10"/>
      <c r="AI8" s="13"/>
      <c r="AJ8" s="13"/>
      <c r="AK8" s="13"/>
      <c r="AL8" s="13"/>
      <c r="AM8" s="10"/>
      <c r="AN8" s="18"/>
      <c r="AO8" s="18"/>
      <c r="AP8" s="19"/>
      <c r="AQ8" s="19"/>
      <c r="AR8" s="19"/>
      <c r="AS8" s="19"/>
      <c r="AT8" s="19"/>
      <c r="AU8" s="19"/>
      <c r="AV8" s="19"/>
      <c r="AW8" s="10"/>
      <c r="AX8" s="20"/>
      <c r="AY8" s="10"/>
      <c r="AZ8" s="10"/>
      <c r="BA8" s="10"/>
      <c r="BB8" s="10"/>
      <c r="BC8" s="10"/>
      <c r="BD8" s="10"/>
      <c r="BE8" s="10"/>
      <c r="BF8" s="17"/>
      <c r="BG8" s="10"/>
      <c r="BH8" s="10"/>
    </row>
    <row r="9" spans="1:60" s="16" customFormat="1" ht="18.75" thickBot="1">
      <c r="A9" s="10"/>
      <c r="B9" s="3" t="s">
        <v>7</v>
      </c>
      <c r="C9" s="85"/>
      <c r="D9" s="85"/>
      <c r="E9" s="85"/>
      <c r="F9" s="85"/>
      <c r="G9" s="833">
        <v>10</v>
      </c>
      <c r="H9" s="85"/>
      <c r="I9" s="1142" t="s">
        <v>46</v>
      </c>
      <c r="J9" s="1143"/>
      <c r="K9" s="1143"/>
      <c r="L9" s="830">
        <v>0.05</v>
      </c>
      <c r="M9" s="1144">
        <f>M8*L9</f>
        <v>0</v>
      </c>
      <c r="N9" s="1144"/>
      <c r="O9" s="1145"/>
      <c r="P9" s="3"/>
      <c r="Q9" s="12"/>
      <c r="R9" s="146">
        <v>25</v>
      </c>
      <c r="S9" s="147" t="s">
        <v>112</v>
      </c>
      <c r="T9" s="147">
        <v>34</v>
      </c>
      <c r="U9" s="147" t="s">
        <v>23</v>
      </c>
      <c r="V9" s="148">
        <v>100</v>
      </c>
      <c r="W9" s="10"/>
      <c r="X9" s="10"/>
      <c r="Y9" s="18"/>
      <c r="Z9" s="12"/>
      <c r="AA9" s="12"/>
      <c r="AB9" s="12"/>
      <c r="AC9" s="12"/>
      <c r="AD9" s="12"/>
      <c r="AE9" s="10"/>
      <c r="AF9" s="10"/>
      <c r="AG9" s="10"/>
      <c r="AH9" s="10"/>
      <c r="AI9" s="10"/>
      <c r="AJ9" s="10"/>
      <c r="AK9" s="10"/>
      <c r="AL9" s="10"/>
      <c r="AM9" s="10"/>
      <c r="AN9" s="18"/>
      <c r="AO9" s="18"/>
      <c r="AP9" s="18"/>
      <c r="AQ9" s="18"/>
      <c r="AR9" s="18"/>
      <c r="AS9" s="18"/>
      <c r="AT9" s="18"/>
      <c r="AU9" s="18"/>
      <c r="AV9" s="18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60" s="16" customFormat="1" ht="18.75" thickBot="1">
      <c r="A10" s="10"/>
      <c r="B10" s="3" t="s">
        <v>98</v>
      </c>
      <c r="C10" s="85"/>
      <c r="D10" s="85"/>
      <c r="E10" s="85"/>
      <c r="F10" s="85"/>
      <c r="G10" s="833">
        <v>50</v>
      </c>
      <c r="H10" s="85"/>
      <c r="I10" s="1146" t="s">
        <v>47</v>
      </c>
      <c r="J10" s="1147"/>
      <c r="K10" s="1147"/>
      <c r="L10" s="829"/>
      <c r="M10" s="1148">
        <f>M8-M9</f>
        <v>0</v>
      </c>
      <c r="N10" s="1148"/>
      <c r="O10" s="1149"/>
      <c r="P10" s="3"/>
      <c r="Q10" s="12"/>
      <c r="R10" s="149">
        <v>35</v>
      </c>
      <c r="S10" s="150" t="s">
        <v>112</v>
      </c>
      <c r="T10" s="150">
        <v>99</v>
      </c>
      <c r="U10" s="150" t="s">
        <v>23</v>
      </c>
      <c r="V10" s="151">
        <v>95</v>
      </c>
      <c r="W10" s="10"/>
      <c r="X10" s="10"/>
      <c r="Y10" s="18"/>
      <c r="Z10" s="12"/>
      <c r="AA10" s="12"/>
      <c r="AB10" s="12"/>
      <c r="AC10" s="12"/>
      <c r="AD10" s="12"/>
      <c r="AE10" s="10"/>
      <c r="AF10" s="10"/>
      <c r="AG10" s="10"/>
      <c r="AH10" s="10"/>
      <c r="AI10" s="10"/>
      <c r="AJ10" s="10"/>
      <c r="AK10" s="10"/>
      <c r="AL10" s="10"/>
      <c r="AM10" s="10"/>
      <c r="AN10" s="18"/>
      <c r="AO10" s="18"/>
      <c r="AP10" s="18"/>
      <c r="AQ10" s="18"/>
      <c r="AR10" s="18"/>
      <c r="AS10" s="18"/>
      <c r="AT10" s="18"/>
      <c r="AU10" s="18"/>
      <c r="AV10" s="18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1:60" s="16" customFormat="1" ht="18.75" thickBot="1">
      <c r="A11" s="10"/>
      <c r="B11" s="3"/>
      <c r="C11" s="85"/>
      <c r="D11" s="85"/>
      <c r="E11" s="85"/>
      <c r="F11" s="85"/>
      <c r="G11" s="85"/>
      <c r="H11" s="85"/>
      <c r="I11" s="1138" t="s">
        <v>48</v>
      </c>
      <c r="J11" s="1139"/>
      <c r="K11" s="1139"/>
      <c r="L11" s="831">
        <v>0.15</v>
      </c>
      <c r="M11" s="1140">
        <f>M10*L11</f>
        <v>0</v>
      </c>
      <c r="N11" s="1140"/>
      <c r="O11" s="1141"/>
      <c r="P11" s="3"/>
      <c r="Q11" s="12"/>
      <c r="R11" s="10"/>
      <c r="S11" s="10"/>
      <c r="T11" s="10"/>
      <c r="U11" s="10"/>
      <c r="V11" s="13"/>
      <c r="W11" s="13"/>
      <c r="X11" s="13"/>
      <c r="Y11" s="18"/>
      <c r="Z11" s="12"/>
      <c r="AA11" s="12"/>
      <c r="AB11" s="12"/>
      <c r="AC11" s="12"/>
      <c r="AD11" s="12"/>
      <c r="AE11" s="10"/>
      <c r="AF11" s="10"/>
      <c r="AG11" s="10"/>
      <c r="AH11" s="10"/>
      <c r="AI11" s="10"/>
      <c r="AJ11" s="10"/>
      <c r="AK11" s="10"/>
      <c r="AL11" s="10"/>
      <c r="AM11" s="10"/>
      <c r="AN11" s="18"/>
      <c r="AO11" s="18"/>
      <c r="AP11" s="18"/>
      <c r="AQ11" s="18"/>
      <c r="AR11" s="18"/>
      <c r="AS11" s="18"/>
      <c r="AT11" s="18"/>
      <c r="AU11" s="18"/>
      <c r="AV11" s="18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16" customFormat="1" ht="20.25" thickBot="1">
      <c r="A12" s="10"/>
      <c r="B12" s="21"/>
      <c r="C12" s="11"/>
      <c r="D12" s="11"/>
      <c r="E12" s="11"/>
      <c r="F12" s="11"/>
      <c r="G12" s="11"/>
      <c r="H12" s="11"/>
      <c r="I12" s="1138" t="s">
        <v>49</v>
      </c>
      <c r="J12" s="1139"/>
      <c r="K12" s="1139"/>
      <c r="L12" s="832"/>
      <c r="M12" s="1140">
        <f>M10-M11</f>
        <v>0</v>
      </c>
      <c r="N12" s="1140"/>
      <c r="O12" s="1141"/>
      <c r="P12" s="10"/>
      <c r="Q12" s="89"/>
      <c r="R12" s="10"/>
      <c r="S12" s="10"/>
      <c r="T12" s="10"/>
      <c r="U12" s="10"/>
      <c r="V12" s="13"/>
      <c r="W12" s="13"/>
      <c r="X12" s="13"/>
      <c r="Y12" s="18"/>
      <c r="Z12" s="12"/>
      <c r="AA12" s="12"/>
      <c r="AB12" s="12"/>
      <c r="AC12" s="12"/>
      <c r="AD12" s="12"/>
      <c r="AE12" s="10"/>
      <c r="AF12" s="10"/>
      <c r="AG12" s="10"/>
      <c r="AH12" s="10"/>
      <c r="AI12" s="10"/>
      <c r="AJ12" s="10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spans="1:60" s="1" customFormat="1" ht="15.75" thickBot="1">
      <c r="A13" s="2"/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"/>
      <c r="BE13" s="2"/>
      <c r="BF13" s="2"/>
      <c r="BG13" s="2"/>
      <c r="BH13" s="2"/>
    </row>
    <row r="14" spans="1:60" s="25" customFormat="1" ht="15.75">
      <c r="A14" s="800" t="s">
        <v>8</v>
      </c>
      <c r="B14" s="1135" t="s">
        <v>9</v>
      </c>
      <c r="C14" s="1136"/>
      <c r="D14" s="1136"/>
      <c r="E14" s="1137"/>
      <c r="F14" s="1135" t="s">
        <v>10</v>
      </c>
      <c r="G14" s="1136"/>
      <c r="H14" s="1136"/>
      <c r="I14" s="1137"/>
      <c r="J14" s="1135" t="s">
        <v>11</v>
      </c>
      <c r="K14" s="1136"/>
      <c r="L14" s="1136"/>
      <c r="M14" s="1137"/>
      <c r="N14" s="1135" t="s">
        <v>50</v>
      </c>
      <c r="O14" s="1136"/>
      <c r="P14" s="1136"/>
      <c r="Q14" s="1136"/>
      <c r="R14" s="1136"/>
      <c r="S14" s="1136"/>
      <c r="T14" s="1137"/>
      <c r="U14" s="1135" t="s">
        <v>51</v>
      </c>
      <c r="V14" s="1136"/>
      <c r="W14" s="1136"/>
      <c r="X14" s="1136"/>
      <c r="Y14" s="1136"/>
      <c r="Z14" s="1136"/>
      <c r="AA14" s="1137"/>
      <c r="AB14" s="1135" t="s">
        <v>52</v>
      </c>
      <c r="AC14" s="1136"/>
      <c r="AD14" s="1136"/>
      <c r="AE14" s="1136"/>
      <c r="AF14" s="1136"/>
      <c r="AG14" s="1136"/>
      <c r="AH14" s="1137"/>
      <c r="AI14" s="1135" t="s">
        <v>12</v>
      </c>
      <c r="AJ14" s="1136"/>
      <c r="AK14" s="1136"/>
      <c r="AL14" s="1136"/>
      <c r="AM14" s="1136"/>
      <c r="AN14" s="1136"/>
      <c r="AO14" s="1137"/>
      <c r="AP14" s="1135" t="s">
        <v>13</v>
      </c>
      <c r="AQ14" s="1136"/>
      <c r="AR14" s="1136"/>
      <c r="AS14" s="1136"/>
      <c r="AT14" s="1136"/>
      <c r="AU14" s="1136"/>
      <c r="AV14" s="1137"/>
      <c r="AW14" s="1135" t="s">
        <v>14</v>
      </c>
      <c r="AX14" s="1136"/>
      <c r="AY14" s="1136"/>
      <c r="AZ14" s="1136"/>
      <c r="BA14" s="1136"/>
      <c r="BB14" s="1136"/>
      <c r="BC14" s="1137"/>
      <c r="BD14" s="3"/>
      <c r="BE14" s="3"/>
      <c r="BF14" s="3"/>
      <c r="BG14" s="3"/>
      <c r="BH14" s="3"/>
    </row>
    <row r="15" spans="1:60" s="35" customFormat="1">
      <c r="A15" s="801"/>
      <c r="B15" s="806"/>
      <c r="C15" s="642" t="s">
        <v>15</v>
      </c>
      <c r="D15" s="642" t="s">
        <v>15</v>
      </c>
      <c r="E15" s="807" t="s">
        <v>15</v>
      </c>
      <c r="F15" s="806"/>
      <c r="G15" s="642" t="s">
        <v>15</v>
      </c>
      <c r="H15" s="642" t="s">
        <v>15</v>
      </c>
      <c r="I15" s="807" t="s">
        <v>15</v>
      </c>
      <c r="J15" s="806"/>
      <c r="K15" s="642" t="s">
        <v>15</v>
      </c>
      <c r="L15" s="642" t="s">
        <v>15</v>
      </c>
      <c r="M15" s="807" t="s">
        <v>15</v>
      </c>
      <c r="N15" s="806" t="s">
        <v>16</v>
      </c>
      <c r="O15" s="638" t="s">
        <v>17</v>
      </c>
      <c r="P15" s="638" t="s">
        <v>18</v>
      </c>
      <c r="Q15" s="638" t="s">
        <v>19</v>
      </c>
      <c r="R15" s="638" t="s">
        <v>20</v>
      </c>
      <c r="S15" s="638" t="s">
        <v>0</v>
      </c>
      <c r="T15" s="818" t="s">
        <v>21</v>
      </c>
      <c r="U15" s="806" t="s">
        <v>16</v>
      </c>
      <c r="V15" s="638" t="s">
        <v>17</v>
      </c>
      <c r="W15" s="638" t="s">
        <v>18</v>
      </c>
      <c r="X15" s="638" t="s">
        <v>19</v>
      </c>
      <c r="Y15" s="638" t="s">
        <v>20</v>
      </c>
      <c r="Z15" s="638" t="s">
        <v>0</v>
      </c>
      <c r="AA15" s="818" t="s">
        <v>21</v>
      </c>
      <c r="AB15" s="806" t="s">
        <v>16</v>
      </c>
      <c r="AC15" s="638" t="s">
        <v>17</v>
      </c>
      <c r="AD15" s="638" t="s">
        <v>18</v>
      </c>
      <c r="AE15" s="638" t="s">
        <v>19</v>
      </c>
      <c r="AF15" s="638" t="s">
        <v>20</v>
      </c>
      <c r="AG15" s="638" t="s">
        <v>0</v>
      </c>
      <c r="AH15" s="818" t="s">
        <v>21</v>
      </c>
      <c r="AI15" s="806" t="s">
        <v>16</v>
      </c>
      <c r="AJ15" s="638" t="s">
        <v>17</v>
      </c>
      <c r="AK15" s="638" t="s">
        <v>18</v>
      </c>
      <c r="AL15" s="638" t="s">
        <v>19</v>
      </c>
      <c r="AM15" s="638" t="s">
        <v>20</v>
      </c>
      <c r="AN15" s="638" t="s">
        <v>0</v>
      </c>
      <c r="AO15" s="818" t="s">
        <v>21</v>
      </c>
      <c r="AP15" s="806" t="s">
        <v>16</v>
      </c>
      <c r="AQ15" s="638" t="s">
        <v>17</v>
      </c>
      <c r="AR15" s="638" t="s">
        <v>18</v>
      </c>
      <c r="AS15" s="638" t="s">
        <v>19</v>
      </c>
      <c r="AT15" s="638" t="s">
        <v>20</v>
      </c>
      <c r="AU15" s="638" t="s">
        <v>0</v>
      </c>
      <c r="AV15" s="818" t="s">
        <v>21</v>
      </c>
      <c r="AW15" s="806" t="s">
        <v>16</v>
      </c>
      <c r="AX15" s="638" t="s">
        <v>17</v>
      </c>
      <c r="AY15" s="638" t="s">
        <v>18</v>
      </c>
      <c r="AZ15" s="638" t="s">
        <v>19</v>
      </c>
      <c r="BA15" s="638" t="s">
        <v>20</v>
      </c>
      <c r="BB15" s="638" t="s">
        <v>0</v>
      </c>
      <c r="BC15" s="818" t="s">
        <v>21</v>
      </c>
      <c r="BD15" s="4"/>
      <c r="BE15" s="4"/>
      <c r="BF15" s="4"/>
      <c r="BG15" s="4"/>
      <c r="BH15" s="4"/>
    </row>
    <row r="16" spans="1:60" s="35" customFormat="1" ht="15.75" thickBot="1">
      <c r="A16" s="802"/>
      <c r="B16" s="808" t="s">
        <v>22</v>
      </c>
      <c r="C16" s="809" t="s">
        <v>23</v>
      </c>
      <c r="D16" s="809" t="s">
        <v>24</v>
      </c>
      <c r="E16" s="810" t="s">
        <v>25</v>
      </c>
      <c r="F16" s="808" t="s">
        <v>22</v>
      </c>
      <c r="G16" s="809" t="s">
        <v>23</v>
      </c>
      <c r="H16" s="809" t="s">
        <v>24</v>
      </c>
      <c r="I16" s="810" t="s">
        <v>25</v>
      </c>
      <c r="J16" s="808" t="s">
        <v>22</v>
      </c>
      <c r="K16" s="809" t="s">
        <v>23</v>
      </c>
      <c r="L16" s="809" t="s">
        <v>24</v>
      </c>
      <c r="M16" s="810" t="s">
        <v>25</v>
      </c>
      <c r="N16" s="834" t="str">
        <f>IF(BE6=1,1,"")</f>
        <v/>
      </c>
      <c r="O16" s="809" t="str">
        <f>IF($BE6=2,1,IF($BE6=1,2,""))</f>
        <v/>
      </c>
      <c r="P16" s="835" t="str">
        <f>IF($BE6=3,1,IF($BE6=2,2,IF(BE6=1,3,"")))</f>
        <v/>
      </c>
      <c r="Q16" s="809" t="str">
        <f>IF($BE6=4,1,IF($BE6=3,2,IF(BE6=2,3,IF(BE6=1,4,""))))</f>
        <v/>
      </c>
      <c r="R16" s="835" t="str">
        <f>IF($BE6=5,1,IF($BE6=4,2,IF(BE6=3,3,IF(BE6=2,4,IF(BE6=1,5,"")))))</f>
        <v/>
      </c>
      <c r="S16" s="809"/>
      <c r="T16" s="836"/>
      <c r="U16" s="834"/>
      <c r="V16" s="809"/>
      <c r="W16" s="835"/>
      <c r="X16" s="809"/>
      <c r="Y16" s="835"/>
      <c r="Z16" s="809"/>
      <c r="AA16" s="836"/>
      <c r="AB16" s="834"/>
      <c r="AC16" s="809"/>
      <c r="AD16" s="835"/>
      <c r="AE16" s="809"/>
      <c r="AF16" s="835"/>
      <c r="AG16" s="809"/>
      <c r="AH16" s="836"/>
      <c r="AI16" s="834"/>
      <c r="AJ16" s="809"/>
      <c r="AK16" s="835"/>
      <c r="AL16" s="809"/>
      <c r="AM16" s="835"/>
      <c r="AN16" s="809"/>
      <c r="AO16" s="836"/>
      <c r="AP16" s="834"/>
      <c r="AQ16" s="809"/>
      <c r="AR16" s="835"/>
      <c r="AS16" s="809"/>
      <c r="AT16" s="835"/>
      <c r="AU16" s="809"/>
      <c r="AV16" s="836"/>
      <c r="AW16" s="834"/>
      <c r="AX16" s="809"/>
      <c r="AY16" s="835"/>
      <c r="AZ16" s="809"/>
      <c r="BA16" s="835"/>
      <c r="BB16" s="809"/>
      <c r="BC16" s="836"/>
      <c r="BD16" s="4"/>
      <c r="BE16" s="4"/>
      <c r="BF16" s="4"/>
      <c r="BG16" s="4"/>
      <c r="BH16" s="4"/>
    </row>
    <row r="17" spans="1:60" s="35" customFormat="1" ht="15.75">
      <c r="A17" s="803" t="s">
        <v>120</v>
      </c>
      <c r="B17" s="811">
        <f t="shared" ref="B17:B40" si="0">SUM(N17:R17,U17:Y17,AB17:AF17,AI17:AM17,AP17:AT17,AW17:BA17)</f>
        <v>0</v>
      </c>
      <c r="C17" s="622">
        <f>'Preise radio ffn'!B13</f>
        <v>0</v>
      </c>
      <c r="D17" s="625">
        <f t="shared" ref="D17:D40" si="1">IF(AND($G$9&gt;=$R$9,$G$9&lt;=$T$9),C17*$G$9*$V$9/100,IF(AND($G$9&gt;=$R$8,$G$9&lt;=$T$8),C17*$G$9*$V$8/100,IF(AND($G$9&gt;=$R$7,$G$9&lt;=$T$7),C17*$G$9*$V$7/100,IF($G$9&gt;=$R$10,C17*$G$9*$V$10/100))))</f>
        <v>0</v>
      </c>
      <c r="E17" s="812">
        <f t="shared" ref="E17:E40" si="2">B17*D17*(100+$G$10)/100</f>
        <v>0</v>
      </c>
      <c r="F17" s="811">
        <f t="shared" ref="F17:F40" si="3">SUM(S17,Z17,AG17,AN17,AU17,BB17)</f>
        <v>0</v>
      </c>
      <c r="G17" s="622">
        <f>'Preise radio ffn'!D13</f>
        <v>0</v>
      </c>
      <c r="H17" s="621">
        <f t="shared" ref="H17:H40" si="4">IF(AND($G$9&gt;=$R$9,$G$9&lt;=$T$9),G17*$G$9*$V$9/100,IF(AND($G$9&gt;=$R$8,$G$9&lt;=$T$8),G17*$G$9*$V$8/100,IF(AND($G$9&gt;=$R$7,$G$9&lt;=$T$7),G17*$G$9*$V$7/100,IF($G$9&gt;=$R$10,G17*$G$9*$V$10/100))))</f>
        <v>0</v>
      </c>
      <c r="I17" s="812">
        <f t="shared" ref="I17:I40" si="5">F17*H17*(100+$G$10)/100</f>
        <v>0</v>
      </c>
      <c r="J17" s="811">
        <f t="shared" ref="J17:J40" si="6">SUM(T17,AA17,AH17,AO17,AV17,BC17)</f>
        <v>0</v>
      </c>
      <c r="K17" s="622">
        <f>'Preise radio ffn'!F13</f>
        <v>0</v>
      </c>
      <c r="L17" s="621">
        <f t="shared" ref="L17:L40" si="7">IF(AND($G$9&gt;=$R$9,$G$9&lt;=$T$9),K17*$G$9*$V$9/100,IF(AND($G$9&gt;=$R$8,$G$9&lt;=$T$8),K17*$G$9*$V$8/100,IF(AND($G$9&gt;=$R$7,$G$9&lt;=$T$7),K17*$G$9*$V$7/100,IF($G$9&gt;=$R$10,K17*$G$9*$V$10/100))))</f>
        <v>0</v>
      </c>
      <c r="M17" s="812">
        <f t="shared" ref="M17:M40" si="8">J17*L17*(100+$G$10)/100</f>
        <v>0</v>
      </c>
      <c r="N17" s="819"/>
      <c r="O17" s="782"/>
      <c r="P17" s="782"/>
      <c r="Q17" s="782"/>
      <c r="R17" s="782"/>
      <c r="S17" s="782"/>
      <c r="T17" s="820"/>
      <c r="U17" s="819"/>
      <c r="V17" s="782"/>
      <c r="W17" s="782"/>
      <c r="X17" s="782"/>
      <c r="Y17" s="782"/>
      <c r="Z17" s="782"/>
      <c r="AA17" s="820"/>
      <c r="AB17" s="819"/>
      <c r="AC17" s="782"/>
      <c r="AD17" s="782"/>
      <c r="AE17" s="782"/>
      <c r="AF17" s="782"/>
      <c r="AG17" s="782"/>
      <c r="AH17" s="820"/>
      <c r="AI17" s="819"/>
      <c r="AJ17" s="782"/>
      <c r="AK17" s="782"/>
      <c r="AL17" s="782"/>
      <c r="AM17" s="782"/>
      <c r="AN17" s="782"/>
      <c r="AO17" s="820"/>
      <c r="AP17" s="819"/>
      <c r="AQ17" s="782"/>
      <c r="AR17" s="782"/>
      <c r="AS17" s="782"/>
      <c r="AT17" s="782"/>
      <c r="AU17" s="782"/>
      <c r="AV17" s="820"/>
      <c r="AW17" s="819"/>
      <c r="AX17" s="782"/>
      <c r="AY17" s="782"/>
      <c r="AZ17" s="782"/>
      <c r="BA17" s="782"/>
      <c r="BB17" s="782"/>
      <c r="BC17" s="820"/>
      <c r="BD17" s="4"/>
      <c r="BE17" s="4"/>
      <c r="BF17" s="4"/>
      <c r="BG17" s="4"/>
      <c r="BH17" s="4"/>
    </row>
    <row r="18" spans="1:60" s="35" customFormat="1" ht="15.75">
      <c r="A18" s="804" t="s">
        <v>119</v>
      </c>
      <c r="B18" s="813">
        <f t="shared" si="0"/>
        <v>0</v>
      </c>
      <c r="C18" s="622">
        <f>'Preise radio ffn'!B14</f>
        <v>0</v>
      </c>
      <c r="D18" s="612">
        <f t="shared" si="1"/>
        <v>0</v>
      </c>
      <c r="E18" s="814">
        <f t="shared" si="2"/>
        <v>0</v>
      </c>
      <c r="F18" s="813">
        <f t="shared" si="3"/>
        <v>0</v>
      </c>
      <c r="G18" s="622">
        <f>'Preise radio ffn'!D14</f>
        <v>0</v>
      </c>
      <c r="H18" s="609">
        <f t="shared" si="4"/>
        <v>0</v>
      </c>
      <c r="I18" s="814">
        <f t="shared" si="5"/>
        <v>0</v>
      </c>
      <c r="J18" s="813">
        <f t="shared" si="6"/>
        <v>0</v>
      </c>
      <c r="K18" s="622">
        <f>'Preise radio ffn'!F14</f>
        <v>0</v>
      </c>
      <c r="L18" s="609">
        <f t="shared" si="7"/>
        <v>0</v>
      </c>
      <c r="M18" s="814">
        <f t="shared" si="8"/>
        <v>0</v>
      </c>
      <c r="N18" s="821"/>
      <c r="O18" s="787"/>
      <c r="P18" s="787"/>
      <c r="Q18" s="787"/>
      <c r="R18" s="787"/>
      <c r="S18" s="787"/>
      <c r="T18" s="822"/>
      <c r="U18" s="821"/>
      <c r="V18" s="787"/>
      <c r="W18" s="787"/>
      <c r="X18" s="787"/>
      <c r="Y18" s="787"/>
      <c r="Z18" s="787"/>
      <c r="AA18" s="822"/>
      <c r="AB18" s="821"/>
      <c r="AC18" s="787"/>
      <c r="AD18" s="787"/>
      <c r="AE18" s="787"/>
      <c r="AF18" s="787"/>
      <c r="AG18" s="787"/>
      <c r="AH18" s="822"/>
      <c r="AI18" s="821"/>
      <c r="AJ18" s="787"/>
      <c r="AK18" s="787"/>
      <c r="AL18" s="787"/>
      <c r="AM18" s="787"/>
      <c r="AN18" s="787"/>
      <c r="AO18" s="822"/>
      <c r="AP18" s="821"/>
      <c r="AQ18" s="787"/>
      <c r="AR18" s="787"/>
      <c r="AS18" s="787"/>
      <c r="AT18" s="787"/>
      <c r="AU18" s="787"/>
      <c r="AV18" s="822"/>
      <c r="AW18" s="821"/>
      <c r="AX18" s="787"/>
      <c r="AY18" s="787"/>
      <c r="AZ18" s="787"/>
      <c r="BA18" s="787"/>
      <c r="BB18" s="787"/>
      <c r="BC18" s="822"/>
      <c r="BD18" s="4"/>
      <c r="BE18" s="4"/>
      <c r="BF18" s="4"/>
      <c r="BG18" s="4"/>
      <c r="BH18" s="4"/>
    </row>
    <row r="19" spans="1:60" s="35" customFormat="1" ht="15.75">
      <c r="A19" s="804" t="s">
        <v>118</v>
      </c>
      <c r="B19" s="813">
        <f t="shared" si="0"/>
        <v>0</v>
      </c>
      <c r="C19" s="622">
        <f>'Preise radio ffn'!B15</f>
        <v>0</v>
      </c>
      <c r="D19" s="612">
        <f t="shared" si="1"/>
        <v>0</v>
      </c>
      <c r="E19" s="814">
        <f t="shared" si="2"/>
        <v>0</v>
      </c>
      <c r="F19" s="813">
        <f t="shared" si="3"/>
        <v>0</v>
      </c>
      <c r="G19" s="622">
        <f>'Preise radio ffn'!D15</f>
        <v>0</v>
      </c>
      <c r="H19" s="609">
        <f t="shared" si="4"/>
        <v>0</v>
      </c>
      <c r="I19" s="814">
        <f t="shared" si="5"/>
        <v>0</v>
      </c>
      <c r="J19" s="813">
        <f t="shared" si="6"/>
        <v>0</v>
      </c>
      <c r="K19" s="622">
        <f>'Preise radio ffn'!F15</f>
        <v>0</v>
      </c>
      <c r="L19" s="609">
        <f t="shared" si="7"/>
        <v>0</v>
      </c>
      <c r="M19" s="814">
        <f t="shared" si="8"/>
        <v>0</v>
      </c>
      <c r="N19" s="821"/>
      <c r="O19" s="787"/>
      <c r="P19" s="787"/>
      <c r="Q19" s="787"/>
      <c r="R19" s="787"/>
      <c r="S19" s="787"/>
      <c r="T19" s="822"/>
      <c r="U19" s="821"/>
      <c r="V19" s="787"/>
      <c r="W19" s="787"/>
      <c r="X19" s="787"/>
      <c r="Y19" s="787"/>
      <c r="Z19" s="787"/>
      <c r="AA19" s="822"/>
      <c r="AB19" s="821"/>
      <c r="AC19" s="787"/>
      <c r="AD19" s="787"/>
      <c r="AE19" s="787"/>
      <c r="AF19" s="787"/>
      <c r="AG19" s="787"/>
      <c r="AH19" s="822"/>
      <c r="AI19" s="821"/>
      <c r="AJ19" s="787"/>
      <c r="AK19" s="787"/>
      <c r="AL19" s="787"/>
      <c r="AM19" s="787"/>
      <c r="AN19" s="787"/>
      <c r="AO19" s="822"/>
      <c r="AP19" s="821"/>
      <c r="AQ19" s="787"/>
      <c r="AR19" s="787"/>
      <c r="AS19" s="787"/>
      <c r="AT19" s="787"/>
      <c r="AU19" s="787"/>
      <c r="AV19" s="822"/>
      <c r="AW19" s="821"/>
      <c r="AX19" s="787"/>
      <c r="AY19" s="787"/>
      <c r="AZ19" s="787"/>
      <c r="BA19" s="787"/>
      <c r="BB19" s="787"/>
      <c r="BC19" s="822"/>
      <c r="BD19" s="4"/>
      <c r="BE19" s="4"/>
      <c r="BF19" s="4"/>
      <c r="BG19" s="4"/>
      <c r="BH19" s="4"/>
    </row>
    <row r="20" spans="1:60" s="35" customFormat="1" ht="15.75">
      <c r="A20" s="804" t="s">
        <v>117</v>
      </c>
      <c r="B20" s="813">
        <f t="shared" si="0"/>
        <v>0</v>
      </c>
      <c r="C20" s="622">
        <f>'Preise radio ffn'!B16</f>
        <v>0</v>
      </c>
      <c r="D20" s="612">
        <f t="shared" si="1"/>
        <v>0</v>
      </c>
      <c r="E20" s="814">
        <f t="shared" si="2"/>
        <v>0</v>
      </c>
      <c r="F20" s="813">
        <f t="shared" si="3"/>
        <v>0</v>
      </c>
      <c r="G20" s="622">
        <f>'Preise radio ffn'!D16</f>
        <v>0</v>
      </c>
      <c r="H20" s="609">
        <f t="shared" si="4"/>
        <v>0</v>
      </c>
      <c r="I20" s="814">
        <f t="shared" si="5"/>
        <v>0</v>
      </c>
      <c r="J20" s="813">
        <f t="shared" si="6"/>
        <v>0</v>
      </c>
      <c r="K20" s="622">
        <f>'Preise radio ffn'!F16</f>
        <v>0</v>
      </c>
      <c r="L20" s="609">
        <f t="shared" si="7"/>
        <v>0</v>
      </c>
      <c r="M20" s="814">
        <f t="shared" si="8"/>
        <v>0</v>
      </c>
      <c r="N20" s="821"/>
      <c r="O20" s="787"/>
      <c r="P20" s="787"/>
      <c r="Q20" s="787"/>
      <c r="R20" s="787"/>
      <c r="S20" s="787"/>
      <c r="T20" s="822"/>
      <c r="U20" s="821"/>
      <c r="V20" s="787"/>
      <c r="W20" s="787"/>
      <c r="X20" s="787"/>
      <c r="Y20" s="787"/>
      <c r="Z20" s="787"/>
      <c r="AA20" s="822"/>
      <c r="AB20" s="821"/>
      <c r="AC20" s="787"/>
      <c r="AD20" s="787"/>
      <c r="AE20" s="787"/>
      <c r="AF20" s="787"/>
      <c r="AG20" s="787"/>
      <c r="AH20" s="822"/>
      <c r="AI20" s="821"/>
      <c r="AJ20" s="787"/>
      <c r="AK20" s="787"/>
      <c r="AL20" s="787"/>
      <c r="AM20" s="787"/>
      <c r="AN20" s="787"/>
      <c r="AO20" s="822"/>
      <c r="AP20" s="821"/>
      <c r="AQ20" s="787"/>
      <c r="AR20" s="787"/>
      <c r="AS20" s="787"/>
      <c r="AT20" s="787"/>
      <c r="AU20" s="787"/>
      <c r="AV20" s="822"/>
      <c r="AW20" s="821"/>
      <c r="AX20" s="787"/>
      <c r="AY20" s="787"/>
      <c r="AZ20" s="787"/>
      <c r="BA20" s="787"/>
      <c r="BB20" s="787"/>
      <c r="BC20" s="822"/>
      <c r="BD20" s="4"/>
      <c r="BE20" s="4"/>
      <c r="BF20" s="4"/>
      <c r="BG20" s="4"/>
      <c r="BH20" s="4"/>
    </row>
    <row r="21" spans="1:60" s="35" customFormat="1" ht="15.75">
      <c r="A21" s="804" t="s">
        <v>116</v>
      </c>
      <c r="B21" s="813">
        <f t="shared" si="0"/>
        <v>0</v>
      </c>
      <c r="C21" s="622">
        <f>'Preise radio ffn'!B17</f>
        <v>0</v>
      </c>
      <c r="D21" s="612">
        <f t="shared" si="1"/>
        <v>0</v>
      </c>
      <c r="E21" s="814">
        <f t="shared" si="2"/>
        <v>0</v>
      </c>
      <c r="F21" s="813">
        <f t="shared" si="3"/>
        <v>0</v>
      </c>
      <c r="G21" s="622">
        <f>'Preise radio ffn'!D17</f>
        <v>0</v>
      </c>
      <c r="H21" s="609">
        <f t="shared" si="4"/>
        <v>0</v>
      </c>
      <c r="I21" s="814">
        <f t="shared" si="5"/>
        <v>0</v>
      </c>
      <c r="J21" s="813">
        <f t="shared" si="6"/>
        <v>0</v>
      </c>
      <c r="K21" s="622">
        <f>'Preise radio ffn'!F17</f>
        <v>0</v>
      </c>
      <c r="L21" s="609">
        <f t="shared" si="7"/>
        <v>0</v>
      </c>
      <c r="M21" s="814">
        <f t="shared" si="8"/>
        <v>0</v>
      </c>
      <c r="N21" s="821"/>
      <c r="O21" s="787"/>
      <c r="P21" s="787"/>
      <c r="Q21" s="787"/>
      <c r="R21" s="787"/>
      <c r="S21" s="787"/>
      <c r="T21" s="822"/>
      <c r="U21" s="821"/>
      <c r="V21" s="787"/>
      <c r="W21" s="787"/>
      <c r="X21" s="787"/>
      <c r="Y21" s="787"/>
      <c r="Z21" s="787"/>
      <c r="AA21" s="822"/>
      <c r="AB21" s="821"/>
      <c r="AC21" s="787"/>
      <c r="AD21" s="787"/>
      <c r="AE21" s="787"/>
      <c r="AF21" s="787"/>
      <c r="AG21" s="787"/>
      <c r="AH21" s="822"/>
      <c r="AI21" s="821"/>
      <c r="AJ21" s="787"/>
      <c r="AK21" s="787"/>
      <c r="AL21" s="787"/>
      <c r="AM21" s="787"/>
      <c r="AN21" s="787"/>
      <c r="AO21" s="822"/>
      <c r="AP21" s="821"/>
      <c r="AQ21" s="787"/>
      <c r="AR21" s="787"/>
      <c r="AS21" s="787"/>
      <c r="AT21" s="787"/>
      <c r="AU21" s="787"/>
      <c r="AV21" s="822"/>
      <c r="AW21" s="821"/>
      <c r="AX21" s="787"/>
      <c r="AY21" s="787"/>
      <c r="AZ21" s="787"/>
      <c r="BA21" s="787"/>
      <c r="BB21" s="787"/>
      <c r="BC21" s="822"/>
      <c r="BD21" s="4"/>
      <c r="BE21" s="4"/>
      <c r="BF21" s="4"/>
      <c r="BG21" s="4"/>
      <c r="BH21" s="4"/>
    </row>
    <row r="22" spans="1:60" s="1" customFormat="1" ht="15.75">
      <c r="A22" s="804" t="s">
        <v>26</v>
      </c>
      <c r="B22" s="813">
        <f t="shared" si="0"/>
        <v>0</v>
      </c>
      <c r="C22" s="622">
        <f>'Preise radio ffn'!B18</f>
        <v>15</v>
      </c>
      <c r="D22" s="612">
        <f t="shared" si="1"/>
        <v>165</v>
      </c>
      <c r="E22" s="814">
        <f t="shared" si="2"/>
        <v>0</v>
      </c>
      <c r="F22" s="813">
        <f t="shared" si="3"/>
        <v>0</v>
      </c>
      <c r="G22" s="622">
        <f>'Preise radio ffn'!D18</f>
        <v>15</v>
      </c>
      <c r="H22" s="609">
        <f t="shared" si="4"/>
        <v>165</v>
      </c>
      <c r="I22" s="814">
        <f t="shared" si="5"/>
        <v>0</v>
      </c>
      <c r="J22" s="813">
        <f t="shared" si="6"/>
        <v>0</v>
      </c>
      <c r="K22" s="622">
        <f>'Preise radio ffn'!F18</f>
        <v>15</v>
      </c>
      <c r="L22" s="609">
        <f t="shared" si="7"/>
        <v>165</v>
      </c>
      <c r="M22" s="814">
        <f t="shared" si="8"/>
        <v>0</v>
      </c>
      <c r="N22" s="823"/>
      <c r="O22" s="605"/>
      <c r="P22" s="605"/>
      <c r="Q22" s="605"/>
      <c r="R22" s="605"/>
      <c r="S22" s="604"/>
      <c r="T22" s="824"/>
      <c r="U22" s="823"/>
      <c r="V22" s="605"/>
      <c r="W22" s="605"/>
      <c r="X22" s="605"/>
      <c r="Y22" s="605"/>
      <c r="Z22" s="604"/>
      <c r="AA22" s="824"/>
      <c r="AB22" s="823"/>
      <c r="AC22" s="605"/>
      <c r="AD22" s="605"/>
      <c r="AE22" s="605"/>
      <c r="AF22" s="605"/>
      <c r="AG22" s="604"/>
      <c r="AH22" s="824"/>
      <c r="AI22" s="823"/>
      <c r="AJ22" s="605"/>
      <c r="AK22" s="605"/>
      <c r="AL22" s="605"/>
      <c r="AM22" s="605"/>
      <c r="AN22" s="604"/>
      <c r="AO22" s="824"/>
      <c r="AP22" s="823"/>
      <c r="AQ22" s="605"/>
      <c r="AR22" s="605"/>
      <c r="AS22" s="605"/>
      <c r="AT22" s="605"/>
      <c r="AU22" s="604"/>
      <c r="AV22" s="824"/>
      <c r="AW22" s="823"/>
      <c r="AX22" s="605"/>
      <c r="AY22" s="605"/>
      <c r="AZ22" s="605"/>
      <c r="BA22" s="605"/>
      <c r="BB22" s="604"/>
      <c r="BC22" s="824"/>
      <c r="BD22" s="2"/>
      <c r="BE22" s="2"/>
      <c r="BF22" s="4">
        <f>IF($AJ7&lt;6000,0,0.025)</f>
        <v>0</v>
      </c>
      <c r="BG22" s="2"/>
      <c r="BH22" s="2"/>
    </row>
    <row r="23" spans="1:60" s="1" customFormat="1" ht="15.75">
      <c r="A23" s="804" t="s">
        <v>27</v>
      </c>
      <c r="B23" s="813">
        <f t="shared" si="0"/>
        <v>0</v>
      </c>
      <c r="C23" s="622">
        <f>'Preise radio ffn'!B19</f>
        <v>15</v>
      </c>
      <c r="D23" s="612">
        <f t="shared" si="1"/>
        <v>165</v>
      </c>
      <c r="E23" s="814">
        <f t="shared" si="2"/>
        <v>0</v>
      </c>
      <c r="F23" s="813">
        <f t="shared" si="3"/>
        <v>0</v>
      </c>
      <c r="G23" s="622">
        <f>'Preise radio ffn'!D19</f>
        <v>15</v>
      </c>
      <c r="H23" s="609">
        <f t="shared" si="4"/>
        <v>165</v>
      </c>
      <c r="I23" s="814">
        <f t="shared" si="5"/>
        <v>0</v>
      </c>
      <c r="J23" s="813">
        <f t="shared" si="6"/>
        <v>0</v>
      </c>
      <c r="K23" s="622">
        <f>'Preise radio ffn'!F19</f>
        <v>15</v>
      </c>
      <c r="L23" s="609">
        <f t="shared" si="7"/>
        <v>165</v>
      </c>
      <c r="M23" s="814">
        <f t="shared" si="8"/>
        <v>0</v>
      </c>
      <c r="N23" s="823"/>
      <c r="O23" s="605"/>
      <c r="P23" s="605"/>
      <c r="Q23" s="605"/>
      <c r="R23" s="605"/>
      <c r="S23" s="604"/>
      <c r="T23" s="824"/>
      <c r="U23" s="823"/>
      <c r="V23" s="605"/>
      <c r="W23" s="605"/>
      <c r="X23" s="605"/>
      <c r="Y23" s="605"/>
      <c r="Z23" s="604"/>
      <c r="AA23" s="824"/>
      <c r="AB23" s="823"/>
      <c r="AC23" s="605"/>
      <c r="AD23" s="605"/>
      <c r="AE23" s="605"/>
      <c r="AF23" s="605"/>
      <c r="AG23" s="604"/>
      <c r="AH23" s="824"/>
      <c r="AI23" s="823"/>
      <c r="AJ23" s="605"/>
      <c r="AK23" s="605"/>
      <c r="AL23" s="605"/>
      <c r="AM23" s="605"/>
      <c r="AN23" s="604"/>
      <c r="AO23" s="824"/>
      <c r="AP23" s="823"/>
      <c r="AQ23" s="605"/>
      <c r="AR23" s="605"/>
      <c r="AS23" s="605"/>
      <c r="AT23" s="605"/>
      <c r="AU23" s="604"/>
      <c r="AV23" s="824"/>
      <c r="AW23" s="823"/>
      <c r="AX23" s="605"/>
      <c r="AY23" s="605"/>
      <c r="AZ23" s="605"/>
      <c r="BA23" s="605"/>
      <c r="BB23" s="604"/>
      <c r="BC23" s="824"/>
      <c r="BD23" s="2"/>
      <c r="BE23" s="2"/>
      <c r="BF23" s="4">
        <f>IF($AJ7&lt;9000,0,0.025)</f>
        <v>0</v>
      </c>
      <c r="BG23" s="2"/>
      <c r="BH23" s="2"/>
    </row>
    <row r="24" spans="1:60" s="1" customFormat="1" ht="15.75">
      <c r="A24" s="804" t="s">
        <v>28</v>
      </c>
      <c r="B24" s="813">
        <f t="shared" si="0"/>
        <v>0</v>
      </c>
      <c r="C24" s="622">
        <f>'Preise radio ffn'!B20</f>
        <v>15</v>
      </c>
      <c r="D24" s="612">
        <f t="shared" si="1"/>
        <v>165</v>
      </c>
      <c r="E24" s="814">
        <f t="shared" si="2"/>
        <v>0</v>
      </c>
      <c r="F24" s="813">
        <f t="shared" si="3"/>
        <v>0</v>
      </c>
      <c r="G24" s="622">
        <f>'Preise radio ffn'!D20</f>
        <v>15</v>
      </c>
      <c r="H24" s="609">
        <f t="shared" si="4"/>
        <v>165</v>
      </c>
      <c r="I24" s="814">
        <f t="shared" si="5"/>
        <v>0</v>
      </c>
      <c r="J24" s="813">
        <f t="shared" si="6"/>
        <v>0</v>
      </c>
      <c r="K24" s="622">
        <f>'Preise radio ffn'!F20</f>
        <v>15</v>
      </c>
      <c r="L24" s="609">
        <f t="shared" si="7"/>
        <v>165</v>
      </c>
      <c r="M24" s="814">
        <f t="shared" si="8"/>
        <v>0</v>
      </c>
      <c r="N24" s="823"/>
      <c r="O24" s="605"/>
      <c r="P24" s="605"/>
      <c r="Q24" s="605"/>
      <c r="R24" s="605"/>
      <c r="S24" s="604"/>
      <c r="T24" s="824"/>
      <c r="U24" s="823"/>
      <c r="V24" s="605"/>
      <c r="W24" s="605"/>
      <c r="X24" s="605"/>
      <c r="Y24" s="605"/>
      <c r="Z24" s="604"/>
      <c r="AA24" s="824"/>
      <c r="AB24" s="823"/>
      <c r="AC24" s="605"/>
      <c r="AD24" s="605"/>
      <c r="AE24" s="605"/>
      <c r="AF24" s="605"/>
      <c r="AG24" s="604"/>
      <c r="AH24" s="824"/>
      <c r="AI24" s="823"/>
      <c r="AJ24" s="605"/>
      <c r="AK24" s="605"/>
      <c r="AL24" s="605"/>
      <c r="AM24" s="605"/>
      <c r="AN24" s="604"/>
      <c r="AO24" s="824"/>
      <c r="AP24" s="823"/>
      <c r="AQ24" s="605"/>
      <c r="AR24" s="605"/>
      <c r="AS24" s="605"/>
      <c r="AT24" s="605"/>
      <c r="AU24" s="604"/>
      <c r="AV24" s="824"/>
      <c r="AW24" s="823"/>
      <c r="AX24" s="605"/>
      <c r="AY24" s="605"/>
      <c r="AZ24" s="605"/>
      <c r="BA24" s="605"/>
      <c r="BB24" s="604"/>
      <c r="BC24" s="824"/>
      <c r="BD24" s="2"/>
      <c r="BE24" s="2"/>
      <c r="BF24" s="4">
        <f>IF($AJ7&lt;12000,0,0.05)</f>
        <v>0</v>
      </c>
      <c r="BG24" s="2"/>
      <c r="BH24" s="2"/>
    </row>
    <row r="25" spans="1:60" s="1" customFormat="1" ht="15.75">
      <c r="A25" s="804" t="s">
        <v>29</v>
      </c>
      <c r="B25" s="813">
        <f t="shared" si="0"/>
        <v>0</v>
      </c>
      <c r="C25" s="622">
        <f>'Preise radio ffn'!B21</f>
        <v>15</v>
      </c>
      <c r="D25" s="612">
        <f t="shared" si="1"/>
        <v>165</v>
      </c>
      <c r="E25" s="814">
        <f t="shared" si="2"/>
        <v>0</v>
      </c>
      <c r="F25" s="813">
        <f t="shared" si="3"/>
        <v>0</v>
      </c>
      <c r="G25" s="622">
        <f>'Preise radio ffn'!D21</f>
        <v>15</v>
      </c>
      <c r="H25" s="609">
        <f t="shared" si="4"/>
        <v>165</v>
      </c>
      <c r="I25" s="814">
        <f t="shared" si="5"/>
        <v>0</v>
      </c>
      <c r="J25" s="813">
        <f t="shared" si="6"/>
        <v>0</v>
      </c>
      <c r="K25" s="622">
        <f>'Preise radio ffn'!F21</f>
        <v>15</v>
      </c>
      <c r="L25" s="609">
        <f t="shared" si="7"/>
        <v>165</v>
      </c>
      <c r="M25" s="814">
        <f t="shared" si="8"/>
        <v>0</v>
      </c>
      <c r="N25" s="823"/>
      <c r="O25" s="605"/>
      <c r="P25" s="605"/>
      <c r="Q25" s="605"/>
      <c r="R25" s="605"/>
      <c r="S25" s="604"/>
      <c r="T25" s="824"/>
      <c r="U25" s="823"/>
      <c r="V25" s="605"/>
      <c r="W25" s="605"/>
      <c r="X25" s="605"/>
      <c r="Y25" s="605"/>
      <c r="Z25" s="604"/>
      <c r="AA25" s="824"/>
      <c r="AB25" s="823"/>
      <c r="AC25" s="605"/>
      <c r="AD25" s="605"/>
      <c r="AE25" s="605"/>
      <c r="AF25" s="605"/>
      <c r="AG25" s="604"/>
      <c r="AH25" s="824"/>
      <c r="AI25" s="823"/>
      <c r="AJ25" s="605"/>
      <c r="AK25" s="605"/>
      <c r="AL25" s="605"/>
      <c r="AM25" s="605"/>
      <c r="AN25" s="604"/>
      <c r="AO25" s="824"/>
      <c r="AP25" s="823"/>
      <c r="AQ25" s="605"/>
      <c r="AR25" s="605"/>
      <c r="AS25" s="605"/>
      <c r="AT25" s="605"/>
      <c r="AU25" s="604"/>
      <c r="AV25" s="824"/>
      <c r="AW25" s="823"/>
      <c r="AX25" s="605"/>
      <c r="AY25" s="605"/>
      <c r="AZ25" s="605"/>
      <c r="BA25" s="605"/>
      <c r="BB25" s="604"/>
      <c r="BC25" s="824"/>
      <c r="BD25" s="2"/>
      <c r="BE25" s="2"/>
      <c r="BF25" s="2">
        <f>SUM(BF22:BF24)</f>
        <v>0</v>
      </c>
      <c r="BG25" s="55">
        <f>AI8</f>
        <v>0</v>
      </c>
      <c r="BH25" s="2">
        <f>BG25*(1-BF25)</f>
        <v>0</v>
      </c>
    </row>
    <row r="26" spans="1:60" s="1" customFormat="1" ht="15.75">
      <c r="A26" s="804" t="s">
        <v>30</v>
      </c>
      <c r="B26" s="813">
        <f t="shared" si="0"/>
        <v>0</v>
      </c>
      <c r="C26" s="622">
        <f>'Preise radio ffn'!B22</f>
        <v>15</v>
      </c>
      <c r="D26" s="612">
        <f t="shared" si="1"/>
        <v>165</v>
      </c>
      <c r="E26" s="814">
        <f t="shared" si="2"/>
        <v>0</v>
      </c>
      <c r="F26" s="813">
        <f t="shared" si="3"/>
        <v>0</v>
      </c>
      <c r="G26" s="622">
        <f>'Preise radio ffn'!D22</f>
        <v>15</v>
      </c>
      <c r="H26" s="609">
        <f t="shared" si="4"/>
        <v>165</v>
      </c>
      <c r="I26" s="814">
        <f t="shared" si="5"/>
        <v>0</v>
      </c>
      <c r="J26" s="813">
        <f t="shared" si="6"/>
        <v>0</v>
      </c>
      <c r="K26" s="622">
        <f>'Preise radio ffn'!F22</f>
        <v>15</v>
      </c>
      <c r="L26" s="609">
        <f t="shared" si="7"/>
        <v>165</v>
      </c>
      <c r="M26" s="814">
        <f t="shared" si="8"/>
        <v>0</v>
      </c>
      <c r="N26" s="823"/>
      <c r="O26" s="605"/>
      <c r="P26" s="605"/>
      <c r="Q26" s="605"/>
      <c r="R26" s="605"/>
      <c r="S26" s="604"/>
      <c r="T26" s="824"/>
      <c r="U26" s="823"/>
      <c r="V26" s="605"/>
      <c r="W26" s="605"/>
      <c r="X26" s="605"/>
      <c r="Y26" s="605"/>
      <c r="Z26" s="604"/>
      <c r="AA26" s="824"/>
      <c r="AB26" s="823"/>
      <c r="AC26" s="605"/>
      <c r="AD26" s="605"/>
      <c r="AE26" s="605"/>
      <c r="AF26" s="605"/>
      <c r="AG26" s="604"/>
      <c r="AH26" s="824"/>
      <c r="AI26" s="823"/>
      <c r="AJ26" s="605"/>
      <c r="AK26" s="605"/>
      <c r="AL26" s="605"/>
      <c r="AM26" s="605"/>
      <c r="AN26" s="604"/>
      <c r="AO26" s="824"/>
      <c r="AP26" s="823"/>
      <c r="AQ26" s="605"/>
      <c r="AR26" s="605"/>
      <c r="AS26" s="605"/>
      <c r="AT26" s="605"/>
      <c r="AU26" s="604"/>
      <c r="AV26" s="824"/>
      <c r="AW26" s="823"/>
      <c r="AX26" s="605"/>
      <c r="AY26" s="605"/>
      <c r="AZ26" s="605"/>
      <c r="BA26" s="605"/>
      <c r="BB26" s="604"/>
      <c r="BC26" s="824"/>
      <c r="BD26" s="2"/>
      <c r="BE26" s="2"/>
      <c r="BF26" s="2"/>
      <c r="BG26" s="2"/>
      <c r="BH26" s="2"/>
    </row>
    <row r="27" spans="1:60" s="1" customFormat="1" ht="15.75">
      <c r="A27" s="804" t="s">
        <v>31</v>
      </c>
      <c r="B27" s="813">
        <f t="shared" si="0"/>
        <v>0</v>
      </c>
      <c r="C27" s="622">
        <f>'Preise radio ffn'!B23</f>
        <v>15</v>
      </c>
      <c r="D27" s="612">
        <f t="shared" si="1"/>
        <v>165</v>
      </c>
      <c r="E27" s="814">
        <f t="shared" si="2"/>
        <v>0</v>
      </c>
      <c r="F27" s="813">
        <f t="shared" si="3"/>
        <v>0</v>
      </c>
      <c r="G27" s="622">
        <f>'Preise radio ffn'!D23</f>
        <v>15</v>
      </c>
      <c r="H27" s="609">
        <f t="shared" si="4"/>
        <v>165</v>
      </c>
      <c r="I27" s="814">
        <f t="shared" si="5"/>
        <v>0</v>
      </c>
      <c r="J27" s="813">
        <f t="shared" si="6"/>
        <v>0</v>
      </c>
      <c r="K27" s="622">
        <f>'Preise radio ffn'!F23</f>
        <v>15</v>
      </c>
      <c r="L27" s="609">
        <f t="shared" si="7"/>
        <v>165</v>
      </c>
      <c r="M27" s="814">
        <f t="shared" si="8"/>
        <v>0</v>
      </c>
      <c r="N27" s="823"/>
      <c r="O27" s="605"/>
      <c r="P27" s="605"/>
      <c r="Q27" s="605"/>
      <c r="R27" s="605"/>
      <c r="S27" s="604"/>
      <c r="T27" s="824"/>
      <c r="U27" s="823"/>
      <c r="V27" s="605"/>
      <c r="W27" s="605"/>
      <c r="X27" s="605"/>
      <c r="Y27" s="605"/>
      <c r="Z27" s="604"/>
      <c r="AA27" s="824"/>
      <c r="AB27" s="823"/>
      <c r="AC27" s="605"/>
      <c r="AD27" s="605"/>
      <c r="AE27" s="605"/>
      <c r="AF27" s="605"/>
      <c r="AG27" s="604"/>
      <c r="AH27" s="824"/>
      <c r="AI27" s="823"/>
      <c r="AJ27" s="605"/>
      <c r="AK27" s="605"/>
      <c r="AL27" s="605"/>
      <c r="AM27" s="605"/>
      <c r="AN27" s="604"/>
      <c r="AO27" s="824"/>
      <c r="AP27" s="823"/>
      <c r="AQ27" s="605"/>
      <c r="AR27" s="605"/>
      <c r="AS27" s="605"/>
      <c r="AT27" s="605"/>
      <c r="AU27" s="604"/>
      <c r="AV27" s="824"/>
      <c r="AW27" s="823"/>
      <c r="AX27" s="605"/>
      <c r="AY27" s="605"/>
      <c r="AZ27" s="605"/>
      <c r="BA27" s="605"/>
      <c r="BB27" s="604"/>
      <c r="BC27" s="824"/>
      <c r="BD27" s="2"/>
      <c r="BE27" s="2"/>
      <c r="BF27" s="2"/>
      <c r="BG27" s="2"/>
      <c r="BH27" s="2"/>
    </row>
    <row r="28" spans="1:60" s="1" customFormat="1" ht="15.75">
      <c r="A28" s="804" t="s">
        <v>32</v>
      </c>
      <c r="B28" s="813">
        <f t="shared" si="0"/>
        <v>0</v>
      </c>
      <c r="C28" s="622">
        <f>'Preise radio ffn'!B24</f>
        <v>15</v>
      </c>
      <c r="D28" s="612">
        <f t="shared" si="1"/>
        <v>165</v>
      </c>
      <c r="E28" s="814">
        <f t="shared" si="2"/>
        <v>0</v>
      </c>
      <c r="F28" s="813">
        <f t="shared" si="3"/>
        <v>0</v>
      </c>
      <c r="G28" s="622">
        <f>'Preise radio ffn'!D24</f>
        <v>15</v>
      </c>
      <c r="H28" s="609">
        <f t="shared" si="4"/>
        <v>165</v>
      </c>
      <c r="I28" s="814">
        <f t="shared" si="5"/>
        <v>0</v>
      </c>
      <c r="J28" s="813">
        <f t="shared" si="6"/>
        <v>0</v>
      </c>
      <c r="K28" s="622">
        <f>'Preise radio ffn'!F24</f>
        <v>15</v>
      </c>
      <c r="L28" s="609">
        <f t="shared" si="7"/>
        <v>165</v>
      </c>
      <c r="M28" s="814">
        <f t="shared" si="8"/>
        <v>0</v>
      </c>
      <c r="N28" s="823"/>
      <c r="O28" s="605"/>
      <c r="P28" s="605"/>
      <c r="Q28" s="605"/>
      <c r="R28" s="605"/>
      <c r="S28" s="604"/>
      <c r="T28" s="824"/>
      <c r="U28" s="823"/>
      <c r="V28" s="605"/>
      <c r="W28" s="605"/>
      <c r="X28" s="605"/>
      <c r="Y28" s="605"/>
      <c r="Z28" s="604"/>
      <c r="AA28" s="824"/>
      <c r="AB28" s="823"/>
      <c r="AC28" s="605"/>
      <c r="AD28" s="605"/>
      <c r="AE28" s="605"/>
      <c r="AF28" s="605"/>
      <c r="AG28" s="604"/>
      <c r="AH28" s="824"/>
      <c r="AI28" s="823"/>
      <c r="AJ28" s="605"/>
      <c r="AK28" s="605"/>
      <c r="AL28" s="605"/>
      <c r="AM28" s="605"/>
      <c r="AN28" s="604"/>
      <c r="AO28" s="824"/>
      <c r="AP28" s="823"/>
      <c r="AQ28" s="605"/>
      <c r="AR28" s="605"/>
      <c r="AS28" s="605"/>
      <c r="AT28" s="605"/>
      <c r="AU28" s="604"/>
      <c r="AV28" s="824"/>
      <c r="AW28" s="823"/>
      <c r="AX28" s="605"/>
      <c r="AY28" s="605"/>
      <c r="AZ28" s="605"/>
      <c r="BA28" s="605"/>
      <c r="BB28" s="604"/>
      <c r="BC28" s="824"/>
      <c r="BD28" s="2"/>
      <c r="BE28" s="2"/>
      <c r="BF28" s="2"/>
      <c r="BG28" s="2"/>
      <c r="BH28" s="2"/>
    </row>
    <row r="29" spans="1:60" s="1" customFormat="1" ht="15.75">
      <c r="A29" s="804" t="s">
        <v>33</v>
      </c>
      <c r="B29" s="813">
        <f t="shared" si="0"/>
        <v>0</v>
      </c>
      <c r="C29" s="622">
        <f>'Preise radio ffn'!B25</f>
        <v>15</v>
      </c>
      <c r="D29" s="612">
        <f t="shared" si="1"/>
        <v>165</v>
      </c>
      <c r="E29" s="814">
        <f t="shared" si="2"/>
        <v>0</v>
      </c>
      <c r="F29" s="813">
        <f t="shared" si="3"/>
        <v>0</v>
      </c>
      <c r="G29" s="622">
        <f>'Preise radio ffn'!D25</f>
        <v>15</v>
      </c>
      <c r="H29" s="609">
        <f t="shared" si="4"/>
        <v>165</v>
      </c>
      <c r="I29" s="814">
        <f t="shared" si="5"/>
        <v>0</v>
      </c>
      <c r="J29" s="813">
        <f t="shared" si="6"/>
        <v>0</v>
      </c>
      <c r="K29" s="622">
        <f>'Preise radio ffn'!F25</f>
        <v>15</v>
      </c>
      <c r="L29" s="609">
        <f t="shared" si="7"/>
        <v>165</v>
      </c>
      <c r="M29" s="814">
        <f t="shared" si="8"/>
        <v>0</v>
      </c>
      <c r="N29" s="823"/>
      <c r="O29" s="605"/>
      <c r="P29" s="605"/>
      <c r="Q29" s="605"/>
      <c r="R29" s="605"/>
      <c r="S29" s="604"/>
      <c r="T29" s="824"/>
      <c r="U29" s="823"/>
      <c r="V29" s="605"/>
      <c r="W29" s="605"/>
      <c r="X29" s="605"/>
      <c r="Y29" s="605"/>
      <c r="Z29" s="604"/>
      <c r="AA29" s="824"/>
      <c r="AB29" s="823"/>
      <c r="AC29" s="605"/>
      <c r="AD29" s="605"/>
      <c r="AE29" s="605"/>
      <c r="AF29" s="605"/>
      <c r="AG29" s="604"/>
      <c r="AH29" s="824"/>
      <c r="AI29" s="823"/>
      <c r="AJ29" s="605"/>
      <c r="AK29" s="605"/>
      <c r="AL29" s="605"/>
      <c r="AM29" s="605"/>
      <c r="AN29" s="604"/>
      <c r="AO29" s="824"/>
      <c r="AP29" s="823"/>
      <c r="AQ29" s="605"/>
      <c r="AR29" s="605"/>
      <c r="AS29" s="605"/>
      <c r="AT29" s="605"/>
      <c r="AU29" s="604"/>
      <c r="AV29" s="824"/>
      <c r="AW29" s="823"/>
      <c r="AX29" s="605"/>
      <c r="AY29" s="605"/>
      <c r="AZ29" s="605"/>
      <c r="BA29" s="605"/>
      <c r="BB29" s="604"/>
      <c r="BC29" s="824"/>
      <c r="BD29" s="2"/>
      <c r="BE29" s="2"/>
      <c r="BF29" s="2"/>
      <c r="BG29" s="2"/>
      <c r="BH29" s="2"/>
    </row>
    <row r="30" spans="1:60" s="1" customFormat="1" ht="15.75">
      <c r="A30" s="804" t="s">
        <v>34</v>
      </c>
      <c r="B30" s="813">
        <f t="shared" si="0"/>
        <v>0</v>
      </c>
      <c r="C30" s="622">
        <f>'Preise radio ffn'!B26</f>
        <v>15</v>
      </c>
      <c r="D30" s="612">
        <f t="shared" si="1"/>
        <v>165</v>
      </c>
      <c r="E30" s="814">
        <f t="shared" si="2"/>
        <v>0</v>
      </c>
      <c r="F30" s="813">
        <f t="shared" si="3"/>
        <v>0</v>
      </c>
      <c r="G30" s="622">
        <f>'Preise radio ffn'!D26</f>
        <v>15</v>
      </c>
      <c r="H30" s="609">
        <f t="shared" si="4"/>
        <v>165</v>
      </c>
      <c r="I30" s="814">
        <f t="shared" si="5"/>
        <v>0</v>
      </c>
      <c r="J30" s="813">
        <f t="shared" si="6"/>
        <v>0</v>
      </c>
      <c r="K30" s="622">
        <f>'Preise radio ffn'!F26</f>
        <v>15</v>
      </c>
      <c r="L30" s="609">
        <f t="shared" si="7"/>
        <v>165</v>
      </c>
      <c r="M30" s="814">
        <f t="shared" si="8"/>
        <v>0</v>
      </c>
      <c r="N30" s="823"/>
      <c r="O30" s="605"/>
      <c r="P30" s="605"/>
      <c r="Q30" s="605"/>
      <c r="R30" s="605"/>
      <c r="S30" s="604"/>
      <c r="T30" s="824"/>
      <c r="U30" s="823"/>
      <c r="V30" s="605"/>
      <c r="W30" s="605"/>
      <c r="X30" s="605"/>
      <c r="Y30" s="605"/>
      <c r="Z30" s="604"/>
      <c r="AA30" s="824"/>
      <c r="AB30" s="823"/>
      <c r="AC30" s="605"/>
      <c r="AD30" s="605"/>
      <c r="AE30" s="605"/>
      <c r="AF30" s="605"/>
      <c r="AG30" s="604"/>
      <c r="AH30" s="824"/>
      <c r="AI30" s="823"/>
      <c r="AJ30" s="605"/>
      <c r="AK30" s="605"/>
      <c r="AL30" s="605"/>
      <c r="AM30" s="605"/>
      <c r="AN30" s="604"/>
      <c r="AO30" s="824"/>
      <c r="AP30" s="823"/>
      <c r="AQ30" s="605"/>
      <c r="AR30" s="605"/>
      <c r="AS30" s="605"/>
      <c r="AT30" s="605"/>
      <c r="AU30" s="604"/>
      <c r="AV30" s="824"/>
      <c r="AW30" s="823"/>
      <c r="AX30" s="605"/>
      <c r="AY30" s="605"/>
      <c r="AZ30" s="605"/>
      <c r="BA30" s="605"/>
      <c r="BB30" s="604"/>
      <c r="BC30" s="824"/>
      <c r="BD30" s="2"/>
      <c r="BE30" s="2"/>
      <c r="BF30" s="2"/>
      <c r="BG30" s="2"/>
      <c r="BH30" s="2"/>
    </row>
    <row r="31" spans="1:60" s="1" customFormat="1" ht="15.75">
      <c r="A31" s="804" t="s">
        <v>35</v>
      </c>
      <c r="B31" s="813">
        <f t="shared" si="0"/>
        <v>0</v>
      </c>
      <c r="C31" s="622">
        <f>'Preise radio ffn'!B27</f>
        <v>15</v>
      </c>
      <c r="D31" s="612">
        <f t="shared" si="1"/>
        <v>165</v>
      </c>
      <c r="E31" s="814">
        <f t="shared" si="2"/>
        <v>0</v>
      </c>
      <c r="F31" s="813">
        <f t="shared" si="3"/>
        <v>0</v>
      </c>
      <c r="G31" s="622">
        <f>'Preise radio ffn'!D27</f>
        <v>15</v>
      </c>
      <c r="H31" s="609">
        <f t="shared" si="4"/>
        <v>165</v>
      </c>
      <c r="I31" s="814">
        <f t="shared" si="5"/>
        <v>0</v>
      </c>
      <c r="J31" s="813">
        <f t="shared" si="6"/>
        <v>0</v>
      </c>
      <c r="K31" s="622">
        <f>'Preise radio ffn'!F27</f>
        <v>15</v>
      </c>
      <c r="L31" s="609">
        <f t="shared" si="7"/>
        <v>165</v>
      </c>
      <c r="M31" s="814">
        <f t="shared" si="8"/>
        <v>0</v>
      </c>
      <c r="N31" s="823"/>
      <c r="O31" s="605"/>
      <c r="P31" s="605"/>
      <c r="Q31" s="605"/>
      <c r="R31" s="605"/>
      <c r="S31" s="604"/>
      <c r="T31" s="824"/>
      <c r="U31" s="823"/>
      <c r="V31" s="605"/>
      <c r="W31" s="605"/>
      <c r="X31" s="605"/>
      <c r="Y31" s="605"/>
      <c r="Z31" s="604"/>
      <c r="AA31" s="824"/>
      <c r="AB31" s="823"/>
      <c r="AC31" s="605"/>
      <c r="AD31" s="605"/>
      <c r="AE31" s="605"/>
      <c r="AF31" s="605"/>
      <c r="AG31" s="604"/>
      <c r="AH31" s="824"/>
      <c r="AI31" s="823"/>
      <c r="AJ31" s="605"/>
      <c r="AK31" s="605"/>
      <c r="AL31" s="605"/>
      <c r="AM31" s="605"/>
      <c r="AN31" s="604"/>
      <c r="AO31" s="824"/>
      <c r="AP31" s="823"/>
      <c r="AQ31" s="605"/>
      <c r="AR31" s="605"/>
      <c r="AS31" s="605"/>
      <c r="AT31" s="605"/>
      <c r="AU31" s="604"/>
      <c r="AV31" s="824"/>
      <c r="AW31" s="823"/>
      <c r="AX31" s="605"/>
      <c r="AY31" s="605"/>
      <c r="AZ31" s="605"/>
      <c r="BA31" s="605"/>
      <c r="BB31" s="604"/>
      <c r="BC31" s="824"/>
      <c r="BD31" s="2"/>
      <c r="BE31" s="2"/>
      <c r="BF31" s="2"/>
      <c r="BG31" s="2"/>
      <c r="BH31" s="2"/>
    </row>
    <row r="32" spans="1:60" s="1" customFormat="1" ht="15.75">
      <c r="A32" s="804" t="s">
        <v>36</v>
      </c>
      <c r="B32" s="813">
        <f t="shared" si="0"/>
        <v>0</v>
      </c>
      <c r="C32" s="622">
        <f>'Preise radio ffn'!B28</f>
        <v>15</v>
      </c>
      <c r="D32" s="612">
        <f t="shared" si="1"/>
        <v>165</v>
      </c>
      <c r="E32" s="814">
        <f t="shared" si="2"/>
        <v>0</v>
      </c>
      <c r="F32" s="813">
        <f t="shared" si="3"/>
        <v>0</v>
      </c>
      <c r="G32" s="622">
        <f>'Preise radio ffn'!D28</f>
        <v>15</v>
      </c>
      <c r="H32" s="609">
        <f t="shared" si="4"/>
        <v>165</v>
      </c>
      <c r="I32" s="814">
        <f t="shared" si="5"/>
        <v>0</v>
      </c>
      <c r="J32" s="813">
        <f t="shared" si="6"/>
        <v>0</v>
      </c>
      <c r="K32" s="622">
        <f>'Preise radio ffn'!F28</f>
        <v>15</v>
      </c>
      <c r="L32" s="609">
        <f t="shared" si="7"/>
        <v>165</v>
      </c>
      <c r="M32" s="814">
        <f t="shared" si="8"/>
        <v>0</v>
      </c>
      <c r="N32" s="823"/>
      <c r="O32" s="605"/>
      <c r="P32" s="605"/>
      <c r="Q32" s="605"/>
      <c r="R32" s="605"/>
      <c r="S32" s="604"/>
      <c r="T32" s="824"/>
      <c r="U32" s="823"/>
      <c r="V32" s="605"/>
      <c r="W32" s="605"/>
      <c r="X32" s="605"/>
      <c r="Y32" s="605"/>
      <c r="Z32" s="604"/>
      <c r="AA32" s="824"/>
      <c r="AB32" s="823"/>
      <c r="AC32" s="605"/>
      <c r="AD32" s="605"/>
      <c r="AE32" s="605"/>
      <c r="AF32" s="605"/>
      <c r="AG32" s="604"/>
      <c r="AH32" s="824"/>
      <c r="AI32" s="823"/>
      <c r="AJ32" s="605"/>
      <c r="AK32" s="605"/>
      <c r="AL32" s="605"/>
      <c r="AM32" s="605"/>
      <c r="AN32" s="604"/>
      <c r="AO32" s="824"/>
      <c r="AP32" s="823"/>
      <c r="AQ32" s="605"/>
      <c r="AR32" s="605"/>
      <c r="AS32" s="605"/>
      <c r="AT32" s="605"/>
      <c r="AU32" s="604"/>
      <c r="AV32" s="824"/>
      <c r="AW32" s="823"/>
      <c r="AX32" s="605"/>
      <c r="AY32" s="605"/>
      <c r="AZ32" s="605"/>
      <c r="BA32" s="605"/>
      <c r="BB32" s="604"/>
      <c r="BC32" s="824"/>
      <c r="BD32" s="2"/>
      <c r="BE32" s="2"/>
      <c r="BF32" s="2"/>
      <c r="BG32" s="2"/>
      <c r="BH32" s="2"/>
    </row>
    <row r="33" spans="1:60" s="1" customFormat="1" ht="15.75">
      <c r="A33" s="804" t="s">
        <v>37</v>
      </c>
      <c r="B33" s="813">
        <f t="shared" si="0"/>
        <v>0</v>
      </c>
      <c r="C33" s="622">
        <f>'Preise radio ffn'!B29</f>
        <v>15</v>
      </c>
      <c r="D33" s="612">
        <f t="shared" si="1"/>
        <v>165</v>
      </c>
      <c r="E33" s="814">
        <f t="shared" si="2"/>
        <v>0</v>
      </c>
      <c r="F33" s="813">
        <f t="shared" si="3"/>
        <v>0</v>
      </c>
      <c r="G33" s="622">
        <f>'Preise radio ffn'!D29</f>
        <v>15</v>
      </c>
      <c r="H33" s="609">
        <f t="shared" si="4"/>
        <v>165</v>
      </c>
      <c r="I33" s="814">
        <f t="shared" si="5"/>
        <v>0</v>
      </c>
      <c r="J33" s="813">
        <f t="shared" si="6"/>
        <v>0</v>
      </c>
      <c r="K33" s="622">
        <f>'Preise radio ffn'!F29</f>
        <v>15</v>
      </c>
      <c r="L33" s="609">
        <f t="shared" si="7"/>
        <v>165</v>
      </c>
      <c r="M33" s="814">
        <f t="shared" si="8"/>
        <v>0</v>
      </c>
      <c r="N33" s="823"/>
      <c r="O33" s="605"/>
      <c r="P33" s="605"/>
      <c r="Q33" s="605"/>
      <c r="R33" s="605"/>
      <c r="S33" s="604"/>
      <c r="T33" s="824"/>
      <c r="U33" s="823"/>
      <c r="V33" s="605"/>
      <c r="W33" s="605"/>
      <c r="X33" s="605"/>
      <c r="Y33" s="605"/>
      <c r="Z33" s="604"/>
      <c r="AA33" s="824"/>
      <c r="AB33" s="823"/>
      <c r="AC33" s="605"/>
      <c r="AD33" s="605"/>
      <c r="AE33" s="605"/>
      <c r="AF33" s="605"/>
      <c r="AG33" s="604"/>
      <c r="AH33" s="824"/>
      <c r="AI33" s="823"/>
      <c r="AJ33" s="605"/>
      <c r="AK33" s="605"/>
      <c r="AL33" s="605"/>
      <c r="AM33" s="605"/>
      <c r="AN33" s="604"/>
      <c r="AO33" s="824"/>
      <c r="AP33" s="823"/>
      <c r="AQ33" s="605"/>
      <c r="AR33" s="605"/>
      <c r="AS33" s="605"/>
      <c r="AT33" s="605"/>
      <c r="AU33" s="604"/>
      <c r="AV33" s="824"/>
      <c r="AW33" s="823"/>
      <c r="AX33" s="605"/>
      <c r="AY33" s="605"/>
      <c r="AZ33" s="605"/>
      <c r="BA33" s="605"/>
      <c r="BB33" s="604"/>
      <c r="BC33" s="824"/>
      <c r="BD33" s="2"/>
      <c r="BE33" s="2"/>
      <c r="BF33" s="2"/>
      <c r="BG33" s="2"/>
      <c r="BH33" s="2"/>
    </row>
    <row r="34" spans="1:60" s="1" customFormat="1" ht="15.75">
      <c r="A34" s="804" t="s">
        <v>38</v>
      </c>
      <c r="B34" s="813">
        <f t="shared" si="0"/>
        <v>0</v>
      </c>
      <c r="C34" s="622">
        <f>'Preise radio ffn'!B30</f>
        <v>15</v>
      </c>
      <c r="D34" s="612">
        <f t="shared" si="1"/>
        <v>165</v>
      </c>
      <c r="E34" s="814">
        <f t="shared" si="2"/>
        <v>0</v>
      </c>
      <c r="F34" s="813">
        <f t="shared" si="3"/>
        <v>0</v>
      </c>
      <c r="G34" s="622">
        <f>'Preise radio ffn'!D30</f>
        <v>15</v>
      </c>
      <c r="H34" s="609">
        <f t="shared" si="4"/>
        <v>165</v>
      </c>
      <c r="I34" s="814">
        <f t="shared" si="5"/>
        <v>0</v>
      </c>
      <c r="J34" s="813">
        <f t="shared" si="6"/>
        <v>0</v>
      </c>
      <c r="K34" s="622">
        <f>'Preise radio ffn'!F30</f>
        <v>15</v>
      </c>
      <c r="L34" s="609">
        <f t="shared" si="7"/>
        <v>165</v>
      </c>
      <c r="M34" s="814">
        <f t="shared" si="8"/>
        <v>0</v>
      </c>
      <c r="N34" s="823"/>
      <c r="O34" s="605"/>
      <c r="P34" s="605"/>
      <c r="Q34" s="605"/>
      <c r="R34" s="605"/>
      <c r="S34" s="604"/>
      <c r="T34" s="824"/>
      <c r="U34" s="823"/>
      <c r="V34" s="605"/>
      <c r="W34" s="605"/>
      <c r="X34" s="605"/>
      <c r="Y34" s="605"/>
      <c r="Z34" s="604"/>
      <c r="AA34" s="824"/>
      <c r="AB34" s="823"/>
      <c r="AC34" s="605"/>
      <c r="AD34" s="605"/>
      <c r="AE34" s="605"/>
      <c r="AF34" s="605"/>
      <c r="AG34" s="604"/>
      <c r="AH34" s="824"/>
      <c r="AI34" s="823"/>
      <c r="AJ34" s="605"/>
      <c r="AK34" s="605"/>
      <c r="AL34" s="605"/>
      <c r="AM34" s="605"/>
      <c r="AN34" s="604"/>
      <c r="AO34" s="824"/>
      <c r="AP34" s="823"/>
      <c r="AQ34" s="605"/>
      <c r="AR34" s="605"/>
      <c r="AS34" s="605"/>
      <c r="AT34" s="605"/>
      <c r="AU34" s="604"/>
      <c r="AV34" s="824"/>
      <c r="AW34" s="823"/>
      <c r="AX34" s="605"/>
      <c r="AY34" s="605"/>
      <c r="AZ34" s="605"/>
      <c r="BA34" s="605"/>
      <c r="BB34" s="604"/>
      <c r="BC34" s="824"/>
      <c r="BD34" s="2"/>
      <c r="BE34" s="2"/>
      <c r="BF34" s="2"/>
      <c r="BG34" s="2"/>
      <c r="BH34" s="2"/>
    </row>
    <row r="35" spans="1:60" s="1" customFormat="1" ht="15.75">
      <c r="A35" s="804" t="s">
        <v>39</v>
      </c>
      <c r="B35" s="813">
        <f t="shared" si="0"/>
        <v>0</v>
      </c>
      <c r="C35" s="622">
        <f>'Preise radio ffn'!B31</f>
        <v>15</v>
      </c>
      <c r="D35" s="612">
        <f t="shared" si="1"/>
        <v>165</v>
      </c>
      <c r="E35" s="814">
        <f t="shared" si="2"/>
        <v>0</v>
      </c>
      <c r="F35" s="813">
        <f t="shared" si="3"/>
        <v>0</v>
      </c>
      <c r="G35" s="622">
        <f>'Preise radio ffn'!D31</f>
        <v>15</v>
      </c>
      <c r="H35" s="609">
        <f t="shared" si="4"/>
        <v>165</v>
      </c>
      <c r="I35" s="814">
        <f t="shared" si="5"/>
        <v>0</v>
      </c>
      <c r="J35" s="813">
        <f t="shared" si="6"/>
        <v>0</v>
      </c>
      <c r="K35" s="622">
        <f>'Preise radio ffn'!F31</f>
        <v>15</v>
      </c>
      <c r="L35" s="609">
        <f t="shared" si="7"/>
        <v>165</v>
      </c>
      <c r="M35" s="814">
        <f t="shared" si="8"/>
        <v>0</v>
      </c>
      <c r="N35" s="823"/>
      <c r="O35" s="605"/>
      <c r="P35" s="605"/>
      <c r="Q35" s="605"/>
      <c r="R35" s="605"/>
      <c r="S35" s="604"/>
      <c r="T35" s="824"/>
      <c r="U35" s="823"/>
      <c r="V35" s="605"/>
      <c r="W35" s="605"/>
      <c r="X35" s="605"/>
      <c r="Y35" s="605"/>
      <c r="Z35" s="604"/>
      <c r="AA35" s="824"/>
      <c r="AB35" s="823"/>
      <c r="AC35" s="605"/>
      <c r="AD35" s="605"/>
      <c r="AE35" s="605"/>
      <c r="AF35" s="605"/>
      <c r="AG35" s="604"/>
      <c r="AH35" s="824"/>
      <c r="AI35" s="823"/>
      <c r="AJ35" s="605"/>
      <c r="AK35" s="605"/>
      <c r="AL35" s="605"/>
      <c r="AM35" s="605"/>
      <c r="AN35" s="604"/>
      <c r="AO35" s="824"/>
      <c r="AP35" s="823"/>
      <c r="AQ35" s="605"/>
      <c r="AR35" s="605"/>
      <c r="AS35" s="605"/>
      <c r="AT35" s="605"/>
      <c r="AU35" s="604"/>
      <c r="AV35" s="824"/>
      <c r="AW35" s="823"/>
      <c r="AX35" s="605"/>
      <c r="AY35" s="605"/>
      <c r="AZ35" s="605"/>
      <c r="BA35" s="605"/>
      <c r="BB35" s="604"/>
      <c r="BC35" s="824"/>
      <c r="BD35" s="2"/>
      <c r="BE35" s="2"/>
      <c r="BF35" s="2"/>
      <c r="BG35" s="2"/>
      <c r="BH35" s="2"/>
    </row>
    <row r="36" spans="1:60" s="1" customFormat="1" ht="15.75">
      <c r="A36" s="804" t="s">
        <v>40</v>
      </c>
      <c r="B36" s="813">
        <f t="shared" si="0"/>
        <v>0</v>
      </c>
      <c r="C36" s="622">
        <f>'Preise radio ffn'!B32</f>
        <v>0</v>
      </c>
      <c r="D36" s="612">
        <f t="shared" si="1"/>
        <v>0</v>
      </c>
      <c r="E36" s="814">
        <f t="shared" si="2"/>
        <v>0</v>
      </c>
      <c r="F36" s="813">
        <f t="shared" si="3"/>
        <v>0</v>
      </c>
      <c r="G36" s="622">
        <f>'Preise radio ffn'!D32</f>
        <v>0</v>
      </c>
      <c r="H36" s="609">
        <f t="shared" si="4"/>
        <v>0</v>
      </c>
      <c r="I36" s="814">
        <f t="shared" si="5"/>
        <v>0</v>
      </c>
      <c r="J36" s="813">
        <f t="shared" si="6"/>
        <v>0</v>
      </c>
      <c r="K36" s="622">
        <f>'Preise radio ffn'!F32</f>
        <v>0</v>
      </c>
      <c r="L36" s="609">
        <f t="shared" si="7"/>
        <v>0</v>
      </c>
      <c r="M36" s="814">
        <f t="shared" si="8"/>
        <v>0</v>
      </c>
      <c r="N36" s="821"/>
      <c r="O36" s="787"/>
      <c r="P36" s="787"/>
      <c r="Q36" s="787"/>
      <c r="R36" s="787"/>
      <c r="S36" s="787"/>
      <c r="T36" s="822"/>
      <c r="U36" s="821"/>
      <c r="V36" s="787"/>
      <c r="W36" s="787"/>
      <c r="X36" s="787"/>
      <c r="Y36" s="787"/>
      <c r="Z36" s="787"/>
      <c r="AA36" s="822"/>
      <c r="AB36" s="821"/>
      <c r="AC36" s="787"/>
      <c r="AD36" s="787"/>
      <c r="AE36" s="787"/>
      <c r="AF36" s="787"/>
      <c r="AG36" s="787"/>
      <c r="AH36" s="822"/>
      <c r="AI36" s="821"/>
      <c r="AJ36" s="787"/>
      <c r="AK36" s="787"/>
      <c r="AL36" s="787"/>
      <c r="AM36" s="787"/>
      <c r="AN36" s="787"/>
      <c r="AO36" s="822"/>
      <c r="AP36" s="821"/>
      <c r="AQ36" s="787"/>
      <c r="AR36" s="787"/>
      <c r="AS36" s="787"/>
      <c r="AT36" s="787"/>
      <c r="AU36" s="787"/>
      <c r="AV36" s="822"/>
      <c r="AW36" s="821"/>
      <c r="AX36" s="787"/>
      <c r="AY36" s="787"/>
      <c r="AZ36" s="787"/>
      <c r="BA36" s="787"/>
      <c r="BB36" s="787"/>
      <c r="BC36" s="822"/>
      <c r="BD36" s="2"/>
      <c r="BE36" s="2"/>
      <c r="BF36" s="2"/>
      <c r="BG36" s="2"/>
      <c r="BH36" s="2"/>
    </row>
    <row r="37" spans="1:60" s="1" customFormat="1" ht="15.75">
      <c r="A37" s="804" t="s">
        <v>41</v>
      </c>
      <c r="B37" s="813">
        <f t="shared" si="0"/>
        <v>0</v>
      </c>
      <c r="C37" s="622">
        <f>'Preise radio ffn'!B33</f>
        <v>0</v>
      </c>
      <c r="D37" s="612">
        <f t="shared" si="1"/>
        <v>0</v>
      </c>
      <c r="E37" s="814">
        <f t="shared" si="2"/>
        <v>0</v>
      </c>
      <c r="F37" s="813">
        <f t="shared" si="3"/>
        <v>0</v>
      </c>
      <c r="G37" s="622">
        <f>'Preise radio ffn'!D33</f>
        <v>0</v>
      </c>
      <c r="H37" s="609">
        <f t="shared" si="4"/>
        <v>0</v>
      </c>
      <c r="I37" s="814">
        <f t="shared" si="5"/>
        <v>0</v>
      </c>
      <c r="J37" s="813">
        <f t="shared" si="6"/>
        <v>0</v>
      </c>
      <c r="K37" s="622">
        <f>'Preise radio ffn'!F33</f>
        <v>0</v>
      </c>
      <c r="L37" s="609">
        <f t="shared" si="7"/>
        <v>0</v>
      </c>
      <c r="M37" s="814">
        <f t="shared" si="8"/>
        <v>0</v>
      </c>
      <c r="N37" s="821"/>
      <c r="O37" s="787"/>
      <c r="P37" s="787"/>
      <c r="Q37" s="787"/>
      <c r="R37" s="787"/>
      <c r="S37" s="787"/>
      <c r="T37" s="822"/>
      <c r="U37" s="821"/>
      <c r="V37" s="787"/>
      <c r="W37" s="787"/>
      <c r="X37" s="787"/>
      <c r="Y37" s="787"/>
      <c r="Z37" s="787"/>
      <c r="AA37" s="822"/>
      <c r="AB37" s="821"/>
      <c r="AC37" s="787"/>
      <c r="AD37" s="787"/>
      <c r="AE37" s="787"/>
      <c r="AF37" s="787"/>
      <c r="AG37" s="787"/>
      <c r="AH37" s="822"/>
      <c r="AI37" s="821"/>
      <c r="AJ37" s="787"/>
      <c r="AK37" s="787"/>
      <c r="AL37" s="787"/>
      <c r="AM37" s="787"/>
      <c r="AN37" s="787"/>
      <c r="AO37" s="822"/>
      <c r="AP37" s="821"/>
      <c r="AQ37" s="787"/>
      <c r="AR37" s="787"/>
      <c r="AS37" s="787"/>
      <c r="AT37" s="787"/>
      <c r="AU37" s="787"/>
      <c r="AV37" s="822"/>
      <c r="AW37" s="821"/>
      <c r="AX37" s="787"/>
      <c r="AY37" s="787"/>
      <c r="AZ37" s="787"/>
      <c r="BA37" s="787"/>
      <c r="BB37" s="787"/>
      <c r="BC37" s="822"/>
      <c r="BD37" s="2"/>
      <c r="BE37" s="2"/>
      <c r="BF37" s="2"/>
      <c r="BG37" s="2"/>
      <c r="BH37" s="2"/>
    </row>
    <row r="38" spans="1:60" s="1" customFormat="1" ht="15.75">
      <c r="A38" s="804" t="s">
        <v>42</v>
      </c>
      <c r="B38" s="813">
        <f t="shared" si="0"/>
        <v>0</v>
      </c>
      <c r="C38" s="622">
        <f>'Preise radio ffn'!B34</f>
        <v>0</v>
      </c>
      <c r="D38" s="612">
        <f t="shared" si="1"/>
        <v>0</v>
      </c>
      <c r="E38" s="814">
        <f t="shared" si="2"/>
        <v>0</v>
      </c>
      <c r="F38" s="813">
        <f t="shared" si="3"/>
        <v>0</v>
      </c>
      <c r="G38" s="622">
        <f>'Preise radio ffn'!D34</f>
        <v>0</v>
      </c>
      <c r="H38" s="609">
        <f t="shared" si="4"/>
        <v>0</v>
      </c>
      <c r="I38" s="814">
        <f t="shared" si="5"/>
        <v>0</v>
      </c>
      <c r="J38" s="813">
        <f t="shared" si="6"/>
        <v>0</v>
      </c>
      <c r="K38" s="622">
        <f>'Preise radio ffn'!F34</f>
        <v>0</v>
      </c>
      <c r="L38" s="609">
        <f t="shared" si="7"/>
        <v>0</v>
      </c>
      <c r="M38" s="814">
        <f t="shared" si="8"/>
        <v>0</v>
      </c>
      <c r="N38" s="821"/>
      <c r="O38" s="787"/>
      <c r="P38" s="787"/>
      <c r="Q38" s="787"/>
      <c r="R38" s="787"/>
      <c r="S38" s="787"/>
      <c r="T38" s="822"/>
      <c r="U38" s="821"/>
      <c r="V38" s="787"/>
      <c r="W38" s="787"/>
      <c r="X38" s="787"/>
      <c r="Y38" s="787"/>
      <c r="Z38" s="787"/>
      <c r="AA38" s="822"/>
      <c r="AB38" s="821"/>
      <c r="AC38" s="787"/>
      <c r="AD38" s="787"/>
      <c r="AE38" s="787"/>
      <c r="AF38" s="787"/>
      <c r="AG38" s="787"/>
      <c r="AH38" s="822"/>
      <c r="AI38" s="821"/>
      <c r="AJ38" s="787"/>
      <c r="AK38" s="787"/>
      <c r="AL38" s="787"/>
      <c r="AM38" s="787"/>
      <c r="AN38" s="787"/>
      <c r="AO38" s="822"/>
      <c r="AP38" s="821"/>
      <c r="AQ38" s="787"/>
      <c r="AR38" s="787"/>
      <c r="AS38" s="787"/>
      <c r="AT38" s="787"/>
      <c r="AU38" s="787"/>
      <c r="AV38" s="822"/>
      <c r="AW38" s="821"/>
      <c r="AX38" s="787"/>
      <c r="AY38" s="787"/>
      <c r="AZ38" s="787"/>
      <c r="BA38" s="787"/>
      <c r="BB38" s="787"/>
      <c r="BC38" s="822"/>
      <c r="BD38" s="2"/>
      <c r="BE38" s="2"/>
      <c r="BF38" s="2"/>
      <c r="BG38" s="2"/>
      <c r="BH38" s="2"/>
    </row>
    <row r="39" spans="1:60" s="1" customFormat="1" ht="15.75">
      <c r="A39" s="804" t="s">
        <v>43</v>
      </c>
      <c r="B39" s="813">
        <f t="shared" si="0"/>
        <v>0</v>
      </c>
      <c r="C39" s="622">
        <f>'Preise radio ffn'!B35</f>
        <v>0</v>
      </c>
      <c r="D39" s="612">
        <f t="shared" si="1"/>
        <v>0</v>
      </c>
      <c r="E39" s="814">
        <f t="shared" si="2"/>
        <v>0</v>
      </c>
      <c r="F39" s="813">
        <f t="shared" si="3"/>
        <v>0</v>
      </c>
      <c r="G39" s="622">
        <f>'Preise radio ffn'!D35</f>
        <v>0</v>
      </c>
      <c r="H39" s="609">
        <f t="shared" si="4"/>
        <v>0</v>
      </c>
      <c r="I39" s="814">
        <f t="shared" si="5"/>
        <v>0</v>
      </c>
      <c r="J39" s="813">
        <f t="shared" si="6"/>
        <v>0</v>
      </c>
      <c r="K39" s="622">
        <f>'Preise radio ffn'!F35</f>
        <v>0</v>
      </c>
      <c r="L39" s="609">
        <f t="shared" si="7"/>
        <v>0</v>
      </c>
      <c r="M39" s="814">
        <f t="shared" si="8"/>
        <v>0</v>
      </c>
      <c r="N39" s="821"/>
      <c r="O39" s="787"/>
      <c r="P39" s="787"/>
      <c r="Q39" s="787"/>
      <c r="R39" s="787"/>
      <c r="S39" s="787"/>
      <c r="T39" s="822"/>
      <c r="U39" s="821"/>
      <c r="V39" s="787"/>
      <c r="W39" s="787"/>
      <c r="X39" s="787"/>
      <c r="Y39" s="787"/>
      <c r="Z39" s="787"/>
      <c r="AA39" s="822"/>
      <c r="AB39" s="821"/>
      <c r="AC39" s="787"/>
      <c r="AD39" s="787"/>
      <c r="AE39" s="787"/>
      <c r="AF39" s="787"/>
      <c r="AG39" s="787"/>
      <c r="AH39" s="822"/>
      <c r="AI39" s="821"/>
      <c r="AJ39" s="787"/>
      <c r="AK39" s="787"/>
      <c r="AL39" s="787"/>
      <c r="AM39" s="787"/>
      <c r="AN39" s="787"/>
      <c r="AO39" s="822"/>
      <c r="AP39" s="821"/>
      <c r="AQ39" s="787"/>
      <c r="AR39" s="787"/>
      <c r="AS39" s="787"/>
      <c r="AT39" s="787"/>
      <c r="AU39" s="787"/>
      <c r="AV39" s="822"/>
      <c r="AW39" s="821"/>
      <c r="AX39" s="787"/>
      <c r="AY39" s="787"/>
      <c r="AZ39" s="787"/>
      <c r="BA39" s="787"/>
      <c r="BB39" s="787"/>
      <c r="BC39" s="822"/>
      <c r="BD39" s="2"/>
      <c r="BE39" s="2"/>
      <c r="BF39" s="2"/>
      <c r="BG39" s="2"/>
      <c r="BH39" s="2"/>
    </row>
    <row r="40" spans="1:60" s="1" customFormat="1" ht="15.75">
      <c r="A40" s="804" t="s">
        <v>44</v>
      </c>
      <c r="B40" s="813">
        <f t="shared" si="0"/>
        <v>0</v>
      </c>
      <c r="C40" s="622">
        <f>'Preise radio ffn'!B36</f>
        <v>0</v>
      </c>
      <c r="D40" s="612">
        <f t="shared" si="1"/>
        <v>0</v>
      </c>
      <c r="E40" s="814">
        <f t="shared" si="2"/>
        <v>0</v>
      </c>
      <c r="F40" s="813">
        <f t="shared" si="3"/>
        <v>0</v>
      </c>
      <c r="G40" s="622">
        <f>'Preise radio ffn'!D36</f>
        <v>0</v>
      </c>
      <c r="H40" s="609">
        <f t="shared" si="4"/>
        <v>0</v>
      </c>
      <c r="I40" s="814">
        <f t="shared" si="5"/>
        <v>0</v>
      </c>
      <c r="J40" s="813">
        <f t="shared" si="6"/>
        <v>0</v>
      </c>
      <c r="K40" s="622">
        <f>'Preise radio ffn'!F36</f>
        <v>0</v>
      </c>
      <c r="L40" s="609">
        <f t="shared" si="7"/>
        <v>0</v>
      </c>
      <c r="M40" s="814">
        <f t="shared" si="8"/>
        <v>0</v>
      </c>
      <c r="N40" s="821"/>
      <c r="O40" s="787"/>
      <c r="P40" s="787"/>
      <c r="Q40" s="787"/>
      <c r="R40" s="787"/>
      <c r="S40" s="787"/>
      <c r="T40" s="822"/>
      <c r="U40" s="821"/>
      <c r="V40" s="787"/>
      <c r="W40" s="787"/>
      <c r="X40" s="787"/>
      <c r="Y40" s="787"/>
      <c r="Z40" s="787"/>
      <c r="AA40" s="822"/>
      <c r="AB40" s="821"/>
      <c r="AC40" s="787"/>
      <c r="AD40" s="787"/>
      <c r="AE40" s="787"/>
      <c r="AF40" s="787"/>
      <c r="AG40" s="787"/>
      <c r="AH40" s="822"/>
      <c r="AI40" s="821"/>
      <c r="AJ40" s="787"/>
      <c r="AK40" s="787"/>
      <c r="AL40" s="787"/>
      <c r="AM40" s="787"/>
      <c r="AN40" s="787"/>
      <c r="AO40" s="822"/>
      <c r="AP40" s="821"/>
      <c r="AQ40" s="787"/>
      <c r="AR40" s="787"/>
      <c r="AS40" s="787"/>
      <c r="AT40" s="787"/>
      <c r="AU40" s="787"/>
      <c r="AV40" s="822"/>
      <c r="AW40" s="821"/>
      <c r="AX40" s="787"/>
      <c r="AY40" s="787"/>
      <c r="AZ40" s="787"/>
      <c r="BA40" s="787"/>
      <c r="BB40" s="787"/>
      <c r="BC40" s="822"/>
      <c r="BD40" s="2"/>
      <c r="BE40" s="2"/>
      <c r="BF40" s="2"/>
      <c r="BG40" s="2"/>
      <c r="BH40" s="2"/>
    </row>
    <row r="41" spans="1:60" s="73" customFormat="1" ht="16.5" thickBot="1">
      <c r="A41" s="805" t="s">
        <v>45</v>
      </c>
      <c r="B41" s="815">
        <f>SUM(B17:B40)</f>
        <v>0</v>
      </c>
      <c r="C41" s="816"/>
      <c r="D41" s="816"/>
      <c r="E41" s="817">
        <f>SUM(E17:E40)</f>
        <v>0</v>
      </c>
      <c r="F41" s="815">
        <f>SUM(F17:F40)</f>
        <v>0</v>
      </c>
      <c r="G41" s="816"/>
      <c r="H41" s="816"/>
      <c r="I41" s="817">
        <f>SUM(I17:I40)</f>
        <v>0</v>
      </c>
      <c r="J41" s="815">
        <f>SUM(J17:J40)</f>
        <v>0</v>
      </c>
      <c r="K41" s="816"/>
      <c r="L41" s="816"/>
      <c r="M41" s="817">
        <f>SUM(M17:M40)</f>
        <v>0</v>
      </c>
      <c r="N41" s="825">
        <f t="shared" ref="N41:BC41" si="9">SUM(N22:N40)</f>
        <v>0</v>
      </c>
      <c r="O41" s="826">
        <f t="shared" si="9"/>
        <v>0</v>
      </c>
      <c r="P41" s="826">
        <f t="shared" si="9"/>
        <v>0</v>
      </c>
      <c r="Q41" s="826">
        <f t="shared" si="9"/>
        <v>0</v>
      </c>
      <c r="R41" s="826">
        <f t="shared" si="9"/>
        <v>0</v>
      </c>
      <c r="S41" s="826">
        <f t="shared" si="9"/>
        <v>0</v>
      </c>
      <c r="T41" s="827">
        <f t="shared" si="9"/>
        <v>0</v>
      </c>
      <c r="U41" s="825">
        <f t="shared" si="9"/>
        <v>0</v>
      </c>
      <c r="V41" s="826">
        <f t="shared" si="9"/>
        <v>0</v>
      </c>
      <c r="W41" s="826">
        <f t="shared" si="9"/>
        <v>0</v>
      </c>
      <c r="X41" s="826">
        <f t="shared" si="9"/>
        <v>0</v>
      </c>
      <c r="Y41" s="826">
        <f t="shared" si="9"/>
        <v>0</v>
      </c>
      <c r="Z41" s="826">
        <f t="shared" si="9"/>
        <v>0</v>
      </c>
      <c r="AA41" s="827">
        <f t="shared" si="9"/>
        <v>0</v>
      </c>
      <c r="AB41" s="825">
        <f t="shared" si="9"/>
        <v>0</v>
      </c>
      <c r="AC41" s="826">
        <f t="shared" si="9"/>
        <v>0</v>
      </c>
      <c r="AD41" s="826">
        <f t="shared" si="9"/>
        <v>0</v>
      </c>
      <c r="AE41" s="826">
        <f t="shared" si="9"/>
        <v>0</v>
      </c>
      <c r="AF41" s="826">
        <f t="shared" si="9"/>
        <v>0</v>
      </c>
      <c r="AG41" s="826">
        <f t="shared" si="9"/>
        <v>0</v>
      </c>
      <c r="AH41" s="827">
        <f t="shared" si="9"/>
        <v>0</v>
      </c>
      <c r="AI41" s="825">
        <f t="shared" si="9"/>
        <v>0</v>
      </c>
      <c r="AJ41" s="826">
        <f t="shared" si="9"/>
        <v>0</v>
      </c>
      <c r="AK41" s="826">
        <f t="shared" si="9"/>
        <v>0</v>
      </c>
      <c r="AL41" s="826">
        <f t="shared" si="9"/>
        <v>0</v>
      </c>
      <c r="AM41" s="826">
        <f t="shared" si="9"/>
        <v>0</v>
      </c>
      <c r="AN41" s="826">
        <f t="shared" si="9"/>
        <v>0</v>
      </c>
      <c r="AO41" s="827">
        <f t="shared" si="9"/>
        <v>0</v>
      </c>
      <c r="AP41" s="825">
        <f t="shared" si="9"/>
        <v>0</v>
      </c>
      <c r="AQ41" s="826">
        <f t="shared" si="9"/>
        <v>0</v>
      </c>
      <c r="AR41" s="826">
        <f t="shared" si="9"/>
        <v>0</v>
      </c>
      <c r="AS41" s="826">
        <f t="shared" si="9"/>
        <v>0</v>
      </c>
      <c r="AT41" s="826">
        <f t="shared" si="9"/>
        <v>0</v>
      </c>
      <c r="AU41" s="826">
        <f t="shared" si="9"/>
        <v>0</v>
      </c>
      <c r="AV41" s="827">
        <f t="shared" si="9"/>
        <v>0</v>
      </c>
      <c r="AW41" s="825">
        <f t="shared" si="9"/>
        <v>0</v>
      </c>
      <c r="AX41" s="826">
        <f t="shared" si="9"/>
        <v>0</v>
      </c>
      <c r="AY41" s="826">
        <f t="shared" si="9"/>
        <v>0</v>
      </c>
      <c r="AZ41" s="826">
        <f t="shared" si="9"/>
        <v>0</v>
      </c>
      <c r="BA41" s="826">
        <f t="shared" si="9"/>
        <v>0</v>
      </c>
      <c r="BB41" s="826">
        <f t="shared" si="9"/>
        <v>0</v>
      </c>
      <c r="BC41" s="827">
        <f t="shared" si="9"/>
        <v>0</v>
      </c>
      <c r="BD41" s="72"/>
      <c r="BE41" s="72"/>
      <c r="BF41" s="72"/>
      <c r="BG41" s="72"/>
      <c r="BH41" s="72"/>
    </row>
    <row r="42" spans="1:60" s="1" customFormat="1"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</row>
    <row r="43" spans="1:60" s="1" customFormat="1"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</row>
    <row r="44" spans="1:60" s="1" customFormat="1">
      <c r="C44" s="74"/>
      <c r="D44" s="74"/>
      <c r="E44" s="74"/>
      <c r="F44" s="74"/>
      <c r="G44" s="74"/>
      <c r="H44" s="799"/>
      <c r="I44" s="74"/>
      <c r="J44" s="74"/>
      <c r="K44" s="74"/>
      <c r="L44" s="74"/>
      <c r="M44" s="74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</row>
    <row r="45" spans="1:60" s="1" customForma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</row>
    <row r="46" spans="1:60" s="1" customFormat="1"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</row>
    <row r="47" spans="1:60" s="1" customFormat="1"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</row>
    <row r="48" spans="1:60" s="1" customFormat="1"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</row>
    <row r="49" spans="3:55" s="1" customFormat="1"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</row>
    <row r="50" spans="3:55" s="1" customFormat="1"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</row>
    <row r="51" spans="3:55" s="1" customFormat="1"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</row>
    <row r="52" spans="3:55" s="1" customFormat="1"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</row>
    <row r="53" spans="3:55" s="1" customFormat="1"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</row>
    <row r="54" spans="3:55" s="1" customFormat="1"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</row>
    <row r="55" spans="3:55" s="1" customFormat="1"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</row>
    <row r="56" spans="3:55" s="1" customFormat="1"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spans="3:55" s="1" customFormat="1"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3:55" s="1" customFormat="1"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3:55" s="1" customFormat="1"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</row>
    <row r="60" spans="3:55" s="1" customFormat="1"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spans="3:55" s="1" customFormat="1"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spans="3:55" s="1" customFormat="1"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spans="3:55" s="1" customFormat="1"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spans="3:55" s="1" customFormat="1"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spans="3:13" s="1" customFormat="1"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spans="3:13" s="1" customFormat="1"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spans="3:13" s="1" customFormat="1"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spans="3:13" s="1" customFormat="1"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spans="3:13" s="1" customFormat="1"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spans="3:13" s="1" customFormat="1"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3:13" s="1" customFormat="1"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spans="3:13" s="1" customFormat="1"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spans="3:13" s="1" customFormat="1"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spans="3:13" s="1" customFormat="1"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spans="3:13" s="1" customFormat="1"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spans="3:13" s="1" customFormat="1"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spans="3:13" s="1" customFormat="1"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</sheetData>
  <mergeCells count="30">
    <mergeCell ref="D2:G2"/>
    <mergeCell ref="A4:BH4"/>
    <mergeCell ref="E6:G6"/>
    <mergeCell ref="I6:K6"/>
    <mergeCell ref="M6:O6"/>
    <mergeCell ref="AN6:AV6"/>
    <mergeCell ref="R5:V5"/>
    <mergeCell ref="E7:G7"/>
    <mergeCell ref="I7:K7"/>
    <mergeCell ref="M7:O7"/>
    <mergeCell ref="E8:G8"/>
    <mergeCell ref="I8:K8"/>
    <mergeCell ref="M8:O8"/>
    <mergeCell ref="I9:K9"/>
    <mergeCell ref="M9:O9"/>
    <mergeCell ref="I10:K10"/>
    <mergeCell ref="M10:O10"/>
    <mergeCell ref="I11:K11"/>
    <mergeCell ref="M11:O11"/>
    <mergeCell ref="I12:K12"/>
    <mergeCell ref="M12:O12"/>
    <mergeCell ref="B14:E14"/>
    <mergeCell ref="F14:I14"/>
    <mergeCell ref="J14:M14"/>
    <mergeCell ref="N14:T14"/>
    <mergeCell ref="U14:AA14"/>
    <mergeCell ref="AB14:AH14"/>
    <mergeCell ref="AI14:AO14"/>
    <mergeCell ref="AP14:AV14"/>
    <mergeCell ref="AW14:BC14"/>
  </mergeCells>
  <pageMargins left="0.11811023622047245" right="0.11811023622047245" top="0.78740157480314965" bottom="0.78740157480314965" header="0.31496062992125984" footer="0.31496062992125984"/>
  <pageSetup paperSize="9"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8</vt:i4>
      </vt:variant>
    </vt:vector>
  </HeadingPairs>
  <TitlesOfParts>
    <vt:vector size="25" baseType="lpstr">
      <vt:lpstr>Inhaltsverzeichnis</vt:lpstr>
      <vt:lpstr>Preise RHH</vt:lpstr>
      <vt:lpstr>PlanerRHH</vt:lpstr>
      <vt:lpstr>Preise 80er 90er OAHH</vt:lpstr>
      <vt:lpstr>Planer 80er 90er OAHH</vt:lpstr>
      <vt:lpstr>Preise MOREHHKombi</vt:lpstr>
      <vt:lpstr>Planer MOREHHKombi</vt:lpstr>
      <vt:lpstr>Preise MOREHHKombi+</vt:lpstr>
      <vt:lpstr>Planer MOREHHKombi+</vt:lpstr>
      <vt:lpstr>Preise RAHH</vt:lpstr>
      <vt:lpstr>Planer RAHH</vt:lpstr>
      <vt:lpstr>Preise CARAVANFM</vt:lpstr>
      <vt:lpstr>PlanerCARAVANFM</vt:lpstr>
      <vt:lpstr>Preise BOLLERWAGEN</vt:lpstr>
      <vt:lpstr>Planer BOLLERWAGEN</vt:lpstr>
      <vt:lpstr>Preise radio ffn</vt:lpstr>
      <vt:lpstr>Planer radio ffn</vt:lpstr>
      <vt:lpstr>'Preise 80er 90er OAHH'!Druckbereich</vt:lpstr>
      <vt:lpstr>'Preise BOLLERWAGEN'!Druckbereich</vt:lpstr>
      <vt:lpstr>'Preise CARAVANFM'!Druckbereich</vt:lpstr>
      <vt:lpstr>'Preise MOREHHKombi'!Druckbereich</vt:lpstr>
      <vt:lpstr>'Preise MOREHHKombi+'!Druckbereich</vt:lpstr>
      <vt:lpstr>'Preise radio ffn'!Druckbereich</vt:lpstr>
      <vt:lpstr>'Preise RAHH'!Druckbereich</vt:lpstr>
      <vt:lpstr>'Preise RHH'!Druckbereich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Farin</dc:creator>
  <cp:lastModifiedBy>Maja Maria Horzic</cp:lastModifiedBy>
  <cp:lastPrinted>2024-09-11T13:47:41Z</cp:lastPrinted>
  <dcterms:created xsi:type="dcterms:W3CDTF">2016-09-13T06:53:19Z</dcterms:created>
  <dcterms:modified xsi:type="dcterms:W3CDTF">2026-08-24T08:10:21Z</dcterms:modified>
</cp:coreProperties>
</file>