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22"/>
  <workbookPr codeName="DieseArbeitsmappe"/>
  <mc:AlternateContent xmlns:mc="http://schemas.openxmlformats.org/markup-compatibility/2006">
    <mc:Choice Requires="x15">
      <x15ac:absPath xmlns:x15ac="http://schemas.microsoft.com/office/spreadsheetml/2010/11/ac" url="/Users/niklasfarin/Downloads/"/>
    </mc:Choice>
  </mc:AlternateContent>
  <xr:revisionPtr revIDLastSave="0" documentId="13_ncr:1_{09974978-4E80-1A48-8DAA-4C9852831184}" xr6:coauthVersionLast="47" xr6:coauthVersionMax="47" xr10:uidLastSave="{00000000-0000-0000-0000-000000000000}"/>
  <bookViews>
    <workbookView xWindow="0" yWindow="600" windowWidth="33600" windowHeight="18740" activeTab="3" xr2:uid="{00000000-000D-0000-FFFF-FFFF00000000}"/>
  </bookViews>
  <sheets>
    <sheet name="Dispoauftrag" sheetId="1" r:id="rId1"/>
    <sheet name="Einplanung durch Kombitabelle" sheetId="5" state="hidden" r:id="rId2"/>
    <sheet name="AA" sheetId="2" state="hidden" r:id="rId3"/>
    <sheet name="Buchungskenn durch Kombitabelle" sheetId="4" r:id="rId4"/>
    <sheet name="Versionshinweise" sheetId="3" state="hidden" r:id="rId5"/>
  </sheets>
  <definedNames>
    <definedName name="Datenschnitt_Anzahl_Einsatzpläne">#N/A</definedName>
    <definedName name="dropdown_abrechnung">AA!$A$287:$A$299</definedName>
    <definedName name="_xlnm.Print_Area" localSheetId="0">Dispoauftrag!$B$1:$H$642</definedName>
    <definedName name="_xlnm.Print_Area" localSheetId="4">Versionshinweise!$A$1:$L$27</definedName>
    <definedName name="_xlnm.Print_Titles" localSheetId="0">Dispoauftrag!$1:$6</definedName>
    <definedName name="RHHLogo" localSheetId="0">INDIRECT(Dispoauftrag!$A$26)</definedName>
    <definedName name="SenderkombiEvents">AA!$A$21:$A$24</definedName>
    <definedName name="Senderkombis">AA!$A$11:$A$12</definedName>
    <definedName name="SenderKombisOA">AA!$A$17</definedName>
    <definedName name="SenderKombisUKW">AA!$A$13:$A$20</definedName>
    <definedName name="targeting">AA!$A$152:$A$154</definedName>
    <definedName name="targeting_spec">AA!$E$159:$E$284</definedName>
    <definedName name="undoder">AA!$A$148:$A$149</definedName>
    <definedName name="WerbemittelEvents">AA!$A$68</definedName>
    <definedName name="WerbemittelKombi">AA!$A$33:$A$41</definedName>
    <definedName name="WerbemittelOA">AA!$A$69:$A$75</definedName>
    <definedName name="WerbemittelPodcast">AA!$A$76:$A$78</definedName>
    <definedName name="WerbemittelUKW">AA!$A$33:$A$67</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21" i="1" l="1" a="1"/>
  <c r="D621" i="1" s="1"/>
  <c r="D591" i="1" a="1"/>
  <c r="D591" i="1" s="1"/>
  <c r="D561" i="1" a="1"/>
  <c r="D561" i="1" s="1"/>
  <c r="D531" i="1" a="1"/>
  <c r="D531" i="1" s="1"/>
  <c r="D501" i="1" a="1"/>
  <c r="D501" i="1" s="1"/>
  <c r="D471" i="1" a="1"/>
  <c r="D471" i="1" s="1"/>
  <c r="D441" i="1" a="1"/>
  <c r="D441" i="1" s="1"/>
  <c r="D411" i="1" a="1"/>
  <c r="D411" i="1" s="1"/>
  <c r="D381" i="1" a="1"/>
  <c r="D381" i="1" s="1"/>
  <c r="D351" i="1" a="1"/>
  <c r="D351" i="1" s="1"/>
  <c r="D321" i="1" a="1"/>
  <c r="D321" i="1" s="1"/>
  <c r="D291" i="1" a="1"/>
  <c r="D291" i="1" s="1"/>
  <c r="D261" i="1" a="1"/>
  <c r="D261" i="1" s="1"/>
  <c r="D231" i="1" a="1"/>
  <c r="D231" i="1" s="1"/>
  <c r="D201" i="1" a="1"/>
  <c r="D201" i="1" s="1"/>
  <c r="D171" i="1" a="1"/>
  <c r="D171" i="1" s="1"/>
  <c r="D141" i="1" a="1"/>
  <c r="D141" i="1" s="1"/>
  <c r="D111" i="1" a="1"/>
  <c r="D111" i="1" s="1"/>
  <c r="D81" i="1" a="1"/>
  <c r="D81" i="1" s="1"/>
  <c r="D51" i="1" a="1"/>
  <c r="D51" i="1" s="1"/>
  <c r="C636" i="1" l="1"/>
  <c r="C606" i="1"/>
  <c r="C576" i="1"/>
  <c r="C546" i="1"/>
  <c r="C516" i="1"/>
  <c r="C486" i="1"/>
  <c r="C456" i="1"/>
  <c r="C426" i="1"/>
  <c r="C396" i="1"/>
  <c r="C366" i="1"/>
  <c r="C336" i="1"/>
  <c r="C306" i="1"/>
  <c r="C276" i="1"/>
  <c r="C246" i="1"/>
  <c r="C216" i="1"/>
  <c r="C186" i="1"/>
  <c r="C156" i="1"/>
  <c r="C126" i="1"/>
  <c r="C96" i="1"/>
  <c r="E617" i="1"/>
  <c r="E587" i="1"/>
  <c r="E557" i="1"/>
  <c r="E527" i="1"/>
  <c r="E497" i="1"/>
  <c r="E467" i="1"/>
  <c r="E437" i="1"/>
  <c r="E407" i="1"/>
  <c r="E377" i="1"/>
  <c r="E347" i="1"/>
  <c r="E317" i="1"/>
  <c r="E287" i="1"/>
  <c r="E257" i="1"/>
  <c r="E227" i="1"/>
  <c r="E197" i="1"/>
  <c r="E167" i="1"/>
  <c r="E137" i="1"/>
  <c r="E107" i="1" l="1"/>
  <c r="E77" i="1"/>
  <c r="C66" i="1" l="1"/>
  <c r="E47" i="1"/>
  <c r="F641" i="1" l="1"/>
  <c r="G640" i="1"/>
  <c r="G639" i="1"/>
  <c r="G638" i="1"/>
  <c r="B638" i="1"/>
  <c r="D634" i="1"/>
  <c r="F632" i="1"/>
  <c r="F631" i="1"/>
  <c r="F611" i="1"/>
  <c r="G610" i="1"/>
  <c r="G609" i="1"/>
  <c r="G608" i="1"/>
  <c r="B608" i="1"/>
  <c r="D604" i="1"/>
  <c r="F602" i="1"/>
  <c r="F601" i="1"/>
  <c r="F581" i="1"/>
  <c r="G580" i="1"/>
  <c r="G579" i="1"/>
  <c r="G578" i="1"/>
  <c r="B578" i="1"/>
  <c r="D574" i="1"/>
  <c r="F572" i="1"/>
  <c r="F571" i="1"/>
  <c r="F551" i="1"/>
  <c r="G550" i="1"/>
  <c r="G549" i="1"/>
  <c r="G548" i="1"/>
  <c r="B548" i="1"/>
  <c r="D544" i="1"/>
  <c r="F542" i="1"/>
  <c r="F541" i="1"/>
  <c r="F521" i="1"/>
  <c r="G520" i="1"/>
  <c r="G519" i="1"/>
  <c r="G518" i="1"/>
  <c r="B518" i="1"/>
  <c r="D514" i="1"/>
  <c r="F512" i="1"/>
  <c r="F511" i="1"/>
  <c r="F491" i="1"/>
  <c r="G490" i="1"/>
  <c r="G489" i="1"/>
  <c r="G488" i="1"/>
  <c r="B488" i="1"/>
  <c r="D484" i="1"/>
  <c r="F482" i="1"/>
  <c r="F481" i="1"/>
  <c r="F461" i="1"/>
  <c r="G460" i="1"/>
  <c r="G459" i="1"/>
  <c r="G458" i="1"/>
  <c r="B458" i="1"/>
  <c r="D454" i="1"/>
  <c r="F452" i="1"/>
  <c r="F451" i="1"/>
  <c r="F431" i="1"/>
  <c r="G430" i="1"/>
  <c r="G429" i="1"/>
  <c r="G428" i="1"/>
  <c r="B428" i="1"/>
  <c r="D424" i="1"/>
  <c r="F422" i="1"/>
  <c r="F421" i="1"/>
  <c r="F401" i="1"/>
  <c r="G400" i="1"/>
  <c r="G399" i="1"/>
  <c r="G398" i="1"/>
  <c r="B398" i="1"/>
  <c r="D394" i="1"/>
  <c r="F392" i="1"/>
  <c r="F391" i="1"/>
  <c r="F371" i="1"/>
  <c r="G370" i="1"/>
  <c r="G369" i="1"/>
  <c r="G368" i="1"/>
  <c r="B368" i="1"/>
  <c r="D364" i="1"/>
  <c r="F362" i="1"/>
  <c r="F361" i="1"/>
  <c r="F341" i="1"/>
  <c r="G340" i="1"/>
  <c r="G339" i="1"/>
  <c r="G338" i="1"/>
  <c r="B338" i="1"/>
  <c r="D334" i="1"/>
  <c r="F332" i="1"/>
  <c r="F331" i="1"/>
  <c r="F311" i="1"/>
  <c r="G310" i="1"/>
  <c r="G309" i="1"/>
  <c r="G308" i="1"/>
  <c r="B308" i="1"/>
  <c r="D304" i="1"/>
  <c r="F302" i="1"/>
  <c r="F301" i="1"/>
  <c r="F281" i="1"/>
  <c r="G280" i="1"/>
  <c r="G279" i="1"/>
  <c r="G278" i="1"/>
  <c r="B278" i="1"/>
  <c r="D274" i="1"/>
  <c r="F272" i="1"/>
  <c r="F271" i="1"/>
  <c r="F251" i="1"/>
  <c r="G250" i="1"/>
  <c r="G249" i="1"/>
  <c r="G248" i="1"/>
  <c r="B248" i="1"/>
  <c r="D244" i="1"/>
  <c r="F242" i="1"/>
  <c r="F241" i="1"/>
  <c r="F221" i="1"/>
  <c r="G220" i="1"/>
  <c r="G219" i="1"/>
  <c r="G218" i="1"/>
  <c r="B218" i="1"/>
  <c r="D214" i="1"/>
  <c r="F212" i="1"/>
  <c r="F211" i="1"/>
  <c r="F191" i="1"/>
  <c r="G190" i="1"/>
  <c r="G189" i="1"/>
  <c r="G188" i="1"/>
  <c r="B188" i="1"/>
  <c r="D184" i="1"/>
  <c r="F182" i="1"/>
  <c r="F181" i="1"/>
  <c r="F161" i="1"/>
  <c r="G160" i="1"/>
  <c r="G159" i="1"/>
  <c r="G158" i="1"/>
  <c r="B158" i="1"/>
  <c r="D154" i="1"/>
  <c r="F152" i="1"/>
  <c r="F151" i="1"/>
  <c r="F131" i="1"/>
  <c r="G130" i="1"/>
  <c r="G129" i="1"/>
  <c r="G128" i="1"/>
  <c r="B128" i="1"/>
  <c r="D124" i="1"/>
  <c r="F122" i="1"/>
  <c r="F121" i="1"/>
  <c r="F101" i="1"/>
  <c r="G100" i="1"/>
  <c r="G99" i="1"/>
  <c r="G98" i="1"/>
  <c r="B98" i="1"/>
  <c r="D94" i="1"/>
  <c r="F92" i="1"/>
  <c r="F91" i="1"/>
  <c r="G641" i="1" l="1"/>
  <c r="G611" i="1"/>
  <c r="G581" i="1"/>
  <c r="G551" i="1"/>
  <c r="G521" i="1"/>
  <c r="G491" i="1"/>
  <c r="G461" i="1"/>
  <c r="G431" i="1"/>
  <c r="G401" i="1"/>
  <c r="G371" i="1"/>
  <c r="G341" i="1"/>
  <c r="G311" i="1"/>
  <c r="G281" i="1"/>
  <c r="G251" i="1"/>
  <c r="G221" i="1"/>
  <c r="G191" i="1"/>
  <c r="G161" i="1"/>
  <c r="G131" i="1"/>
  <c r="G101" i="1"/>
  <c r="B68" i="1" l="1"/>
  <c r="F62" i="1" l="1"/>
  <c r="F614" i="1" l="1"/>
  <c r="F584" i="1"/>
  <c r="F554" i="1"/>
  <c r="F524" i="1"/>
  <c r="F494" i="1"/>
  <c r="F464" i="1"/>
  <c r="F434" i="1"/>
  <c r="F404" i="1"/>
  <c r="F374" i="1"/>
  <c r="F344" i="1"/>
  <c r="F314" i="1"/>
  <c r="F284" i="1"/>
  <c r="F254" i="1"/>
  <c r="F224" i="1"/>
  <c r="F194" i="1"/>
  <c r="F164" i="1"/>
  <c r="F134" i="1"/>
  <c r="F104" i="1"/>
  <c r="F74" i="1"/>
  <c r="F44" i="1"/>
  <c r="E621" i="1" l="1"/>
  <c r="E620" i="1"/>
  <c r="E616" i="1"/>
  <c r="E615" i="1"/>
  <c r="E614" i="1"/>
  <c r="E591" i="1"/>
  <c r="E590" i="1"/>
  <c r="E586" i="1"/>
  <c r="E585" i="1"/>
  <c r="E584" i="1"/>
  <c r="E561" i="1"/>
  <c r="E560" i="1"/>
  <c r="E556" i="1"/>
  <c r="E555" i="1"/>
  <c r="E554" i="1"/>
  <c r="E531" i="1"/>
  <c r="E530" i="1"/>
  <c r="E526" i="1"/>
  <c r="E525" i="1"/>
  <c r="E524" i="1"/>
  <c r="E501" i="1"/>
  <c r="E500" i="1"/>
  <c r="E496" i="1"/>
  <c r="E495" i="1"/>
  <c r="E494" i="1"/>
  <c r="E471" i="1"/>
  <c r="E470" i="1"/>
  <c r="E466" i="1"/>
  <c r="E465" i="1"/>
  <c r="E464" i="1"/>
  <c r="E441" i="1"/>
  <c r="E440" i="1"/>
  <c r="E436" i="1"/>
  <c r="E435" i="1"/>
  <c r="E434" i="1"/>
  <c r="E411" i="1"/>
  <c r="E410" i="1"/>
  <c r="E406" i="1"/>
  <c r="E405" i="1"/>
  <c r="E404" i="1"/>
  <c r="E381" i="1"/>
  <c r="E380" i="1"/>
  <c r="E376" i="1"/>
  <c r="E375" i="1"/>
  <c r="E374" i="1"/>
  <c r="E351" i="1"/>
  <c r="E350" i="1"/>
  <c r="E346" i="1"/>
  <c r="E345" i="1"/>
  <c r="E344" i="1"/>
  <c r="E321" i="1"/>
  <c r="E320" i="1"/>
  <c r="E316" i="1"/>
  <c r="E315" i="1"/>
  <c r="E314" i="1"/>
  <c r="E291" i="1"/>
  <c r="E290" i="1"/>
  <c r="E286" i="1"/>
  <c r="E285" i="1"/>
  <c r="E284" i="1"/>
  <c r="E261" i="1"/>
  <c r="E260" i="1"/>
  <c r="E256" i="1"/>
  <c r="E255" i="1"/>
  <c r="E254" i="1"/>
  <c r="E231" i="1"/>
  <c r="E230" i="1"/>
  <c r="E226" i="1"/>
  <c r="E225" i="1"/>
  <c r="E224" i="1"/>
  <c r="E201" i="1"/>
  <c r="E200" i="1"/>
  <c r="E196" i="1"/>
  <c r="E195" i="1"/>
  <c r="E194" i="1"/>
  <c r="E171" i="1"/>
  <c r="E170" i="1"/>
  <c r="E166" i="1"/>
  <c r="E165" i="1"/>
  <c r="E164" i="1"/>
  <c r="E141" i="1"/>
  <c r="E140" i="1"/>
  <c r="E136" i="1"/>
  <c r="E135" i="1"/>
  <c r="E134" i="1"/>
  <c r="E111" i="1"/>
  <c r="E110" i="1"/>
  <c r="E106" i="1"/>
  <c r="E105" i="1"/>
  <c r="E104" i="1"/>
  <c r="E81" i="1"/>
  <c r="E80" i="1"/>
  <c r="E76" i="1"/>
  <c r="E75" i="1"/>
  <c r="E74" i="1"/>
  <c r="E44" i="1" l="1"/>
  <c r="K14" i="3" l="1"/>
  <c r="B39" i="1" l="1"/>
  <c r="D34" i="1" l="1"/>
  <c r="F71" i="1"/>
  <c r="G68" i="1" l="1"/>
  <c r="E51" i="1" l="1"/>
  <c r="E50" i="1"/>
  <c r="F61" i="1" l="1"/>
  <c r="E45" i="1" l="1"/>
  <c r="E46" i="1" l="1"/>
  <c r="F32" i="1" l="1"/>
  <c r="F31" i="1"/>
  <c r="F33" i="1"/>
  <c r="F34" i="1"/>
  <c r="F35" i="1"/>
  <c r="F36" i="1"/>
  <c r="F37" i="1"/>
  <c r="F38" i="1"/>
  <c r="F39" i="1"/>
  <c r="F30" i="1"/>
  <c r="D33" i="1" l="1"/>
  <c r="D32" i="1"/>
  <c r="D64" i="1" l="1"/>
  <c r="F160" i="2" l="1"/>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159" i="2"/>
  <c r="G70" i="1" l="1"/>
  <c r="G69" i="1"/>
  <c r="G71" i="1" l="1"/>
  <c r="D35" i="1" l="1"/>
</calcChain>
</file>

<file path=xl/sharedStrings.xml><?xml version="1.0" encoding="utf-8"?>
<sst xmlns="http://schemas.openxmlformats.org/spreadsheetml/2006/main" count="3683" uniqueCount="579">
  <si>
    <t>Dispoauftrag</t>
  </si>
  <si>
    <t>Kunde:</t>
  </si>
  <si>
    <t>Erstellt am:</t>
  </si>
  <si>
    <t>Mediaberater:</t>
  </si>
  <si>
    <t>Kalkulation geprüft:</t>
  </si>
  <si>
    <t>Agentur:</t>
  </si>
  <si>
    <t>Ansprechpartner:</t>
  </si>
  <si>
    <t>AE-fähig:</t>
  </si>
  <si>
    <t>ja</t>
  </si>
  <si>
    <t>nein</t>
  </si>
  <si>
    <t>Auswahlfelder</t>
  </si>
  <si>
    <t>teilweise</t>
  </si>
  <si>
    <t>X</t>
  </si>
  <si>
    <t>Freigabe PF durch:</t>
  </si>
  <si>
    <t>Besonderheiten zur Rechnungstellung:</t>
  </si>
  <si>
    <t>Wichtige Informationen an die Dispo:</t>
  </si>
  <si>
    <t>E-Mail Ansprechpartner:</t>
  </si>
  <si>
    <t>Radio Hamburg</t>
  </si>
  <si>
    <t>ROCK ANTENNE Hamburg</t>
  </si>
  <si>
    <t>CARAVAN.fm</t>
  </si>
  <si>
    <t>ffn Hamburg Plus</t>
  </si>
  <si>
    <t>RADIO BOLLERWAGEN DAB+ Hamburg</t>
  </si>
  <si>
    <t>Werbespot</t>
  </si>
  <si>
    <t>Werbespot erstplatziert</t>
  </si>
  <si>
    <t>Werbespot letztplatziert</t>
  </si>
  <si>
    <t>Single-Spot</t>
  </si>
  <si>
    <t>Tridem</t>
  </si>
  <si>
    <t>Pre-Stream</t>
  </si>
  <si>
    <t>In-Stream</t>
  </si>
  <si>
    <t>Pre-/In-Stream</t>
  </si>
  <si>
    <t>Sender/Inventar:</t>
  </si>
  <si>
    <t>Werbemittel:</t>
  </si>
  <si>
    <t>Länge in Sek:</t>
  </si>
  <si>
    <t>Einplanung durch:</t>
  </si>
  <si>
    <t>Disposition</t>
  </si>
  <si>
    <t>PDM-Digital</t>
  </si>
  <si>
    <t>Frequency Capping:</t>
  </si>
  <si>
    <t>Buchungskennzeichen</t>
  </si>
  <si>
    <t>Rechnung per Ende</t>
  </si>
  <si>
    <t>brutto</t>
  </si>
  <si>
    <t>netto</t>
  </si>
  <si>
    <t>Online Audio (UA)</t>
  </si>
  <si>
    <t>Kampagnenzeitraum:</t>
  </si>
  <si>
    <t>Produkt / Titel der Kampagne:</t>
  </si>
  <si>
    <t>Christian Klages</t>
  </si>
  <si>
    <t>Niklas Farin</t>
  </si>
  <si>
    <t>Sandra Zeiscke</t>
  </si>
  <si>
    <t>Andreas Rohde</t>
  </si>
  <si>
    <t>Verena Heuer</t>
  </si>
  <si>
    <t>Antonios Bliblios</t>
  </si>
  <si>
    <t>Martina Burow</t>
  </si>
  <si>
    <t>Marco Tristram</t>
  </si>
  <si>
    <t>Marco Maashöfer</t>
  </si>
  <si>
    <t>Björn Wolf</t>
  </si>
  <si>
    <t>Nicole Pelikan</t>
  </si>
  <si>
    <t>Tandem / Reminder</t>
  </si>
  <si>
    <t>Pre-Stream Influencer</t>
  </si>
  <si>
    <t>In-Stream Influencer</t>
  </si>
  <si>
    <t>Pre-/In-Stream Influencer</t>
  </si>
  <si>
    <t>per</t>
  </si>
  <si>
    <t>Gesamt</t>
  </si>
  <si>
    <t>Bemerkung / Hinweis zur Verteilung</t>
  </si>
  <si>
    <t>URL</t>
  </si>
  <si>
    <t>Technisches Targeting :</t>
  </si>
  <si>
    <t>DMP Targeting:</t>
  </si>
  <si>
    <t xml:space="preserve"> (Bitte beachten, dass dieser in SalesForce hinterlegt sein muss!)</t>
  </si>
  <si>
    <t>Bitte X bei Rechnungsempfänger!</t>
  </si>
  <si>
    <t>Meridian-Nr.</t>
  </si>
  <si>
    <t>Trailer/Vorpr. Element Station Voice</t>
  </si>
  <si>
    <t>Promo/Moderation</t>
  </si>
  <si>
    <t>Gewinnspiel/Pay-Off</t>
  </si>
  <si>
    <t>Veranstaltungstipp</t>
  </si>
  <si>
    <t>Visual-Spot mit .de-Nennung</t>
  </si>
  <si>
    <t>Visual-Spot als Single-Spot</t>
  </si>
  <si>
    <t>Influencer-Spot</t>
  </si>
  <si>
    <t>Influencer-Spot als Single-Spot</t>
  </si>
  <si>
    <t>Allonge</t>
  </si>
  <si>
    <t>Infomercial / Profi-Tipp</t>
  </si>
  <si>
    <t>Opener</t>
  </si>
  <si>
    <t>Closer</t>
  </si>
  <si>
    <t>Bumper</t>
  </si>
  <si>
    <t>Stinger</t>
  </si>
  <si>
    <t>Online GWS</t>
  </si>
  <si>
    <t>Online Sondersendung</t>
  </si>
  <si>
    <t>Online Anzeigencontainer</t>
  </si>
  <si>
    <t>Online Instagram</t>
  </si>
  <si>
    <t>Online Facebook</t>
  </si>
  <si>
    <t>Online TikTok</t>
  </si>
  <si>
    <t>Online Instagram (Influencer)</t>
  </si>
  <si>
    <t>Off-Air</t>
  </si>
  <si>
    <t>AE-fähig?</t>
  </si>
  <si>
    <t>days</t>
  </si>
  <si>
    <t>hours</t>
  </si>
  <si>
    <t>lifetime</t>
  </si>
  <si>
    <t>minutes</t>
  </si>
  <si>
    <t>months</t>
  </si>
  <si>
    <t>weeks</t>
  </si>
  <si>
    <t xml:space="preserve">U (Online SWF) </t>
  </si>
  <si>
    <t>UI (Mod-Influencer)</t>
  </si>
  <si>
    <t>US (Social Media)</t>
  </si>
  <si>
    <t>UD (Display Ads)</t>
  </si>
  <si>
    <t>UJ (Jobbörse)</t>
  </si>
  <si>
    <t>Leistungsart auwählen</t>
  </si>
  <si>
    <t>Events/Promotion (P)</t>
  </si>
  <si>
    <t>Spotproduktion/Sonstige (S)</t>
  </si>
  <si>
    <t>Höhe Payfaktor ohne OA</t>
  </si>
  <si>
    <t>Höhe Payfaktor OA</t>
  </si>
  <si>
    <t>Welche Auftragsbestätigung ist gewünscht?</t>
  </si>
  <si>
    <t>Einzelne Auftragsbestätigungen</t>
  </si>
  <si>
    <t>Klassisch + OA in einer Auftragsbestätigung</t>
  </si>
  <si>
    <t xml:space="preserve">Eine Gesamt-Auftragsbestätigung </t>
  </si>
  <si>
    <t>über Dispo</t>
  </si>
  <si>
    <t>über Mediaberater</t>
  </si>
  <si>
    <t>Uhrzeiten</t>
  </si>
  <si>
    <t>Tage</t>
  </si>
  <si>
    <t>N/N Invest</t>
  </si>
  <si>
    <t>K</t>
  </si>
  <si>
    <t>P</t>
  </si>
  <si>
    <t>Dispo</t>
  </si>
  <si>
    <t>OAP</t>
  </si>
  <si>
    <t>bei RHH Redaktion, bei HH2 OAP, bei RAHH Redaktion</t>
  </si>
  <si>
    <t>Wetter, Citylife bei Dispo</t>
  </si>
  <si>
    <t>Redaktion</t>
  </si>
  <si>
    <t>Influencer</t>
  </si>
  <si>
    <t>Events</t>
  </si>
  <si>
    <t xml:space="preserve">       Anzahl Einsatzpläne</t>
  </si>
  <si>
    <t>Sociodemographic gender: gender_man</t>
  </si>
  <si>
    <t>Sociodemographic gender: gender_woman</t>
  </si>
  <si>
    <t>Sociodemographic age: 18-19</t>
  </si>
  <si>
    <t>Sociodemographic age: 20-29</t>
  </si>
  <si>
    <t>Sociodemographic age: 30-39</t>
  </si>
  <si>
    <t>Sociodemographic age: 40-49</t>
  </si>
  <si>
    <t>Sociodemographic age: 50-59</t>
  </si>
  <si>
    <t>Sociodemographic age: &gt;59</t>
  </si>
  <si>
    <t>Sociodemographic earning: earning_&lt;500</t>
  </si>
  <si>
    <t>Sociodemographic earning: earning_500-1500</t>
  </si>
  <si>
    <t>Sociodemographic earning: earning_1500-2500</t>
  </si>
  <si>
    <t>Sociodemographic earning: earning_2500-4000</t>
  </si>
  <si>
    <t>Sociodemographic earning: earning_&gt;4000</t>
  </si>
  <si>
    <t>Sociodemographic topearner: topearner_no</t>
  </si>
  <si>
    <t>Sociodemographic topearner: topearner_yes</t>
  </si>
  <si>
    <t>Sociodemographic homeleader: homeleader_no</t>
  </si>
  <si>
    <t>Sociodemographic homeleader: homeleader_yes</t>
  </si>
  <si>
    <t>Sociodemographic job: job_fulltime</t>
  </si>
  <si>
    <t>Sociodemographic job: job_not_working</t>
  </si>
  <si>
    <t>Sociodemographic job: job_part_time</t>
  </si>
  <si>
    <t>Sociodemographic job: job_re-trainy</t>
  </si>
  <si>
    <t>Sociodemographic job: job_retired</t>
  </si>
  <si>
    <t>Sociodemographic job: job_school</t>
  </si>
  <si>
    <t>Sociodemographic job: job_student</t>
  </si>
  <si>
    <t>Sociodemographic job: job_unemployed</t>
  </si>
  <si>
    <t>Sociodemographic job status: job_status_employed</t>
  </si>
  <si>
    <t>Sociodemographic job status: job_status_official</t>
  </si>
  <si>
    <t>Sociodemographic job status: job_status_self_employed</t>
  </si>
  <si>
    <t>Sociodemographic job status: job_status_worker</t>
  </si>
  <si>
    <t>Sociodemographic graduation: graduation_no</t>
  </si>
  <si>
    <t>Sociodemographic graduation: graduation_yes</t>
  </si>
  <si>
    <t>Sociodemographic education: education_no_university</t>
  </si>
  <si>
    <t>Sociodemographic education: education_trainy_or_less</t>
  </si>
  <si>
    <t>Sociodemographic education: education_university_technical_college</t>
  </si>
  <si>
    <t>Sociodemographic living: living_owner_flat</t>
  </si>
  <si>
    <t>Sociodemographic living: living_owner_home</t>
  </si>
  <si>
    <t>Sociodemographic living: living_rent</t>
  </si>
  <si>
    <t>Sociodemographic status: status_partnered_married</t>
  </si>
  <si>
    <t>Sociodemographic status: status_single</t>
  </si>
  <si>
    <t>Interests kids3: kids&lt;3_years</t>
  </si>
  <si>
    <t>Interests kids3: no_kids&lt;3_years</t>
  </si>
  <si>
    <t>Interests kids6: kids&lt;6_years</t>
  </si>
  <si>
    <t>Interests kids6: no_kids&lt;6_years</t>
  </si>
  <si>
    <t>Interests kids14: kids&lt;14_years</t>
  </si>
  <si>
    <t>Interests kids14: no_kids&lt;14_years</t>
  </si>
  <si>
    <t>Interests baby: want_baby_pregnant</t>
  </si>
  <si>
    <t>Interests home deco: home_deco</t>
  </si>
  <si>
    <t>Interests home garden: home_garden</t>
  </si>
  <si>
    <t>Interests home handyman: home_handyman</t>
  </si>
  <si>
    <t>Interests home builder: home_builder</t>
  </si>
  <si>
    <t>Interests kitchen-furniture: kitchen-furniture</t>
  </si>
  <si>
    <t>Interests career: career</t>
  </si>
  <si>
    <t>Interests economy: economy</t>
  </si>
  <si>
    <t>Interests insurance: insurance</t>
  </si>
  <si>
    <t>Interests cars: cars</t>
  </si>
  <si>
    <t>Interests new cars: new_cars</t>
  </si>
  <si>
    <t>Interests Brand: SEAT</t>
  </si>
  <si>
    <t>Interests Brand: BMW</t>
  </si>
  <si>
    <t>Interests: e-mobility</t>
  </si>
  <si>
    <t>Intention new car 3y: new_car_3y</t>
  </si>
  <si>
    <t>Intention drivers license: drivers_license</t>
  </si>
  <si>
    <t>Intention mobile contract: mobile_contract</t>
  </si>
  <si>
    <t>Interests computer: computer</t>
  </si>
  <si>
    <t>Interests hifi tv: hifi_tv</t>
  </si>
  <si>
    <t>Interests photo: photo</t>
  </si>
  <si>
    <t>Interests audio-streaming: r83</t>
  </si>
  <si>
    <t>Interests mobile tech: mobile_tech</t>
  </si>
  <si>
    <t>Intention pay tv: pay_tv</t>
  </si>
  <si>
    <t>Intention no tv: no_tv</t>
  </si>
  <si>
    <t>Intention newspaper: newspaper</t>
  </si>
  <si>
    <t>Interests casual gaming: casual gaming</t>
  </si>
  <si>
    <t>Interests hardcore gaming: hardcore gaming</t>
  </si>
  <si>
    <t>Interests gambling: gambling</t>
  </si>
  <si>
    <t>Interests dating: dating</t>
  </si>
  <si>
    <t>Interests entertainment: entertainment</t>
  </si>
  <si>
    <t>Interests film: film</t>
  </si>
  <si>
    <t>Interests literature: literature</t>
  </si>
  <si>
    <t>Interests art culture: art_culture</t>
  </si>
  <si>
    <t>Interests music: music</t>
  </si>
  <si>
    <t>Interests pop rock: pop rock</t>
  </si>
  <si>
    <t>Interests hiphop rap: hiphop rap</t>
  </si>
  <si>
    <t>Interests classic jazz: classic jazz</t>
  </si>
  <si>
    <t>Interests oldies: oldies</t>
  </si>
  <si>
    <t>Interests schlager: schlager</t>
  </si>
  <si>
    <t>Interests electro: electro</t>
  </si>
  <si>
    <t>Interests podcast: podcast</t>
  </si>
  <si>
    <t>Interests fashion: fashion</t>
  </si>
  <si>
    <t>Interests beauty: beauty</t>
  </si>
  <si>
    <t>Interests boulevard: boulevard</t>
  </si>
  <si>
    <t>Interests food: food</t>
  </si>
  <si>
    <t>Interests food &amp; drinks: coffee capsule machines</t>
  </si>
  <si>
    <t>Interests food &amp; drinks: vegan</t>
  </si>
  <si>
    <t>Interests food &amp; drinks: vegetarian</t>
  </si>
  <si>
    <t>Interests food &amp; drinks: diet &amp; weightloss</t>
  </si>
  <si>
    <t>Interests nature: nature</t>
  </si>
  <si>
    <t>Interests lifestyle: cats general</t>
  </si>
  <si>
    <t>Interests health nature: health_nature</t>
  </si>
  <si>
    <t>Interests young urban: young_urban</t>
  </si>
  <si>
    <t>Interests early adopter: early_adopter</t>
  </si>
  <si>
    <t>Interests late follower: late_follower</t>
  </si>
  <si>
    <t>Interests health: health</t>
  </si>
  <si>
    <t>Interests outdoor: outdoor</t>
  </si>
  <si>
    <t>Interests sports activity: sports activity</t>
  </si>
  <si>
    <t>Interests sports news: sports_news</t>
  </si>
  <si>
    <t>Interests soccer: soccer</t>
  </si>
  <si>
    <t>Location sport fitness: sport_fitness</t>
  </si>
  <si>
    <t>Interests all inclusive travel: all_inclusive_travel</t>
  </si>
  <si>
    <t>Interests individual travel: individual_travel</t>
  </si>
  <si>
    <t>Interests city travel: city_travel</t>
  </si>
  <si>
    <t>Intention beer drinking: beer_drinking</t>
  </si>
  <si>
    <t>Intention coffee drinking: coffee_drinking</t>
  </si>
  <si>
    <t>Intention pets: pets</t>
  </si>
  <si>
    <t>Interests online shopping: online_shopping</t>
  </si>
  <si>
    <t>Interests smart shopping: smart_shopping</t>
  </si>
  <si>
    <t>Interests luxury: luxury</t>
  </si>
  <si>
    <t>Interests eyeglasses: eyeglasses</t>
  </si>
  <si>
    <t>Interests hearing aid: hearing_aid</t>
  </si>
  <si>
    <t>Location fast food mcd: fast_food_mcd</t>
  </si>
  <si>
    <t>Location fast food bk: fast_food_bk</t>
  </si>
  <si>
    <t>Location gas shell: gas_shell</t>
  </si>
  <si>
    <t>Location gas aral: gas_aral</t>
  </si>
  <si>
    <t>Location commuter 10 30: commuter_10-30</t>
  </si>
  <si>
    <t>Location commuter 30: commuter_&gt;30</t>
  </si>
  <si>
    <t>Location frequent traveller: frequent_traveller</t>
  </si>
  <si>
    <t>B2B General</t>
  </si>
  <si>
    <t>Geschlecht</t>
  </si>
  <si>
    <t>Alter</t>
  </si>
  <si>
    <t>Haushaltsnettoeinkommen</t>
  </si>
  <si>
    <t>Haushaltsführender (HHF)</t>
  </si>
  <si>
    <t>Berufsstatus</t>
  </si>
  <si>
    <t>Schulabschluss</t>
  </si>
  <si>
    <t>Ausbildung</t>
  </si>
  <si>
    <t>Wohnsituation</t>
  </si>
  <si>
    <t>Familienstand</t>
  </si>
  <si>
    <t>Familie mit Kindern</t>
  </si>
  <si>
    <t>Kinderwunsch</t>
  </si>
  <si>
    <t>Interessen &amp; Kaufabsichten</t>
  </si>
  <si>
    <t>Business</t>
  </si>
  <si>
    <t>Automobil</t>
  </si>
  <si>
    <t>Consumer Electronics</t>
  </si>
  <si>
    <t>Entertainment</t>
  </si>
  <si>
    <t>Audio</t>
  </si>
  <si>
    <t>Fashion &amp; Lifestyle</t>
  </si>
  <si>
    <t>Verhalten / Sinus Millieus</t>
  </si>
  <si>
    <t>Gesundheit</t>
  </si>
  <si>
    <t>Sport</t>
  </si>
  <si>
    <t>Reisen</t>
  </si>
  <si>
    <t>FMCG</t>
  </si>
  <si>
    <t>Shopping</t>
  </si>
  <si>
    <t>Gastronomie</t>
  </si>
  <si>
    <t>Pendler</t>
  </si>
  <si>
    <t>B2B</t>
  </si>
  <si>
    <t>Sociodemographic age: 14-17</t>
  </si>
  <si>
    <t>Kategorie</t>
  </si>
  <si>
    <t>Variable</t>
  </si>
  <si>
    <t>Erklärung</t>
  </si>
  <si>
    <t>Männer</t>
  </si>
  <si>
    <t>Frauen</t>
  </si>
  <si>
    <t>14-17 Jahre</t>
  </si>
  <si>
    <t>18-19 Jahre</t>
  </si>
  <si>
    <t>20-29 Jahre</t>
  </si>
  <si>
    <t>30-39 Jahre</t>
  </si>
  <si>
    <t>40-49 Jahre</t>
  </si>
  <si>
    <t>50-59 Jahre</t>
  </si>
  <si>
    <t>&gt; 59 Jahre</t>
  </si>
  <si>
    <t>HHNE &lt; 500 €</t>
  </si>
  <si>
    <t>HHNE 500-1500 €</t>
  </si>
  <si>
    <t>HHNE 1500-2500 €</t>
  </si>
  <si>
    <t>HHNE 2500-4000 €</t>
  </si>
  <si>
    <t>HHNE &gt; 4000 €</t>
  </si>
  <si>
    <t>Haupteinkommensbezieher (HEB)</t>
  </si>
  <si>
    <t>Befragter ist HEB: nein</t>
  </si>
  <si>
    <t>Befragter ist HEB: ja</t>
  </si>
  <si>
    <t>Befragter ist HHF: nein</t>
  </si>
  <si>
    <t>Befragter ist HHF: ja</t>
  </si>
  <si>
    <t>Vollzeit berufstätig</t>
  </si>
  <si>
    <t>Nicht berufstätig</t>
  </si>
  <si>
    <t>Teilw. Berufstätig</t>
  </si>
  <si>
    <t>in Umschulung</t>
  </si>
  <si>
    <t>Rentner</t>
  </si>
  <si>
    <t>Schüler</t>
  </si>
  <si>
    <t>Studenten</t>
  </si>
  <si>
    <t>zurzeit arbeitslos</t>
  </si>
  <si>
    <t>Angestellte</t>
  </si>
  <si>
    <t>Beamte</t>
  </si>
  <si>
    <t>Selbständig</t>
  </si>
  <si>
    <t>Arbeiter</t>
  </si>
  <si>
    <t>Schulabschluss: nein</t>
  </si>
  <si>
    <t>Schulabschluss: ja</t>
  </si>
  <si>
    <t>Lehre mit Abschluss / Gewerbe-, Fachschule m. Abschl., Meister</t>
  </si>
  <si>
    <t>noch in Lehre / andere Berufsausbildung / Rest</t>
  </si>
  <si>
    <t>Fachhochschulabschluss / Hochschulabschluss</t>
  </si>
  <si>
    <t>Wohnungsbesitzer</t>
  </si>
  <si>
    <t>Eigenheimbesitzer</t>
  </si>
  <si>
    <t>Wohne zur Miete/ Untermiete</t>
  </si>
  <si>
    <t>Partner/Verheiratet</t>
  </si>
  <si>
    <t>Single</t>
  </si>
  <si>
    <t>Hörer, die mit Kindern unter 3 Jahre in einem Haushalt leben</t>
  </si>
  <si>
    <t>keine Kinder &lt;3</t>
  </si>
  <si>
    <t>Kinder &lt;6</t>
  </si>
  <si>
    <t>keine Kinder &lt;6</t>
  </si>
  <si>
    <t>Kinder &lt;14</t>
  </si>
  <si>
    <t>keine Kinder &lt;14</t>
  </si>
  <si>
    <t>Nutzer mit Kinderwunsch und Interesse an Babybedarf und Schwangerschaftsthemen</t>
  </si>
  <si>
    <t>Nutzer mit Interesse an Basteln und Dekorieren sowie Hobby-Handarbeit wie Stricken und Nähen</t>
  </si>
  <si>
    <t>Nutzer, die sich für Themen wir Garten, Pflanzen, Kräuter und Bäume, Gartengestaltung und Landschaftsbau interessieren</t>
  </si>
  <si>
    <t>Heimwerkaffine Nutzer mit Interesse an Werkzeugen, Renovierungsarbeiten sowie Möbelbau und Holzarbeiten</t>
  </si>
  <si>
    <t>Haus- und Gartenbesitzer sowie Interessierte an Bauen, Wohnen, Baufinanzierung, Heimwerken und Renovieren</t>
  </si>
  <si>
    <t>Nutzer, die beabsichtigen eine Küche zu kaufen</t>
  </si>
  <si>
    <t>Karriereorientierte sowie jobinteressierte Nutzer, die sich für berufliche Werdegänge und Entwicklungen wie Seminare und Bildungsmöglichkeiten interessieren</t>
  </si>
  <si>
    <t>Nutzer mit erhöhtem Interesse an wirtschaftlichen Themen wie Börseninformationen, Versicherungen, Kredite, Immobilien, Geldanlagen</t>
  </si>
  <si>
    <t>Nutzer, die sich vermehrt mit dem Thema Versicherungen auseinandersetzen, dazu zählen u.a. Renten-, Kranken-, Hausrat-, Rechtschutz- und Lebensversicherungen</t>
  </si>
  <si>
    <t>Beinhaltet Automobil- und Kfz-Interessierte, die sowohl an Neuwagen als auch an Gebrauchtwagen sowie an Kfz-Zubehör wie Ersatz- und Reparaturteile sowie Reifen interessiert sind</t>
  </si>
  <si>
    <t>Neuwageninteressierte unter Berücksichtigung von Automobilmarken und Infromationen der Automobilbranche</t>
  </si>
  <si>
    <t>Beinhaltet Nutzer, die überdurschnittliches Interesse an der Marke SEAT haben</t>
  </si>
  <si>
    <t>Beinhaltet Nutzer, die überdurschnittliches Interesse an der Marke BMW haben</t>
  </si>
  <si>
    <t>Beinhaltet Nutzer, die überdurschnittliches Interesse an Elektromobilität haben</t>
  </si>
  <si>
    <t>Neuwagenkäufer in den nächsten drei Jahren</t>
  </si>
  <si>
    <t>Besitzer eines Führerscheins</t>
  </si>
  <si>
    <t>Kaufabsicht eines Mobilfunkgeräts oder Mobilfunktarifs in den nächsten 9 Monaten</t>
  </si>
  <si>
    <t>Nutzer mit Interesse an Computern, Computerzubehör, Software und Hardware, Netzwerktechnologien, Rechnerkomponenten sowie Programmierthemen</t>
  </si>
  <si>
    <t>Nutzer mit Interesse an TV und HiFi, Konsolen, Heimkinos, Musikanlagen und -systeme</t>
  </si>
  <si>
    <t>Nutzer mit Interesse an Kameras, Photographie, Kunst und technischem Zubehör</t>
  </si>
  <si>
    <t>Nutzer, die Audio-Streaming Dienste nutzen</t>
  </si>
  <si>
    <t>Nutzer mit Interesse an Smartphones, Tablets sowie deren Technologie, Apps und Zubehör</t>
  </si>
  <si>
    <t>Nutzer die mindestens einen PayTV Sender abonniert haben</t>
  </si>
  <si>
    <t>Nutzer, die kein lineares TV schauen</t>
  </si>
  <si>
    <t>Nutzer, die regelmässig eine Tageszeitung lesen</t>
  </si>
  <si>
    <t>Gamer mit Interesse an PC-, Konsolen-, Online- und Browsergames</t>
  </si>
  <si>
    <t>Nutzer mit Interesse an Glücksspiel, Lotto und systemischen Wetten wir Sport- oder Pferdewetten</t>
  </si>
  <si>
    <t>Nutzer mit Interesse an Themen rund um Partnersuche, Flirten und Dating</t>
  </si>
  <si>
    <t>Nutzer mit Interesse an Kino, Film, DVDs, Musik, TV und Literatur soei die dazugehörigen Programme und Kritiken</t>
  </si>
  <si>
    <t>Film-, Kino- und TV-interessierte sowie Nutzer mit Interesse an Streamingdiensten und Serien</t>
  </si>
  <si>
    <t>Nutzer mit medienunabhängigem Interesse an Literatur und Autoren, Lesungen und Literaturkritiken sowie e-Books, Biographien, Romanliteratur sowie Sachbücher</t>
  </si>
  <si>
    <t>Nutzer mit Interesse an Kunst, Kultur und Literatur sowie Museen und Ausstellungen, Theater, Opern, Musicals und Konzerten</t>
  </si>
  <si>
    <t>Nutzer mit Interesse an Musik, Festivals, Konzerten, Charts, Musikinstrumenten sowie an Streamingdiensten - Weiterhin sind Nutzer enthalten, die Interesse an unterschiedlichen Musikgenres wie klassischer oder elektronischer Musik sowie Rock &amp; Pop haben, ebenso wie DJs und Bands</t>
  </si>
  <si>
    <t>Hörer von Pop &amp; Rock Musik</t>
  </si>
  <si>
    <t>Hörer von Hip-Hop &amp; Rap Musik</t>
  </si>
  <si>
    <t>Hörer von Klassik &amp; Jazz Musik</t>
  </si>
  <si>
    <t>Hörer von Oldies Musik</t>
  </si>
  <si>
    <t>Hörer von Schlager Musik</t>
  </si>
  <si>
    <t>Hörer von elektronischer Musik</t>
  </si>
  <si>
    <t>Hörer von Podcasts &amp; Hörspielen</t>
  </si>
  <si>
    <t>Mode- und Fashioninteressierte sowie Trendsetter und Fashionvictims mit erhöhtem Interesse an Trendberichten, Modeshops und Blogs, Kleidung, Accessoires und Shoppingthemen</t>
  </si>
  <si>
    <t>Nutzer, die sich für Beautyprodukte wie Make-Up, Pflegeserien und -produkte für Körper und Haare sowie für Düfte, Körperkult, Diäten und Frisuren interessieren</t>
  </si>
  <si>
    <t>Nutzer mit hohem Interesse an Klatsch und Tratsch wie das Leben von Prominenten, Royals und Stars sowie deren Lifestyle und Beziehungen</t>
  </si>
  <si>
    <t>Nutzer mit Interesse an Themen rund um Essen und Trinken, Kochen, Backen und Ernährung sowie Ernährungstrends, Diäten und dazugehörige Rezepte</t>
  </si>
  <si>
    <t>Nutzer, die überdurchschnittlich hohes Interesse an Kapselmaschinen und Kapselmaschinenzubehör aufweisen.</t>
  </si>
  <si>
    <t>Nutzer, die zur Kategorie Veganer gehören und sich überdurchschnittlich für eine vegane Ernährung interessieren.</t>
  </si>
  <si>
    <t>Nutzer, die zur Kategorie Vegetarier gehören und sich überdurchschnittlich für eine vegetarische Ernährung interessieren.</t>
  </si>
  <si>
    <t>Nutzer mit Interesse an Themen rund um Diäten und Gewichtskontrolle</t>
  </si>
  <si>
    <t>Nutzer mit Interesse an umweltrelevanten Themen wie Natur, Erderwärmung, Umweltschutz, Nachhaltigkeit und erneuerbare Energien</t>
  </si>
  <si>
    <t>Nutzer, die überdurchschnittlich hohes Interesse an Katzen aufweisen.</t>
  </si>
  <si>
    <t>LoHaS: Nutzer mit Interesse an Gesundheit und Nachhaltigkeit, Fitness und gesunder Ernährung sowie Klimawandel und Umweltschutz - Dabei handelt es sich um Nutzer mit einem erhöhten HHNE, höherem Bildungsstand und einem Interesse an qualitativ hochwertigen Produkten</t>
  </si>
  <si>
    <t>Young Urban Professionals: Junge Erwachsene mit gutem Einkommen, in Städten lebend und unverheiratet</t>
  </si>
  <si>
    <t>Early Adopter: Nutzer, die Neuerungen jedweder Art schneller als andere adaptieren</t>
  </si>
  <si>
    <t>Late Follower: Nutzer, die Neuerungen jedweder Art später als andere adaptieren</t>
  </si>
  <si>
    <t>Nutzer die sich über Krankheiten, Symptome, Sport und Ernährung sowie über Medikamente, Alternativmedizin, Allergien, Sport und Ernährung informieren</t>
  </si>
  <si>
    <t>Bewegungsaktive Nutzer mit Interesse an Wandern, Fahrradtouren sowie anderen Outdoor Aktivitäten, Vielreisende, Abenteuerurlauber und sportlich Aktive</t>
  </si>
  <si>
    <t>Sportlich aktive Nutzer mit Interesse an Laufen, Klettern, Fahrradfahren und weiteren unterschiedlichen Sportarten sowie an entsprechenden Sportartikeln</t>
  </si>
  <si>
    <t>Nutzer mit Interesse an Sportevents, Sportnews und -berichterstattung</t>
  </si>
  <si>
    <t>Umfasst Nutzer mit Interesse an Fussball, Fussballvereinen und -berichterstattungen sowie Fan- und Sportartikeln</t>
  </si>
  <si>
    <t>Nutzer, die regelmäßig Fitness betreiben</t>
  </si>
  <si>
    <t>Interessenten für Pauschalreisen, Kreuzfahrten, Cluburlaube und Familienurlaube</t>
  </si>
  <si>
    <t>Nutzer mit Interesse an Flügen, Hotels, Urlaubs- und individueller Reiseplanung wie Backpacking und Camping</t>
  </si>
  <si>
    <t>Nutzer mit Interesse an Städtereisen, Kurz- und Wochnenedtrips, Kulturen, Museen, Denkmälern und historischer Stadtgeschichte</t>
  </si>
  <si>
    <t>Käufer von Bier</t>
  </si>
  <si>
    <t>Nutzer die regelmässig Kaffee trinken</t>
  </si>
  <si>
    <t>Nutzer, die ein Haustier besitzen</t>
  </si>
  <si>
    <t>Nutzer, die Produkte überwiegend online kaufen</t>
  </si>
  <si>
    <t>Nutzer, die Schnäppchenaffin sind, auf Preisvergleichsportalen recherchieren und günstige Angebote bevorzugen</t>
  </si>
  <si>
    <t>Luxusaffine mit Interesse an hochpreisigen Produkten wie Designartikel, Schmuck, Uhren, hochpreisige Autos und Immobilien</t>
  </si>
  <si>
    <t>Nutzer mit Sehhilfen</t>
  </si>
  <si>
    <t>Nutzer mit Hörhilfen</t>
  </si>
  <si>
    <t>Nutzer, die regelmässig bei McDonalds essen</t>
  </si>
  <si>
    <t>Nutzer, die regelmässig bei Burger King essen</t>
  </si>
  <si>
    <t>Nutzer, die regelmässig bei Shell tanken</t>
  </si>
  <si>
    <t>Nutzer, die regelmässig bei Aral tanken</t>
  </si>
  <si>
    <t>Nutzer, die regelmässig 10-30 Kilometer pendeln</t>
  </si>
  <si>
    <t>Nutzer, die regelmässig mehr als 30 Kilometer pendeln</t>
  </si>
  <si>
    <t>Nutzer, die regelmässig zwischen Flughäfen pendeln</t>
  </si>
  <si>
    <t>Beinhaltet Nutzer, die zur Kategorie Businessinteressierte gehören und sich überdurchschnittlich für Wirtschaft, Online Marketing und B2B interessieren</t>
  </si>
  <si>
    <t>Hier können weitere Einsatzpläne hinzugefügt werden (Klick auf die Filtertüte)</t>
  </si>
  <si>
    <t>und</t>
  </si>
  <si>
    <t>oder</t>
  </si>
  <si>
    <t>Verknüfung (und / oder)</t>
  </si>
  <si>
    <t>Wie soll die Auftragsbestätigung versandt werden?</t>
  </si>
  <si>
    <t>N/N Gesamt Invest</t>
  </si>
  <si>
    <t>Geo-Targeting</t>
  </si>
  <si>
    <t>Time-Targeting</t>
  </si>
  <si>
    <t>Device-Targeting</t>
  </si>
  <si>
    <t xml:space="preserve">Targeting-Spezifikation </t>
  </si>
  <si>
    <t>Rabatt in %</t>
  </si>
  <si>
    <t>Januar</t>
  </si>
  <si>
    <t>Februar</t>
  </si>
  <si>
    <t>März</t>
  </si>
  <si>
    <t>April</t>
  </si>
  <si>
    <t>Mai</t>
  </si>
  <si>
    <t>Juni</t>
  </si>
  <si>
    <t>Juli</t>
  </si>
  <si>
    <t>August</t>
  </si>
  <si>
    <t>September</t>
  </si>
  <si>
    <t>Oktober</t>
  </si>
  <si>
    <t>November</t>
  </si>
  <si>
    <t>Dezember</t>
  </si>
  <si>
    <t>monatlich</t>
  </si>
  <si>
    <t>nach Tarif / Rabatt</t>
  </si>
  <si>
    <t>nicht erforderlich</t>
  </si>
  <si>
    <t>Mediabrutto</t>
  </si>
  <si>
    <t>NF Hinweis</t>
  </si>
  <si>
    <t>Anzahl der Ausstrahlungen:</t>
  </si>
  <si>
    <t>Abbinder</t>
  </si>
  <si>
    <t>Showsponsoring-Single-Spot</t>
  </si>
  <si>
    <t>Targeting</t>
  </si>
  <si>
    <t>bei RHH Dispo, bei HH2 OAP</t>
  </si>
  <si>
    <t>Bei RAHH dann Dispo</t>
  </si>
  <si>
    <t>bei St. Pauli Backstage OAP</t>
  </si>
  <si>
    <t>OAP, bei Chartshow Dispo</t>
  </si>
  <si>
    <t>PDM-Digital / Niklas Farin</t>
  </si>
  <si>
    <t>ffn</t>
  </si>
  <si>
    <t>RADIO BOLLERWAGEN</t>
  </si>
  <si>
    <t>hitradio antenne 1</t>
  </si>
  <si>
    <t>Funkhaus Berlin</t>
  </si>
  <si>
    <t>Funkhaus Halle</t>
  </si>
  <si>
    <t>Antenne Niedersachsen</t>
  </si>
  <si>
    <t>Antenne Tühringen</t>
  </si>
  <si>
    <t>MOPO</t>
  </si>
  <si>
    <t>Pre-Stream Ais Anzahl</t>
  </si>
  <si>
    <t>Spots (L)</t>
  </si>
  <si>
    <t>SWF (K)</t>
  </si>
  <si>
    <t>UC</t>
  </si>
  <si>
    <t>Gegengeschäft</t>
  </si>
  <si>
    <t>B</t>
  </si>
  <si>
    <t>Gegengeschäft (B)</t>
  </si>
  <si>
    <t>N/N TKP</t>
  </si>
  <si>
    <t>Jobspot</t>
  </si>
  <si>
    <t>Mediabrutto I 
(nach Cash-Rabatt)</t>
  </si>
  <si>
    <r>
      <t xml:space="preserve">Anstelle der MORE-Kombi Online Audio, soll das Motiv </t>
    </r>
    <r>
      <rPr>
        <b/>
        <sz val="12"/>
        <color theme="1"/>
        <rFont val="Arial"/>
        <family val="2"/>
      </rPr>
      <t>auschließlich</t>
    </r>
    <r>
      <rPr>
        <sz val="12"/>
        <color theme="1"/>
        <rFont val="Arial"/>
        <family val="2"/>
      </rPr>
      <t xml:space="preserve"> eingeplant werden auf </t>
    </r>
  </si>
  <si>
    <t>Rote Felder sind Pflichtfelder!</t>
  </si>
  <si>
    <t>Grüne Felder sind optional!</t>
  </si>
  <si>
    <t>Blaue Felder werden automatisch ausgefüllt</t>
  </si>
  <si>
    <t>Investitionssumme vor Rabatt</t>
  </si>
  <si>
    <t>ENERGY Hamburg + National</t>
  </si>
  <si>
    <t>FFH</t>
  </si>
  <si>
    <t>Seven.One.Audio Podcast</t>
  </si>
  <si>
    <t>MORE-Kombi Podcast</t>
  </si>
  <si>
    <t>Native-Ad</t>
  </si>
  <si>
    <t>Plan 10</t>
  </si>
  <si>
    <t>Plan 11</t>
  </si>
  <si>
    <t>Plan 12</t>
  </si>
  <si>
    <t>Plan 13</t>
  </si>
  <si>
    <t>Plan 14</t>
  </si>
  <si>
    <t>Plan 15</t>
  </si>
  <si>
    <t>Plan 16</t>
  </si>
  <si>
    <t>Plan 17</t>
  </si>
  <si>
    <t>Plan 18</t>
  </si>
  <si>
    <t>Plan 19</t>
  </si>
  <si>
    <t>Plan 20</t>
  </si>
  <si>
    <t>Plan 01</t>
  </si>
  <si>
    <t>Plan 02</t>
  </si>
  <si>
    <t>Plan 03</t>
  </si>
  <si>
    <t>Plan 04</t>
  </si>
  <si>
    <t>Plan 05</t>
  </si>
  <si>
    <t>Plan 06</t>
  </si>
  <si>
    <t>Plan 07</t>
  </si>
  <si>
    <t>Plan 08</t>
  </si>
  <si>
    <t>Plan 09</t>
  </si>
  <si>
    <t>Dieser Dispositionsauftrag beinhaltet folgende Sender</t>
  </si>
  <si>
    <t>HR-Kampagne?</t>
  </si>
  <si>
    <t>1.0</t>
  </si>
  <si>
    <t>1.1</t>
  </si>
  <si>
    <t>1.2</t>
  </si>
  <si>
    <t>1.3</t>
  </si>
  <si>
    <t>1.4</t>
  </si>
  <si>
    <t>Ergänzung DA Reporting, Ergänzung "nach Tarif" bei Freigabe Payfaktor</t>
  </si>
  <si>
    <t>Ergänzung Nutzungsrechte Spot</t>
  </si>
  <si>
    <t>Ergänzung Verpackung JobSpots &amp; HR-Kampagne</t>
  </si>
  <si>
    <t>Release</t>
  </si>
  <si>
    <t>Datum</t>
  </si>
  <si>
    <t>Neuerungen</t>
  </si>
  <si>
    <t>1.5</t>
  </si>
  <si>
    <t>Einplanung durch für Podcast ergänzt</t>
  </si>
  <si>
    <t>1.6.</t>
  </si>
  <si>
    <t>Einplanung durch Dispo/OAP für Bumper, Stinger, Closer, Opener, und Frage nach Wettersponsoring</t>
  </si>
  <si>
    <t>Ricarda Bichels</t>
  </si>
  <si>
    <t>1.7.</t>
  </si>
  <si>
    <t>Mediaberater, Ricarda Bichels</t>
  </si>
  <si>
    <t>1.8.</t>
  </si>
  <si>
    <t>Ergänzung Einplanung Durch bei Tiktok, Visual-Spot</t>
  </si>
  <si>
    <t>Bitte beachte, bei Verwendung mehrerer Kombis gibt es auch entsprechend mehrere AB's und Rechnungen!</t>
  </si>
  <si>
    <t>AE</t>
  </si>
  <si>
    <t>1.9.</t>
  </si>
  <si>
    <t>AE-Ausweisung auf dem Deckblatt</t>
  </si>
  <si>
    <t>1.10</t>
  </si>
  <si>
    <t>AE-Ausweisung auf dem Deckblatt und Pläne, Zellen formatierung freigegeben, Zeilengröße freigegeben, Felder auf Deckblatt vergrößert</t>
  </si>
  <si>
    <t>1.11</t>
  </si>
  <si>
    <t>Ausweisung Anzahl pläne</t>
  </si>
  <si>
    <t>Einsatzpläne Spots/SWF/Online Audio:</t>
  </si>
  <si>
    <t>Zur Verfügung</t>
  </si>
  <si>
    <t>1.12</t>
  </si>
  <si>
    <t>Kombinationsmatrix Buchungskennzeichen</t>
  </si>
  <si>
    <t>darf nicht geplant werden</t>
  </si>
  <si>
    <t>Disposition, bitte Abbinder nutzen</t>
  </si>
  <si>
    <t>Moderator</t>
  </si>
  <si>
    <t>Einplanung durch?</t>
  </si>
  <si>
    <t>Werbeformat</t>
  </si>
  <si>
    <t>Audio-Angebot</t>
  </si>
  <si>
    <t>--&gt; alte formel</t>
  </si>
  <si>
    <t>1.13</t>
  </si>
  <si>
    <t>Kombinationsmatrix Einplanung Durch</t>
  </si>
  <si>
    <t>Spotify</t>
  </si>
  <si>
    <t>1.14</t>
  </si>
  <si>
    <t>Anpassung Kombinationsmatrix, Ergänzung Kombi-Events, Ergänzung Spotify/YoutubeMusic</t>
  </si>
  <si>
    <t>MORE-Kombi Events Radio Hamburg</t>
  </si>
  <si>
    <t>MORE-Kombi Events CARAVAN.fm</t>
  </si>
  <si>
    <t>MORE-Kombi Events ROCK ANTENNE Hamburg</t>
  </si>
  <si>
    <t>1.15</t>
  </si>
  <si>
    <t>Anpassung Kombinationsmatrix, Anpassung Kombi-Events</t>
  </si>
  <si>
    <t>1.16</t>
  </si>
  <si>
    <t>Mid-Roll Spotify / Deezer / Youtube Musikumfeld</t>
  </si>
  <si>
    <t>1.17</t>
  </si>
  <si>
    <t>Ergänzung KST bei Event-Kombis</t>
  </si>
  <si>
    <t>Deezer &amp; YoutubeMusic</t>
  </si>
  <si>
    <t xml:space="preserve">Ergänzung Spotify, Deezer, Youtube bei Anstelle der MORE-Kombi Online Audio, soll das Motiv auschließlich eingeplant werden auf </t>
  </si>
  <si>
    <t>1.18</t>
  </si>
  <si>
    <t>Spotify &amp; Deezer &amp; YoutubeMusic</t>
  </si>
  <si>
    <t>Preseller</t>
  </si>
  <si>
    <t>1.19</t>
  </si>
  <si>
    <t>Ergänzung Berechung TKP für Spotify, Hinweis zu Aufträgen von RMS hinsichtlich Provision</t>
  </si>
  <si>
    <t>In-Stream Ais Anzahl</t>
  </si>
  <si>
    <t>Sondersendung (4x90Sek)</t>
  </si>
  <si>
    <t>1.20</t>
  </si>
  <si>
    <t>Ergänzung Zusatz bei Sondersendung</t>
  </si>
  <si>
    <t>Social Media RHH / Stefan</t>
  </si>
  <si>
    <t>Franziska Holtfreter</t>
  </si>
  <si>
    <t>ergänzung Franzi, ergänzung Social Media Freigabe</t>
  </si>
  <si>
    <t>1.21</t>
  </si>
  <si>
    <t>Presenting-Spot</t>
  </si>
  <si>
    <t>Disop</t>
  </si>
  <si>
    <t>1.22</t>
  </si>
  <si>
    <t>Ergänzung Presenting-Spot</t>
  </si>
  <si>
    <t>MORE Hamburg-Kombi</t>
  </si>
  <si>
    <t>MORE-Kombi Online Audio</t>
  </si>
  <si>
    <t>1.23</t>
  </si>
  <si>
    <t>MORE Hamburg-Kombi und Online Audio Kombi</t>
  </si>
  <si>
    <t>MORE Hamburg-Kombi+</t>
  </si>
  <si>
    <t>Event-Tipp</t>
  </si>
  <si>
    <t>1.24</t>
  </si>
  <si>
    <t>ergänzung namesmanager targetins und abrechnung moantlich</t>
  </si>
  <si>
    <t>80er 90er OLDIE ANTENNE Hamburg</t>
  </si>
  <si>
    <t>MORE-Kombi Events 80er 90er OLDIE ANTENNE Hamburg</t>
  </si>
  <si>
    <t>HH2 wird zu OAHH</t>
  </si>
  <si>
    <t>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</si>
</sst>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0\ &quot;€&quot;"/>
    <numFmt numFmtId="165" formatCode="[$-F800]dddd\,\ mmmm\ dd\,\ yyyy"/>
    <numFmt numFmtId="166" formatCode="_-* #,##0_-;\-* #,##0_-;_-* &quot;-&quot;??_-;_-@_-"/>
  </numFmts>
  <fonts count="19"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8"/>
      <color theme="1"/>
      <name val="Arial"/>
      <family val="2"/>
    </font>
    <font>
      <sz val="12"/>
      <color theme="1"/>
      <name val="Arial"/>
      <family val="2"/>
    </font>
    <font>
      <sz val="12"/>
      <color rgb="FFFF0000"/>
      <name val="Arial"/>
      <family val="2"/>
    </font>
    <font>
      <b/>
      <sz val="12"/>
      <color theme="1"/>
      <name val="Arial"/>
      <family val="2"/>
    </font>
    <font>
      <sz val="12"/>
      <color theme="0"/>
      <name val="Arial"/>
      <family val="2"/>
    </font>
    <font>
      <b/>
      <sz val="12"/>
      <color rgb="FFFF0000"/>
      <name val="Arial"/>
      <family val="2"/>
    </font>
    <font>
      <b/>
      <sz val="20"/>
      <color theme="1"/>
      <name val="Arial"/>
      <family val="2"/>
    </font>
    <font>
      <sz val="10"/>
      <color rgb="FFFF0000"/>
      <name val="Arial"/>
      <family val="2"/>
    </font>
    <font>
      <u/>
      <sz val="11"/>
      <color theme="10"/>
      <name val="Calibri"/>
      <family val="2"/>
      <scheme val="minor"/>
    </font>
    <font>
      <sz val="7"/>
      <color theme="1"/>
      <name val="Arial"/>
      <family val="2"/>
    </font>
    <font>
      <sz val="9"/>
      <color theme="1"/>
      <name val="Arial"/>
      <family val="2"/>
    </font>
    <font>
      <sz val="10"/>
      <color theme="1"/>
      <name val="Arial"/>
      <family val="2"/>
    </font>
    <font>
      <i/>
      <sz val="12"/>
      <color theme="0" tint="-0.34998626667073579"/>
      <name val="Arial"/>
      <family val="2"/>
    </font>
    <font>
      <sz val="11"/>
      <name val="Calibri"/>
      <family val="2"/>
      <scheme val="minor"/>
    </font>
    <font>
      <b/>
      <sz val="16"/>
      <color rgb="FFFF0000"/>
      <name val="Arial"/>
      <family val="2"/>
    </font>
  </fonts>
  <fills count="8">
    <fill>
      <patternFill patternType="none"/>
    </fill>
    <fill>
      <patternFill patternType="gray125"/>
    </fill>
    <fill>
      <patternFill patternType="solid">
        <fgColor theme="7" tint="0.39997558519241921"/>
        <bgColor indexed="64"/>
      </patternFill>
    </fill>
    <fill>
      <patternFill patternType="solid">
        <fgColor theme="9"/>
        <bgColor indexed="64"/>
      </patternFill>
    </fill>
    <fill>
      <patternFill patternType="solid">
        <fgColor rgb="FFFFFF00"/>
        <bgColor indexed="64"/>
      </patternFill>
    </fill>
    <fill>
      <patternFill patternType="solid">
        <fgColor rgb="FFFFB3B3"/>
        <bgColor indexed="64"/>
      </patternFill>
    </fill>
    <fill>
      <patternFill patternType="solid">
        <fgColor rgb="FFD4EDDA"/>
        <bgColor indexed="64"/>
      </patternFill>
    </fill>
    <fill>
      <patternFill patternType="solid">
        <fgColor rgb="FFD9EAF7"/>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top style="thick">
        <color auto="1"/>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s>
  <cellStyleXfs count="4">
    <xf numFmtId="0" fontId="0" fillId="0" borderId="0"/>
    <xf numFmtId="9" fontId="1" fillId="0" borderId="0" applyFont="0" applyFill="0" applyBorder="0" applyAlignment="0" applyProtection="0"/>
    <xf numFmtId="43" fontId="1" fillId="0" borderId="0" applyFont="0" applyFill="0" applyBorder="0" applyAlignment="0" applyProtection="0"/>
    <xf numFmtId="0" fontId="12" fillId="0" borderId="0" applyNumberFormat="0" applyFill="0" applyBorder="0" applyAlignment="0" applyProtection="0"/>
  </cellStyleXfs>
  <cellXfs count="94">
    <xf numFmtId="0" fontId="0" fillId="0" borderId="0" xfId="0"/>
    <xf numFmtId="0" fontId="3" fillId="0" borderId="0" xfId="0" applyFont="1" applyAlignment="1">
      <alignment horizontal="center" vertical="center" wrapText="1"/>
    </xf>
    <xf numFmtId="0" fontId="0" fillId="0" borderId="0" xfId="0" applyAlignment="1">
      <alignment vertical="center" wrapText="1"/>
    </xf>
    <xf numFmtId="0" fontId="2" fillId="4" borderId="0" xfId="0" applyFont="1" applyFill="1"/>
    <xf numFmtId="0" fontId="0" fillId="4" borderId="0" xfId="0" applyFill="1"/>
    <xf numFmtId="0" fontId="5" fillId="2" borderId="1" xfId="0" applyFont="1" applyFill="1" applyBorder="1"/>
    <xf numFmtId="0" fontId="6" fillId="0" borderId="0" xfId="0" applyFont="1"/>
    <xf numFmtId="0" fontId="7" fillId="0" borderId="0" xfId="0" applyFont="1"/>
    <xf numFmtId="0" fontId="5" fillId="0" borderId="0" xfId="0" applyFont="1"/>
    <xf numFmtId="0" fontId="5" fillId="0" borderId="0" xfId="0" applyFont="1" applyAlignment="1">
      <alignment horizontal="center" wrapText="1"/>
    </xf>
    <xf numFmtId="0" fontId="5" fillId="0" borderId="0" xfId="0" applyFont="1" applyAlignment="1">
      <alignment horizontal="center" vertical="center" wrapText="1"/>
    </xf>
    <xf numFmtId="164" fontId="5" fillId="0" borderId="0" xfId="0" applyNumberFormat="1" applyFont="1"/>
    <xf numFmtId="0" fontId="5" fillId="3" borderId="0" xfId="0" applyFont="1" applyFill="1"/>
    <xf numFmtId="0" fontId="8" fillId="0" borderId="0" xfId="0" applyFont="1" applyAlignment="1">
      <alignment horizontal="center"/>
    </xf>
    <xf numFmtId="0" fontId="5" fillId="0" borderId="1" xfId="0" applyFont="1" applyBorder="1"/>
    <xf numFmtId="0" fontId="5" fillId="0" borderId="1" xfId="0" applyFont="1" applyBorder="1" applyAlignment="1">
      <alignment wrapText="1"/>
    </xf>
    <xf numFmtId="0" fontId="5" fillId="0" borderId="0" xfId="0" applyFont="1" applyAlignment="1">
      <alignment horizontal="center"/>
    </xf>
    <xf numFmtId="0" fontId="5" fillId="0" borderId="1" xfId="0" applyFont="1" applyBorder="1" applyAlignment="1">
      <alignment horizontal="left" vertical="top" wrapText="1"/>
    </xf>
    <xf numFmtId="0" fontId="7" fillId="0" borderId="1" xfId="0" applyFont="1" applyBorder="1"/>
    <xf numFmtId="0" fontId="8" fillId="0" borderId="4" xfId="0" applyFont="1" applyBorder="1" applyAlignment="1">
      <alignment horizontal="center"/>
    </xf>
    <xf numFmtId="0" fontId="5" fillId="5" borderId="1" xfId="0" applyFont="1" applyFill="1" applyBorder="1" applyAlignment="1" applyProtection="1">
      <alignment wrapText="1"/>
      <protection locked="0"/>
    </xf>
    <xf numFmtId="0" fontId="5" fillId="5" borderId="1" xfId="0" applyFont="1" applyFill="1" applyBorder="1" applyProtection="1">
      <protection locked="0"/>
    </xf>
    <xf numFmtId="165" fontId="5" fillId="5" borderId="1" xfId="0" applyNumberFormat="1" applyFont="1" applyFill="1" applyBorder="1" applyAlignment="1" applyProtection="1">
      <alignment horizontal="left"/>
      <protection locked="0"/>
    </xf>
    <xf numFmtId="49" fontId="5" fillId="5" borderId="1" xfId="0" applyNumberFormat="1" applyFont="1" applyFill="1" applyBorder="1" applyProtection="1">
      <protection locked="0"/>
    </xf>
    <xf numFmtId="164" fontId="5" fillId="7" borderId="1" xfId="0" applyNumberFormat="1" applyFont="1" applyFill="1" applyBorder="1"/>
    <xf numFmtId="164" fontId="5" fillId="7" borderId="2" xfId="0" applyNumberFormat="1" applyFont="1" applyFill="1" applyBorder="1"/>
    <xf numFmtId="0" fontId="5" fillId="7" borderId="0" xfId="0" applyFont="1" applyFill="1"/>
    <xf numFmtId="0" fontId="5" fillId="5" borderId="0" xfId="0" applyFont="1" applyFill="1"/>
    <xf numFmtId="0" fontId="5" fillId="6" borderId="0" xfId="0" applyFont="1" applyFill="1"/>
    <xf numFmtId="0" fontId="4" fillId="0" borderId="1" xfId="0" applyFont="1" applyBorder="1" applyAlignment="1">
      <alignment horizontal="center"/>
    </xf>
    <xf numFmtId="0" fontId="4" fillId="0" borderId="2" xfId="0" applyFont="1" applyBorder="1" applyAlignment="1">
      <alignment horizontal="center"/>
    </xf>
    <xf numFmtId="0" fontId="10" fillId="0" borderId="0" xfId="0" applyFont="1"/>
    <xf numFmtId="0" fontId="5" fillId="5" borderId="1" xfId="0" applyFont="1" applyFill="1" applyBorder="1" applyAlignment="1" applyProtection="1">
      <alignment horizontal="center" vertical="center"/>
      <protection locked="0"/>
    </xf>
    <xf numFmtId="0" fontId="5" fillId="6" borderId="1" xfId="0" applyFont="1" applyFill="1" applyBorder="1" applyProtection="1">
      <protection locked="0"/>
    </xf>
    <xf numFmtId="3" fontId="5" fillId="6" borderId="1" xfId="0" applyNumberFormat="1" applyFont="1" applyFill="1" applyBorder="1" applyProtection="1">
      <protection locked="0"/>
    </xf>
    <xf numFmtId="164" fontId="5" fillId="5" borderId="1" xfId="0" applyNumberFormat="1" applyFont="1" applyFill="1" applyBorder="1" applyProtection="1">
      <protection locked="0"/>
    </xf>
    <xf numFmtId="0" fontId="7" fillId="0" borderId="0" xfId="0" applyFont="1" applyProtection="1">
      <protection locked="0"/>
    </xf>
    <xf numFmtId="0" fontId="8" fillId="0" borderId="0" xfId="0" applyFont="1"/>
    <xf numFmtId="2" fontId="5" fillId="5" borderId="1" xfId="0" applyNumberFormat="1" applyFont="1" applyFill="1" applyBorder="1" applyAlignment="1" applyProtection="1">
      <alignment horizontal="left"/>
      <protection locked="0"/>
    </xf>
    <xf numFmtId="1" fontId="5" fillId="5" borderId="1" xfId="0" applyNumberFormat="1" applyFont="1" applyFill="1" applyBorder="1" applyAlignment="1" applyProtection="1">
      <alignment horizontal="left" vertical="center"/>
      <protection locked="0"/>
    </xf>
    <xf numFmtId="0" fontId="5" fillId="5" borderId="1" xfId="0" applyFont="1" applyFill="1" applyBorder="1" applyAlignment="1" applyProtection="1">
      <alignment horizontal="left" vertical="center"/>
      <protection locked="0"/>
    </xf>
    <xf numFmtId="0" fontId="5" fillId="5" borderId="1" xfId="0" applyFont="1" applyFill="1" applyBorder="1" applyAlignment="1" applyProtection="1">
      <alignment horizontal="left" vertical="center" wrapText="1"/>
      <protection locked="0"/>
    </xf>
    <xf numFmtId="49" fontId="5" fillId="5" borderId="1" xfId="0" applyNumberFormat="1" applyFont="1" applyFill="1" applyBorder="1" applyAlignment="1" applyProtection="1">
      <alignment horizontal="left" vertical="center"/>
      <protection locked="0"/>
    </xf>
    <xf numFmtId="0" fontId="5" fillId="7" borderId="1" xfId="0" applyFont="1" applyFill="1" applyBorder="1" applyAlignment="1" applyProtection="1">
      <alignment horizontal="left" vertical="center"/>
      <protection locked="0"/>
    </xf>
    <xf numFmtId="166" fontId="5" fillId="5" borderId="1" xfId="2" applyNumberFormat="1" applyFont="1" applyFill="1" applyBorder="1" applyProtection="1">
      <protection locked="0"/>
    </xf>
    <xf numFmtId="3" fontId="5" fillId="5" borderId="1" xfId="2" applyNumberFormat="1" applyFont="1" applyFill="1" applyBorder="1" applyAlignment="1" applyProtection="1">
      <alignment horizontal="left" vertical="center"/>
      <protection locked="0"/>
    </xf>
    <xf numFmtId="3" fontId="5" fillId="7" borderId="1" xfId="0" applyNumberFormat="1" applyFont="1" applyFill="1" applyBorder="1"/>
    <xf numFmtId="0" fontId="11" fillId="0" borderId="0" xfId="0" applyFont="1"/>
    <xf numFmtId="49" fontId="8" fillId="0" borderId="0" xfId="0" applyNumberFormat="1" applyFont="1" applyProtection="1">
      <protection locked="0"/>
    </xf>
    <xf numFmtId="0" fontId="12" fillId="5" borderId="1" xfId="3" applyFill="1" applyBorder="1" applyProtection="1">
      <protection locked="0"/>
    </xf>
    <xf numFmtId="164" fontId="7" fillId="0" borderId="0" xfId="0" applyNumberFormat="1" applyFont="1"/>
    <xf numFmtId="0" fontId="8" fillId="0" borderId="0" xfId="0" applyFont="1" applyProtection="1">
      <protection hidden="1"/>
    </xf>
    <xf numFmtId="0" fontId="13" fillId="0" borderId="0" xfId="0" applyFont="1"/>
    <xf numFmtId="0" fontId="13" fillId="0" borderId="0" xfId="0" applyFont="1" applyAlignment="1">
      <alignment horizontal="right"/>
    </xf>
    <xf numFmtId="1" fontId="5" fillId="5" borderId="1" xfId="0" applyNumberFormat="1" applyFont="1" applyFill="1" applyBorder="1" applyProtection="1">
      <protection locked="0"/>
    </xf>
    <xf numFmtId="0" fontId="4" fillId="0" borderId="0" xfId="0" applyFont="1" applyAlignment="1">
      <alignment wrapText="1"/>
    </xf>
    <xf numFmtId="0" fontId="7" fillId="0" borderId="8" xfId="0" applyFont="1" applyBorder="1"/>
    <xf numFmtId="0" fontId="5" fillId="0" borderId="9" xfId="0" applyFont="1" applyBorder="1"/>
    <xf numFmtId="0" fontId="5" fillId="0" borderId="10" xfId="0" applyFont="1" applyBorder="1"/>
    <xf numFmtId="0" fontId="5" fillId="0" borderId="5" xfId="0" applyFont="1" applyBorder="1"/>
    <xf numFmtId="0" fontId="5" fillId="0" borderId="3" xfId="0" applyFont="1" applyBorder="1"/>
    <xf numFmtId="0" fontId="5" fillId="0" borderId="6" xfId="0" applyFont="1" applyBorder="1"/>
    <xf numFmtId="0" fontId="5" fillId="0" borderId="7" xfId="0" applyFont="1" applyBorder="1"/>
    <xf numFmtId="0" fontId="5" fillId="0" borderId="11" xfId="0" applyFont="1" applyBorder="1"/>
    <xf numFmtId="0" fontId="14" fillId="0" borderId="0" xfId="0" applyFont="1" applyAlignment="1">
      <alignment wrapText="1"/>
    </xf>
    <xf numFmtId="14" fontId="0" fillId="0" borderId="0" xfId="0" applyNumberFormat="1"/>
    <xf numFmtId="0" fontId="0" fillId="0" borderId="0" xfId="0" quotePrefix="1"/>
    <xf numFmtId="164" fontId="16" fillId="0" borderId="0" xfId="0" applyNumberFormat="1" applyFont="1"/>
    <xf numFmtId="16" fontId="0" fillId="0" borderId="0" xfId="0" quotePrefix="1" applyNumberFormat="1"/>
    <xf numFmtId="0" fontId="9" fillId="0" borderId="0" xfId="0" applyFont="1"/>
    <xf numFmtId="0" fontId="17" fillId="0" borderId="0" xfId="0" applyFont="1"/>
    <xf numFmtId="3" fontId="5" fillId="5" borderId="1" xfId="2" applyNumberFormat="1" applyFont="1" applyFill="1" applyBorder="1" applyAlignment="1" applyProtection="1">
      <alignment horizontal="left" vertical="center" wrapText="1"/>
      <protection locked="0"/>
    </xf>
    <xf numFmtId="1" fontId="8" fillId="0" borderId="0" xfId="0" applyNumberFormat="1" applyFont="1" applyProtection="1">
      <protection locked="0"/>
    </xf>
    <xf numFmtId="0" fontId="18" fillId="0" borderId="0" xfId="0" applyFont="1"/>
    <xf numFmtId="10" fontId="5" fillId="5" borderId="1" xfId="1" applyNumberFormat="1" applyFont="1" applyFill="1" applyBorder="1" applyProtection="1">
      <protection locked="0"/>
    </xf>
    <xf numFmtId="0" fontId="4" fillId="0" borderId="5" xfId="0" applyFont="1" applyBorder="1" applyAlignment="1">
      <alignment wrapText="1"/>
    </xf>
    <xf numFmtId="164" fontId="8" fillId="0" borderId="0" xfId="0" applyNumberFormat="1" applyFont="1" applyProtection="1">
      <protection locked="0"/>
    </xf>
    <xf numFmtId="0" fontId="4" fillId="0" borderId="5" xfId="0" applyFont="1" applyBorder="1" applyAlignment="1">
      <alignment horizontal="left" vertical="center" wrapText="1"/>
    </xf>
    <xf numFmtId="0" fontId="6" fillId="0" borderId="0" xfId="0" applyFont="1" applyAlignment="1">
      <alignment horizontal="left" wrapText="1"/>
    </xf>
    <xf numFmtId="0" fontId="6" fillId="0" borderId="7" xfId="0" applyFont="1" applyBorder="1" applyAlignment="1">
      <alignment horizontal="left" wrapText="1"/>
    </xf>
    <xf numFmtId="49" fontId="5" fillId="5" borderId="1" xfId="0" applyNumberFormat="1" applyFont="1" applyFill="1" applyBorder="1" applyAlignment="1" applyProtection="1">
      <alignment horizontal="left" vertical="top" wrapText="1"/>
      <protection locked="0"/>
    </xf>
    <xf numFmtId="0" fontId="9" fillId="0" borderId="5" xfId="0" applyFont="1" applyBorder="1" applyAlignment="1">
      <alignment horizontal="left" wrapText="1"/>
    </xf>
    <xf numFmtId="0" fontId="9" fillId="0" borderId="0" xfId="0" applyFont="1" applyAlignment="1">
      <alignment horizontal="left" wrapText="1"/>
    </xf>
    <xf numFmtId="0" fontId="9" fillId="0" borderId="6" xfId="0" applyFont="1" applyBorder="1" applyAlignment="1">
      <alignment horizontal="left" wrapText="1"/>
    </xf>
    <xf numFmtId="0" fontId="9" fillId="0" borderId="7" xfId="0" applyFont="1" applyBorder="1" applyAlignment="1">
      <alignment horizontal="left" wrapText="1"/>
    </xf>
    <xf numFmtId="0" fontId="5" fillId="0" borderId="0" xfId="0" applyFont="1" applyAlignment="1">
      <alignment horizontal="center" vertical="center" wrapText="1"/>
    </xf>
    <xf numFmtId="0" fontId="7" fillId="0" borderId="0" xfId="0" applyFont="1" applyAlignment="1">
      <alignment horizontal="left" wrapText="1"/>
    </xf>
    <xf numFmtId="0" fontId="7" fillId="0" borderId="3" xfId="0" applyFont="1" applyBorder="1" applyAlignment="1">
      <alignment horizontal="left" wrapText="1"/>
    </xf>
    <xf numFmtId="0" fontId="5" fillId="0" borderId="0" xfId="0" applyFont="1" applyAlignment="1">
      <alignment horizontal="left" vertical="center" wrapText="1"/>
    </xf>
    <xf numFmtId="0" fontId="5" fillId="6" borderId="1" xfId="0" applyFont="1" applyFill="1" applyBorder="1" applyAlignment="1" applyProtection="1">
      <alignment horizontal="left" vertical="top" wrapText="1"/>
      <protection locked="0"/>
    </xf>
    <xf numFmtId="0" fontId="15" fillId="0" borderId="5" xfId="0" applyFont="1" applyBorder="1" applyAlignment="1">
      <alignment horizontal="left" vertical="center" wrapText="1"/>
    </xf>
    <xf numFmtId="0" fontId="15" fillId="0" borderId="0" xfId="0" applyFont="1" applyAlignment="1">
      <alignment horizontal="left" vertical="center" wrapText="1"/>
    </xf>
    <xf numFmtId="0" fontId="15" fillId="0" borderId="3" xfId="0" applyFont="1" applyBorder="1" applyAlignment="1">
      <alignment horizontal="left" vertical="center" wrapText="1"/>
    </xf>
    <xf numFmtId="0" fontId="16" fillId="0" borderId="0" xfId="0" applyFont="1" applyAlignment="1">
      <alignment horizontal="left" vertical="center" wrapText="1"/>
    </xf>
  </cellXfs>
  <cellStyles count="4">
    <cellStyle name="Komma" xfId="2" builtinId="3"/>
    <cellStyle name="Link" xfId="3" builtinId="8"/>
    <cellStyle name="Prozent" xfId="1" builtinId="5"/>
    <cellStyle name="Standard" xfId="0" builtinId="0"/>
  </cellStyles>
  <dxfs count="103">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color theme="1"/>
      </font>
      <fill>
        <patternFill>
          <bgColor rgb="FFFFB3B3"/>
        </patternFill>
      </fill>
      <border>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0"/>
        <name val="Arial"/>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2"/>
        <color theme="0"/>
        <name val="Arial"/>
        <scheme val="none"/>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2"/>
        <color theme="1"/>
        <name val="Arial"/>
        <scheme val="none"/>
      </font>
      <fill>
        <patternFill patternType="none">
          <fgColor indexed="64"/>
          <bgColor auto="1"/>
        </patternFill>
      </fill>
      <protection locked="0" hidden="0"/>
    </dxf>
  </dxfs>
  <tableStyles count="0" defaultTableStyle="TableStyleMedium2" defaultPivotStyle="PivotStyleLight16"/>
  <colors>
    <mruColors>
      <color rgb="FFFFB3B3"/>
      <color rgb="FFD9EAF7"/>
      <color rgb="FFD4ED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114299</xdr:colOff>
      <xdr:row>0</xdr:row>
      <xdr:rowOff>257175</xdr:rowOff>
    </xdr:from>
    <xdr:to>
      <xdr:col>7</xdr:col>
      <xdr:colOff>1647824</xdr:colOff>
      <xdr:row>3</xdr:row>
      <xdr:rowOff>1</xdr:rowOff>
    </xdr:to>
    <xdr:pic>
      <xdr:nvPicPr>
        <xdr:cNvPr id="2" name="Grafik 1">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4473" t="23684" r="14912" b="24562"/>
        <a:stretch/>
      </xdr:blipFill>
      <xdr:spPr>
        <a:xfrm>
          <a:off x="9077324" y="257175"/>
          <a:ext cx="1533525" cy="561976"/>
        </a:xfrm>
        <a:prstGeom prst="rect">
          <a:avLst/>
        </a:prstGeom>
      </xdr:spPr>
    </xdr:pic>
    <xdr:clientData/>
  </xdr:twoCellAnchor>
  <xdr:twoCellAnchor editAs="absolute">
    <xdr:from>
      <xdr:col>8</xdr:col>
      <xdr:colOff>59951</xdr:colOff>
      <xdr:row>25</xdr:row>
      <xdr:rowOff>187060</xdr:rowOff>
    </xdr:from>
    <xdr:to>
      <xdr:col>10</xdr:col>
      <xdr:colOff>364751</xdr:colOff>
      <xdr:row>37</xdr:row>
      <xdr:rowOff>188820</xdr:rowOff>
    </xdr:to>
    <mc:AlternateContent xmlns:mc="http://schemas.openxmlformats.org/markup-compatibility/2006" xmlns:sle15="http://schemas.microsoft.com/office/drawing/2012/slicer">
      <mc:Choice Requires="sle15">
        <xdr:graphicFrame macro="">
          <xdr:nvGraphicFramePr>
            <xdr:cNvPr id="3" name="       Anzahl Einsatzpläne">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       Anzahl Einsatzpläne"/>
            </a:graphicData>
          </a:graphic>
        </xdr:graphicFrame>
      </mc:Choice>
      <mc:Fallback xmlns="">
        <xdr:sp macro="" textlink="">
          <xdr:nvSpPr>
            <xdr:cNvPr id="0" name=""/>
            <xdr:cNvSpPr>
              <a:spLocks noTextEdit="1"/>
            </xdr:cNvSpPr>
          </xdr:nvSpPr>
          <xdr:spPr>
            <a:xfrm>
              <a:off x="10582275" y="12995384"/>
              <a:ext cx="1828800" cy="2534289"/>
            </a:xfrm>
            <a:prstGeom prst="rect">
              <a:avLst/>
            </a:prstGeom>
            <a:solidFill>
              <a:prstClr val="white"/>
            </a:solidFill>
            <a:ln w="1">
              <a:solidFill>
                <a:prstClr val="green"/>
              </a:solidFill>
            </a:ln>
          </xdr:spPr>
          <xdr:txBody>
            <a:bodyPr vertOverflow="clip" horzOverflow="clip"/>
            <a:lstStyle/>
            <a:p>
              <a:r>
                <a:rPr lang="de-DE" sz="1100"/>
                <a:t>Diese Form stellt einen Tabellendatenschnitt dar. Tabellendatenschnitte werden ab Excel unterstützt.
Wenn die Form in einer früheren Version von Excel geändert oder die Arbeitsmappe in Excel 2007 oder niedriger gespeichert wurde, kann der Datenschnitt nicht verwendet werden.</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Anzahl_Einsatzpläne" xr10:uid="{00000000-0013-0000-FFFF-FFFF01000000}" sourceName="       Anzahl Einsatzpläne">
  <extLst>
    <x:ext xmlns:x15="http://schemas.microsoft.com/office/spreadsheetml/2010/11/main" uri="{2F2917AC-EB37-4324-AD4E-5DD8C200BD13}">
      <x15:tableSlicerCache tableId="2"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Anzahl Einsatzpläne" xr10:uid="{00000000-0014-0000-FFFF-FFFF01000000}" cache="Datenschnitt_Anzahl_Einsatzpläne" caption="       Anzahl Einsatzplän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elle2" displayName="Tabelle2" ref="A41:A642" totalsRowShown="0" headerRowDxfId="102" dataDxfId="101">
  <autoFilter ref="A41:A642" xr:uid="{00000000-0009-0000-0100-000002000000}">
    <filterColumn colId="0">
      <filters>
        <filter val="Plan 01"/>
      </filters>
    </filterColumn>
  </autoFilter>
  <tableColumns count="1">
    <tableColumn id="1" xr3:uid="{00000000-0010-0000-0000-000001000000}" name="       Anzahl Einsatzpläne" dataDxfId="10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elle22" displayName="Tabelle22" ref="A1:C411" totalsRowShown="0">
  <autoFilter ref="A1:C411" xr:uid="{00000000-0009-0000-0100-000001000000}"/>
  <sortState xmlns:xlrd2="http://schemas.microsoft.com/office/spreadsheetml/2017/richdata2" ref="A2:C410">
    <sortCondition ref="A1:A410"/>
  </sortState>
  <tableColumns count="3">
    <tableColumn id="1" xr3:uid="{00000000-0010-0000-0100-000001000000}" name="Audio-Angebot"/>
    <tableColumn id="2" xr3:uid="{00000000-0010-0000-0100-000002000000}" name="Werbeformat"/>
    <tableColumn id="3" xr3:uid="{00000000-0010-0000-0100-000003000000}" name="Einplanung durch?"/>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pageSetUpPr fitToPage="1"/>
  </sheetPr>
  <dimension ref="A1:H642"/>
  <sheetViews>
    <sheetView showGridLines="0" zoomScale="90" zoomScaleNormal="90" zoomScaleSheetLayoutView="70" zoomScalePageLayoutView="85" workbookViewId="0">
      <selection activeCell="D5" sqref="D5"/>
    </sheetView>
  </sheetViews>
  <sheetFormatPr baseColWidth="10" defaultColWidth="11.5" defaultRowHeight="16" x14ac:dyDescent="0.2"/>
  <cols>
    <col min="1" max="1" width="2.6640625" style="6" customWidth="1"/>
    <col min="2" max="2" width="3.5" style="8" customWidth="1"/>
    <col min="3" max="3" width="24.5" style="8" customWidth="1"/>
    <col min="4" max="4" width="39.33203125" style="8" customWidth="1"/>
    <col min="5" max="5" width="24.1640625" style="8" customWidth="1"/>
    <col min="6" max="6" width="18.6640625" style="8" customWidth="1"/>
    <col min="7" max="7" width="19.5" style="8" customWidth="1"/>
    <col min="8" max="8" width="25.6640625" style="8" customWidth="1"/>
    <col min="9" max="16384" width="11.5" style="8"/>
  </cols>
  <sheetData>
    <row r="1" spans="2:8" ht="25" x14ac:dyDescent="0.25">
      <c r="B1" s="31" t="s">
        <v>0</v>
      </c>
      <c r="C1" s="7"/>
      <c r="G1" s="52"/>
      <c r="H1" s="53"/>
    </row>
    <row r="2" spans="2:8" ht="15.75" customHeight="1" x14ac:dyDescent="0.2">
      <c r="B2" s="27" t="s">
        <v>464</v>
      </c>
      <c r="C2" s="27"/>
      <c r="D2" s="27"/>
      <c r="E2" s="85" t="s">
        <v>65</v>
      </c>
      <c r="F2" s="85"/>
    </row>
    <row r="3" spans="2:8" ht="22.5" customHeight="1" x14ac:dyDescent="0.2">
      <c r="B3" s="28" t="s">
        <v>465</v>
      </c>
      <c r="C3" s="28"/>
      <c r="D3" s="28"/>
      <c r="E3" s="85"/>
      <c r="F3" s="85"/>
      <c r="G3" s="9"/>
    </row>
    <row r="4" spans="2:8" ht="34" x14ac:dyDescent="0.2">
      <c r="B4" s="26" t="s">
        <v>466</v>
      </c>
      <c r="C4" s="26"/>
      <c r="D4" s="26"/>
      <c r="E4" s="10" t="s">
        <v>66</v>
      </c>
      <c r="F4" s="8" t="s">
        <v>67</v>
      </c>
    </row>
    <row r="5" spans="2:8" ht="45" customHeight="1" x14ac:dyDescent="0.2">
      <c r="B5" s="7" t="s">
        <v>1</v>
      </c>
      <c r="C5" s="7"/>
      <c r="D5" s="20"/>
      <c r="E5" s="32"/>
      <c r="F5" s="54"/>
    </row>
    <row r="6" spans="2:8" ht="42" customHeight="1" x14ac:dyDescent="0.2">
      <c r="B6" s="7" t="s">
        <v>5</v>
      </c>
      <c r="C6" s="7"/>
      <c r="D6" s="20"/>
      <c r="E6" s="32"/>
      <c r="F6" s="54"/>
    </row>
    <row r="7" spans="2:8" x14ac:dyDescent="0.2">
      <c r="B7" s="7" t="s">
        <v>6</v>
      </c>
      <c r="C7" s="7"/>
      <c r="D7" s="21"/>
    </row>
    <row r="8" spans="2:8" x14ac:dyDescent="0.2">
      <c r="B8" s="7" t="s">
        <v>16</v>
      </c>
      <c r="C8" s="7"/>
      <c r="D8" s="49"/>
    </row>
    <row r="9" spans="2:8" x14ac:dyDescent="0.2">
      <c r="B9" s="7" t="s">
        <v>7</v>
      </c>
      <c r="C9" s="7"/>
      <c r="D9" s="21"/>
    </row>
    <row r="10" spans="2:8" ht="33" customHeight="1" x14ac:dyDescent="0.2">
      <c r="B10" s="86" t="s">
        <v>43</v>
      </c>
      <c r="C10" s="87"/>
      <c r="D10" s="21"/>
    </row>
    <row r="11" spans="2:8" x14ac:dyDescent="0.2">
      <c r="B11" s="7" t="s">
        <v>2</v>
      </c>
      <c r="C11" s="7"/>
      <c r="D11" s="22"/>
    </row>
    <row r="12" spans="2:8" x14ac:dyDescent="0.2">
      <c r="B12" s="7" t="s">
        <v>3</v>
      </c>
      <c r="C12" s="7"/>
      <c r="D12" s="21"/>
    </row>
    <row r="13" spans="2:8" x14ac:dyDescent="0.2">
      <c r="B13" s="7" t="s">
        <v>4</v>
      </c>
      <c r="C13" s="7"/>
      <c r="D13" s="21"/>
    </row>
    <row r="14" spans="2:8" x14ac:dyDescent="0.2">
      <c r="B14" s="7" t="s">
        <v>105</v>
      </c>
      <c r="C14" s="7"/>
      <c r="D14" s="38"/>
    </row>
    <row r="15" spans="2:8" x14ac:dyDescent="0.2">
      <c r="B15" s="7" t="s">
        <v>106</v>
      </c>
      <c r="C15" s="7"/>
      <c r="D15" s="38"/>
    </row>
    <row r="16" spans="2:8" x14ac:dyDescent="0.2">
      <c r="B16" s="7" t="s">
        <v>13</v>
      </c>
      <c r="C16" s="7"/>
      <c r="D16" s="23"/>
    </row>
    <row r="18" spans="2:8" x14ac:dyDescent="0.2">
      <c r="B18" s="7" t="s">
        <v>14</v>
      </c>
    </row>
    <row r="19" spans="2:8" ht="286.5" customHeight="1" x14ac:dyDescent="0.2">
      <c r="B19" s="89"/>
      <c r="C19" s="89"/>
      <c r="D19" s="89"/>
      <c r="E19" s="89"/>
      <c r="F19" s="89"/>
      <c r="G19" s="89"/>
      <c r="H19" s="89"/>
    </row>
    <row r="21" spans="2:8" x14ac:dyDescent="0.2">
      <c r="B21" s="7" t="s">
        <v>15</v>
      </c>
    </row>
    <row r="22" spans="2:8" ht="286.5" customHeight="1" x14ac:dyDescent="0.2">
      <c r="B22" s="89"/>
      <c r="C22" s="89"/>
      <c r="D22" s="89"/>
      <c r="E22" s="89"/>
      <c r="F22" s="89"/>
      <c r="G22" s="89"/>
      <c r="H22" s="89"/>
    </row>
    <row r="24" spans="2:8" hidden="1" x14ac:dyDescent="0.2">
      <c r="B24" s="7" t="s">
        <v>107</v>
      </c>
    </row>
    <row r="25" spans="2:8" hidden="1" x14ac:dyDescent="0.2">
      <c r="D25" s="5"/>
    </row>
    <row r="27" spans="2:8" x14ac:dyDescent="0.2">
      <c r="B27" s="7" t="s">
        <v>412</v>
      </c>
      <c r="F27" s="56" t="s">
        <v>493</v>
      </c>
      <c r="G27" s="57"/>
      <c r="H27" s="58"/>
    </row>
    <row r="28" spans="2:8" x14ac:dyDescent="0.2">
      <c r="D28" s="21" t="s">
        <v>111</v>
      </c>
      <c r="F28" s="90" t="s">
        <v>515</v>
      </c>
      <c r="G28" s="91"/>
      <c r="H28" s="92"/>
    </row>
    <row r="29" spans="2:8" x14ac:dyDescent="0.2">
      <c r="F29" s="90"/>
      <c r="G29" s="91"/>
      <c r="H29" s="92"/>
    </row>
    <row r="30" spans="2:8" ht="14.25" customHeight="1" x14ac:dyDescent="0.2">
      <c r="F30" s="59" t="str">
        <f>IF(OR($D$44=AA!A11,$D$74=AA!A11,$D$104=AA!A11,$D$134=AA!A11,$D$164=AA!A11,$D$194=AA!A11,$D$224=AA!A11,$D$254=AA!A11,$D$284=AA!A11,$D$314=AA!A11,$D$344=AA!A11,$D$374=AA!A11,$D$404=AA!A11,$D$434=AA!A11,$D$464=AA!A11,$D$494=AA!A11,$D$524=AA!A11,$D$554=AA!A11,$D$584=AA!A11,$D$614=AA!A11),AA!A11,"")</f>
        <v/>
      </c>
      <c r="H30" s="60"/>
    </row>
    <row r="31" spans="2:8" x14ac:dyDescent="0.2">
      <c r="F31" s="59" t="str">
        <f>IF(OR($D$44=AA!A12,$D$74=AA!A12,$D$104=AA!A12,$D$134=AA!A12,$D$164=AA!A12,$D$194=AA!A12,$D$224=AA!A12,$D$254=AA!A12,$D$284=AA!A12,$D$314=AA!A12,$D$344=AA!A12,$D$374=AA!A12,$D$404=AA!A12,$D$434=AA!A12,$D$464=AA!A12,$D$494=AA!A12,$D$524=AA!A12,$D$554=AA!A12,$D$584=AA!A12,$D$614=AA!A12),AA!A12,"")</f>
        <v/>
      </c>
      <c r="H31" s="60"/>
    </row>
    <row r="32" spans="2:8" x14ac:dyDescent="0.2">
      <c r="B32" s="8" t="s">
        <v>434</v>
      </c>
      <c r="D32" s="11">
        <f>SUM(D68:D70)+SUM(D98:D100)+SUM(D128:D130)+SUM(D158:D160)+SUM(D188:D190)+SUM(D218:D220)+SUM(D248:D250)+SUM(D278:D280)+SUM(D308:D310)+SUM(D338:D340)+SUM(D368:D370)+SUM(D398:D400)+SUM(D428:D430)+SUM(D458:D460)+SUM(D488:D490)+SUM(D518:D520)+SUM(D548:D550)+SUM(D578:D580)+SUM(D608:D610)+SUM(D638:D640)</f>
        <v>0</v>
      </c>
      <c r="F32" s="59" t="str">
        <f>IF(OR($D$44=AA!A13,$D$74=AA!A13,$D$104=AA!A13,$D$134=AA!A13,$D$164=AA!A13,$D$194=AA!A13,$D$224=AA!A13,$D$254=AA!A13,$D$284=AA!A13,$D$314=AA!A13,$D$344=AA!A13,$D$374=AA!A13,$D$404=AA!A13,$D$434=AA!A13,$D$464=AA!A13,$D$494=AA!A13,$D$524=AA!A13,$D$554=AA!A13,$D$584=AA!A13,$D$614=AA!A13),AA!A13,"")</f>
        <v/>
      </c>
      <c r="H32" s="60"/>
    </row>
    <row r="33" spans="1:8" ht="32.25" customHeight="1" x14ac:dyDescent="0.2">
      <c r="B33" s="88" t="s">
        <v>462</v>
      </c>
      <c r="C33" s="88"/>
      <c r="D33" s="11">
        <f>(D68-(D68*E68))+(D69-(D69*E69))+(D70-(D70*E70))
+(D98-(D98*E98))+(D99-(D99*E99))+(D100-(D100*E100))
+(D128-(D128*E128))+(D129-(D129*E129))+(D130-(D130*E130))
+(D158-(D158*E158))+(D159-(D159*E159))+(D160-(D160*E160))
+(D188-(D188*E188))+(D189-(D189*E189))+(D190-(D190*E190))
+(D218-(D218*E218))+(D219-(D219*E219))+(D220-(D220*E220))
+(D248-(D248*E248))+(D249-(D249*E249))+(D250-(D250*E250))
+(D278-(D278*E278))+(D279-(D279*E279))+(D280-(D280*E280))
+(D308-(D308*E308))+(D309-(D309*E309))+(D310-(D310*E310))
+(D338-(D338*E338))+(D339-(D339*E339))+(D340-(D340*E340))
+(D368-(D368*E368))+(D369-(D369*E369))+(D370-(D370*E370))
+(D398-(D398*E398))+(D399-(D399*E399))+(D400-(D400*E400))
+(D428-(D428*E428))+(D429-(D429*E429))+(D430-(D430*E430))
+(D458-(D458*E458))+(D459-(D459*E459))+(D460-(D460*E460))
+(D488-(D488*E488))+(D489-(D489*E489))+(D490-(D490*E490))
+(D518-(D518*E518))+(D519-(D519*E519))+(D520-(D520*E520))
+(D548-(D548*E548))+(D549-(D549*E549))+(D550-(D550*E550))
+(D578-(D578*E578))+(D579-(D579*E579))+(D580-(D580*E580))
+(D608-(D608*E608))+(D609-(D609*E609))+(D610-(D610*E610))
+(D638-(D638*E638))+(D639-(D639*E639))+(D640-(D640*E640))</f>
        <v>0</v>
      </c>
      <c r="E33" s="11"/>
      <c r="F33" s="59" t="str">
        <f>IF(OR($D$44=AA!A14,$D$74=AA!A14,$D$104=AA!A14,$D$134=AA!A14,$D$164=AA!A14,$D$194=AA!A14,$D$224=AA!A14,$D$254=AA!A14,$D$284=AA!A14,$D$314=AA!A14,$D$344=AA!A14,$D$374=AA!A14,$D$404=AA!A14,$D$434=AA!A14,$D$464=AA!A14,$D$494=AA!A14,$D$524=AA!A14,$D$554=AA!A14,$D$584=AA!A14,$D$614=AA!A14),AA!A14,"")</f>
        <v/>
      </c>
      <c r="H33" s="60"/>
    </row>
    <row r="34" spans="1:8" ht="15.75" customHeight="1" x14ac:dyDescent="0.2">
      <c r="B34" s="93" t="s">
        <v>516</v>
      </c>
      <c r="C34" s="93"/>
      <c r="D34" s="67">
        <f>IF(F68="ja", (D68-(D68*E68)) * 0.15, 0)
+IF(F69="ja", (D69-(D69*E69)) * 0.15, 0)
+IF(F70="ja", (D70-(D70*E70)) * 0.15, 0)
+IF(F98="ja", (D98-(D98*E98)) * 0.15, 0)
+IF(F99="ja", (D99-(D99*E99)) * 0.15, 0)
+IF(F100="ja", (D100-(D100*E100)) * 0.15, 0)
+IF(F128="ja", (D128-(D128*E128)) * 0.15, 0)
+IF(F129="ja", (D129-(D129*E129)) * 0.15, 0)
+IF(F130="ja", (D130-(D130*E130)) * 0.15, 0)
+IF(F158="ja", (D158-(D158*E158)) * 0.15, 0)
+IF(F159="ja", (D159-(D159*E159)) * 0.15, 0)
+IF(F160="ja", (D160-(D160*E160)) * 0.15, 0)
+IF(F188="ja", (D188-(D188*E188)) * 0.15, 0)
+IF(F189="ja", (D189-(D189*E189)) * 0.15, 0)
+IF(F190="ja", (D190-(D190*E190)) * 0.15, 0)
+IF(F218="ja", (D218-(D218*E218)) * 0.15, 0)
+IF(F219="ja", (D219-(D219*E219)) * 0.15, 0)
+IF(F220="ja", (D220-(D220*E220)) * 0.15, 0)
+IF(F248="ja", (D248-(D248*E248)) * 0.15, 0)
+IF(F249="ja", (D249-(D249*E249)) * 0.15, 0)
+IF(F250="ja", (D250-(D250*E250)) * 0.15, 0)
+IF(F278="ja", (D278-(D278*E278)) * 0.15, 0)
+IF(F279="ja", (D279-(D279*E279)) * 0.15, 0)
+IF(F280="ja", (D280-(D280*E280)) * 0.15, 0)
+IF(F308="ja", (D308-(D308*E308)) * 0.15, 0)
+IF(F309="ja", (D309-(D309*E309)) * 0.15, 0)
+IF(F310="ja", (D310-(D310*E310)) * 0.15, 0)
+IF(F338="ja", (D338-(D338*E338)) * 0.15, 0)
+IF(F339="ja", (D339-(D339*E339)) * 0.15, 0)
+IF(F340="ja", (D340-(D340*E340)) * 0.15, 0)
+IF(F368="ja", (D368-(D368*E368)) * 0.15, 0)
+IF(F369="ja", (D369-(D369*E369)) * 0.15, 0)
+IF(F370="ja", (D370-(D370*E370)) * 0.15, 0)
+IF(F398="ja", (D398-(D398*E398)) * 0.15, 0)
+IF(F399="ja", (D399-(D399*E399)) * 0.15, 0)
+IF(F400="ja", (D400-(D400*E400)) * 0.15, 0)
+IF(F428="ja", (D428-(D428*E428)) * 0.15, 0)
+IF(F429="ja", (D429-(D429*E429)) * 0.15, 0)
+IF(F430="ja", (D430-(D430*E430)) * 0.15, 0)
+IF(F458="ja", (D458-(D458*E458)) * 0.15, 0)
+IF(F459="ja", (D459-(D459*E459)) * 0.15, 0)
+IF(F460="ja", (D460-(D460*E460)) * 0.15, 0)
+IF(F488="ja", (D488-(D488*E488)) * 0.15, 0)
+IF(F489="ja", (D489-(D489*E489)) * 0.15, 0)
+IF(F490="ja", (D490-(D490*E490)) * 0.15, 0)
+IF(F518="ja", (D518-(D518*E518)) * 0.15, 0)
+IF(F519="ja", (D519-(D519*E519)) * 0.15, 0)
+IF(F520="ja", (D520-(D520*E520)) * 0.15, 0)
+IF(F548="ja", (D548-(D548*E548)) * 0.15, 0)
+IF(F549="ja", (D549-(D549*E549)) * 0.15, 0)
+IF(F550="ja", (D550-(D550*E550)) * 0.15, 0)
+IF(F578="ja", (D578-(D578*E578)) * 0.15, 0)
+IF(F579="ja", (D579-(D579*E579)) * 0.15, 0)
+IF(F580="ja", (D580-(D580*E580)) * 0.15, 0)
+IF(F608="ja", (D608-(D608*E608)) * 0.15, 0)
+IF(F609="ja", (D609-(D609*E609)) * 0.15, 0)
+IF(F610="ja", (D610-(D610*E610)) * 0.15, 0)
+IF(F638="ja", (D638-(D638*E638)) * 0.15, 0)
+IF(F639="ja", (D639-(D639*E639)) * 0.15, 0)
+IF(F640="ja", (D640-(D640*E640)) * 0.15, 0)</f>
        <v>0</v>
      </c>
      <c r="E34" s="11"/>
      <c r="F34" s="59" t="str">
        <f>IF(OR($D$44=AA!A15,$D$74=AA!A15,$D$104=AA!A15,$D$134=AA!A15,$D$164=AA!A15,$D$194=AA!A15,$D$224=AA!A15,$D$254=AA!A15,$D$284=AA!A15,$D$314=AA!A15,$D$344=AA!A15,$D$374=AA!A15,$D$404=AA!A15,$D$434=AA!A15,$D$464=AA!A15,$D$494=AA!A15,$D$524=AA!A15,$D$554=AA!A15,$D$584=AA!A15,$D$614=AA!A15),AA!A15,"")</f>
        <v/>
      </c>
      <c r="H34" s="60"/>
    </row>
    <row r="35" spans="1:8" x14ac:dyDescent="0.2">
      <c r="B35" s="7" t="s">
        <v>413</v>
      </c>
      <c r="D35" s="50">
        <f>G71+G101+G131+G161+G191+G221+G251+G281+G311+G341+G371+G401+G431+G461+G491+G521+G551+G581+G611+G641</f>
        <v>0</v>
      </c>
      <c r="E35" s="11"/>
      <c r="F35" s="59" t="str">
        <f>IF(OR($D$44=AA!A16,$D$74=AA!A16,$D$104=AA!A16,$D$134=AA!A16,$D$164=AA!A16,$D$194=AA!A16,$D$224=AA!A16,$D$254=AA!A16,$D$284=AA!A16,$D$314=AA!A16,$D$344=AA!A16,$D$374=AA!A16,$D$404=AA!A16,$D$434=AA!A16,$D$464=AA!A16,$D$494=AA!A16,$D$524=AA!A16,$D$554=AA!A16,$D$584=AA!A16,$D$614=AA!A16),AA!A16,"")</f>
        <v/>
      </c>
      <c r="H35" s="60"/>
    </row>
    <row r="36" spans="1:8" x14ac:dyDescent="0.2">
      <c r="F36" s="59" t="str">
        <f>IF(OR($D$44=AA!A17,$D$74=AA!A17,$D$104=AA!A17,$D$134=AA!A17,$D$164=AA!A17,$D$194=AA!A17,$D$224=AA!A17,$D$254=AA!A17,$D$284=AA!A17,$D$314=AA!A17,$D$344=AA!A17,$D$374=AA!A17,$D$404=AA!A17,$D$434=AA!A17,$D$464=AA!A17,$D$494=AA!A17,$D$524=AA!A17,$D$554=AA!A17,$D$584=AA!A17,$D$614=AA!A17),AA!A17,"")</f>
        <v/>
      </c>
      <c r="H36" s="60"/>
    </row>
    <row r="37" spans="1:8" x14ac:dyDescent="0.2">
      <c r="F37" s="59" t="str">
        <f>IF(OR($D$44=AA!A18,$D$74=AA!A18,$D$104=AA!A18,$D$134=AA!A18,$D$164=AA!A18,$D$194=AA!A18,$D$224=AA!A18,$D$254=AA!A18,$D$284=AA!A18,$D$314=AA!A18,$D$344=AA!A18,$D$374=AA!A18,$D$404=AA!A18,$D$434=AA!A18,$D$464=AA!A18,$D$494=AA!A18,$D$524=AA!A18,$D$554=AA!A18,$D$584=AA!A18,$D$614=AA!A18),AA!A18,"")</f>
        <v/>
      </c>
      <c r="H37" s="60"/>
    </row>
    <row r="38" spans="1:8" x14ac:dyDescent="0.2">
      <c r="F38" s="59" t="str">
        <f>IF(OR($D$44=AA!A19,$D$74=AA!A19,$D$104=AA!A19,$D$134=AA!A19,$D$164=AA!A19,$D$194=AA!A19,$D$224=AA!A19,$D$254=AA!A19,$D$284=AA!A19,$D$314=AA!A19,$D$344=AA!A19,$D$374=AA!A19,$D$404=AA!A19,$D$434=AA!A19,$D$464=AA!A19,$D$494=AA!A19,$D$524=AA!A19,$D$554=AA!A19,$D$584=AA!A19,$D$614=AA!A19),AA!A19,"")</f>
        <v/>
      </c>
      <c r="H38" s="60"/>
    </row>
    <row r="39" spans="1:8" x14ac:dyDescent="0.2">
      <c r="B39" s="69" t="str">
        <f>"Dieser Auftrag enthält " &amp; SUM(IF(LEN(D44)&gt;2,1,0), IF(LEN(D74)&gt;2,1,0), IF(LEN(D104)&gt;2,1,0), IF(LEN(D134)&gt;2,1,0), IF(LEN(D164)&gt;2,1,0), IF(LEN(D194)&gt;2,1,0), IF(LEN(D224)&gt;2,1,0), IF(LEN(D254)&gt;2,1,0), IF(LEN(D284)&gt;2,1,0), IF(LEN(D314)&gt;2,1,0), IF(LEN(D344)&gt;2,1,0), IF(LEN(D374)&gt;2,1,0), IF(LEN(D404)&gt;2,1,0), IF(LEN(D434)&gt;2,1,0), IF(LEN(D464)&gt;2,1,0), IF(LEN(D494)&gt;2,1,0), IF(LEN(D524)&gt;2,1,0), IF(LEN(D554)&gt;2,1,0), IF(LEN(D584)&gt;2,1,0), IF(LEN(D614)&gt;2,1,0)) &amp; " Einsatzpläne!"</f>
        <v>Dieser Auftrag enthält 0 Einsatzpläne!</v>
      </c>
      <c r="F39" s="61" t="str">
        <f>IF(OR($D$44=AA!A20,$D$74=AA!A20,$D$104=AA!A20,$D$134=AA!A20,$D$164=AA!A20,$D$194=AA!A20,$D$224=AA!A20,$D$254=AA!A20,$D$284=AA!A20,$D$314=AA!A20,$D$344=AA!A20,$D$374=AA!A20,$D$404=AA!A20,$D$434=AA!A20,$D$464=AA!A20,$D$494=AA!A20,$D$524=AA!A20,$D$554=AA!A20,$D$584=AA!A20,$D$614=AA!A20),AA!A20,"")</f>
        <v/>
      </c>
      <c r="G39" s="62"/>
      <c r="H39" s="63"/>
    </row>
    <row r="40" spans="1:8" x14ac:dyDescent="0.2">
      <c r="B40" s="6" t="s">
        <v>408</v>
      </c>
    </row>
    <row r="41" spans="1:8" x14ac:dyDescent="0.2">
      <c r="A41" s="36" t="s">
        <v>125</v>
      </c>
      <c r="B41" s="12"/>
      <c r="C41" s="12"/>
    </row>
    <row r="42" spans="1:8" x14ac:dyDescent="0.2">
      <c r="A42" s="13" t="s">
        <v>484</v>
      </c>
      <c r="B42" s="7" t="s">
        <v>523</v>
      </c>
      <c r="C42" s="7"/>
    </row>
    <row r="43" spans="1:8" x14ac:dyDescent="0.2">
      <c r="A43" s="13" t="s">
        <v>484</v>
      </c>
      <c r="E43" s="37" t="s">
        <v>435</v>
      </c>
    </row>
    <row r="44" spans="1:8" x14ac:dyDescent="0.2">
      <c r="A44" s="13" t="s">
        <v>484</v>
      </c>
      <c r="B44" s="14" t="s">
        <v>30</v>
      </c>
      <c r="C44" s="14"/>
      <c r="D44" s="41"/>
      <c r="E44" s="51" t="str">
        <f>IF(D44=AA!$A$18,"WerbemittelPodcast",
    IF(COUNTIF(AA!$A$21:$A$24,D44)&gt;0,"WerbemittelEvents",
        IF(OR(D44=AA!$A$17,D44=AA!$A$11,D44=AA!$A$12),
            IF(D44=AA!$A$17,"WerbemittelOA","WerbemittelKombi"),
            "WerbemittelUKW")))</f>
        <v>WerbemittelUKW</v>
      </c>
      <c r="F44" s="55" t="str">
        <f>IF(OR(AA!$A$21=D44, AA!$A$22=D44, AA!$A$23=D44, AA!$A$24=D44), "Bitte gib die Event- Kostenstelle ein", "")</f>
        <v/>
      </c>
      <c r="G44" s="72"/>
    </row>
    <row r="45" spans="1:8" ht="33.75" customHeight="1" x14ac:dyDescent="0.2">
      <c r="A45" s="13" t="s">
        <v>484</v>
      </c>
      <c r="B45" s="14" t="s">
        <v>31</v>
      </c>
      <c r="C45" s="14"/>
      <c r="D45" s="40"/>
      <c r="E45" s="55" t="str">
        <f>IF(OR(ISNUMBER(MATCH(D45,AA!$A$33:$A$41,0)),ISNUMBER(MATCH(D45,AA!$A$48,0)),ISNUMBER(MATCH(D45,AA!$A$55:$A$59,0)),ISNUMBER(MATCH(D45,AA!$A$69:$A$78,0))),"Liegen die Nutzungsrechte vor? (nur bei über Krane&amp;Raabe produzierte Spots)","")</f>
        <v/>
      </c>
      <c r="F45" s="48"/>
    </row>
    <row r="46" spans="1:8" ht="22.5" customHeight="1" x14ac:dyDescent="0.2">
      <c r="A46" s="13" t="s">
        <v>484</v>
      </c>
      <c r="B46" s="14" t="s">
        <v>494</v>
      </c>
      <c r="C46" s="14"/>
      <c r="D46" s="40"/>
      <c r="E46" s="55" t="str">
        <f>IF(D46="ja","Soll eine Verpackung eingeplant werden?","")</f>
        <v/>
      </c>
      <c r="F46" s="48" t="s">
        <v>9</v>
      </c>
    </row>
    <row r="47" spans="1:8" ht="23.25" customHeight="1" x14ac:dyDescent="0.2">
      <c r="A47" s="13" t="s">
        <v>484</v>
      </c>
      <c r="B47" s="14" t="s">
        <v>32</v>
      </c>
      <c r="C47" s="14"/>
      <c r="D47" s="39"/>
      <c r="E47" s="77" t="str">
        <f>IF(OR(ISNUMBER(MATCH(D45,AA!$A$64:$A$65,0)),),"Gib hier ggf. den Boosterbetrag ein.","")</f>
        <v/>
      </c>
      <c r="F47" s="76"/>
    </row>
    <row r="48" spans="1:8" x14ac:dyDescent="0.2">
      <c r="A48" s="13" t="s">
        <v>484</v>
      </c>
      <c r="B48" s="14" t="s">
        <v>42</v>
      </c>
      <c r="C48" s="14"/>
      <c r="D48" s="40"/>
      <c r="E48" s="75"/>
    </row>
    <row r="49" spans="1:8" x14ac:dyDescent="0.2">
      <c r="A49" s="13" t="s">
        <v>484</v>
      </c>
      <c r="B49" s="14" t="s">
        <v>114</v>
      </c>
      <c r="C49" s="14"/>
      <c r="D49" s="40"/>
    </row>
    <row r="50" spans="1:8" x14ac:dyDescent="0.2">
      <c r="A50" s="13" t="s">
        <v>484</v>
      </c>
      <c r="B50" s="14" t="s">
        <v>113</v>
      </c>
      <c r="C50" s="14"/>
      <c r="D50" s="42"/>
      <c r="E50" s="47" t="str">
        <f>IF(OR(D45=AA!$A$42,D45=AA!$A$44,D45=AA!$A$46,D45=AA!$A$47,D45=AA!$A$48,D45=AA!$A$49,D45=AA!$A$50,D45=AA!$A$51,D45=AA!$A$52,D45=AA!$A$53,D45=AA!$A$54,D45=AA!$A$55,D45=AA!$A$56,D45=AA!$A$57,D45=AA!$A$58,D45=AA!$A$59),
"Überprüfe die Einsatzpläne und Uhrzeiten im Hinblick auf Sinnhaftigkeit. (Bspw. keine Promo nach PayOff)",
"")</f>
        <v/>
      </c>
    </row>
    <row r="51" spans="1:8" x14ac:dyDescent="0.2">
      <c r="A51" s="13" t="s">
        <v>484</v>
      </c>
      <c r="B51" s="14" t="s">
        <v>33</v>
      </c>
      <c r="C51" s="14"/>
      <c r="D51" s="43" t="str">
        <f t="array" ref="D51">IFERROR(
  INDEX('Einplanung durch Kombitabelle'!$C$2:$C$411,
        MATCH(1,
          (D44='Einplanung durch Kombitabelle'!$A$2:$A$411)*
          (D45='Einplanung durch Kombitabelle'!$B$2:$B$411),
        0)
  ),
  "Sender/Werbemittel nicht vollständig ausgefüllt"
)</f>
        <v>Sender/Werbemittel nicht vollständig ausgefüllt</v>
      </c>
      <c r="E51" s="81" t="str">
        <f>IF(AND(D44=AA!$A$14,D45=AA!$A$47),"Handelt es sich um einen St. Pauli Backstage Abbinder, Einplanung durch OAP",
IF(AND(D44=AA!$A$13,D45=AA!$A$52),"Handelt es sich um die Radio Hamburg Chartshow, Einplanung durch Dispo",
IF(AND(D44=AA!$A$13,D45=AA!$A$50),"Handelt es sich um ein Radio Hamburg Wettersponsoring oder Citylife, Einplanung durch Dispo",
IF(AND(D44=AA!$A$13,D45=AA!$A$51),"Handelt es sich um ein Radio Hamburg Wettersponsoring oder Citylife, Einplanung durch Dispo",""))))</f>
        <v/>
      </c>
      <c r="F51" s="82"/>
      <c r="G51" s="82"/>
      <c r="H51" s="82"/>
    </row>
    <row r="52" spans="1:8" x14ac:dyDescent="0.2">
      <c r="A52" s="13" t="s">
        <v>484</v>
      </c>
      <c r="B52" s="14" t="s">
        <v>436</v>
      </c>
      <c r="C52" s="14"/>
      <c r="D52" s="71"/>
      <c r="E52" s="83"/>
      <c r="F52" s="84"/>
      <c r="G52" s="84"/>
      <c r="H52" s="84"/>
    </row>
    <row r="53" spans="1:8" x14ac:dyDescent="0.2">
      <c r="A53" s="13" t="s">
        <v>484</v>
      </c>
      <c r="D53" s="30" t="s">
        <v>439</v>
      </c>
      <c r="E53" s="29" t="s">
        <v>417</v>
      </c>
      <c r="F53" s="30" t="s">
        <v>411</v>
      </c>
      <c r="G53" s="29" t="s">
        <v>439</v>
      </c>
      <c r="H53" s="29" t="s">
        <v>417</v>
      </c>
    </row>
    <row r="54" spans="1:8" x14ac:dyDescent="0.2">
      <c r="A54" s="13" t="s">
        <v>484</v>
      </c>
      <c r="B54" s="14" t="s">
        <v>63</v>
      </c>
      <c r="C54" s="14"/>
      <c r="D54" s="33"/>
      <c r="E54" s="33"/>
      <c r="F54" s="33"/>
      <c r="G54" s="33"/>
      <c r="H54" s="34"/>
    </row>
    <row r="55" spans="1:8" x14ac:dyDescent="0.2">
      <c r="A55" s="13" t="s">
        <v>484</v>
      </c>
      <c r="D55" s="30" t="s">
        <v>439</v>
      </c>
      <c r="E55" s="30" t="s">
        <v>411</v>
      </c>
      <c r="F55" s="30" t="s">
        <v>439</v>
      </c>
      <c r="G55" s="30" t="s">
        <v>411</v>
      </c>
      <c r="H55" s="30" t="s">
        <v>439</v>
      </c>
    </row>
    <row r="56" spans="1:8" x14ac:dyDescent="0.2">
      <c r="A56" s="13" t="s">
        <v>484</v>
      </c>
      <c r="B56" s="14" t="s">
        <v>64</v>
      </c>
      <c r="C56" s="14"/>
      <c r="D56" s="33"/>
      <c r="E56" s="33"/>
      <c r="F56" s="33"/>
      <c r="G56" s="33"/>
      <c r="H56" s="33"/>
    </row>
    <row r="57" spans="1:8" x14ac:dyDescent="0.2">
      <c r="A57" s="13" t="s">
        <v>484</v>
      </c>
    </row>
    <row r="58" spans="1:8" x14ac:dyDescent="0.2">
      <c r="A58" s="13" t="s">
        <v>484</v>
      </c>
      <c r="B58" s="14" t="s">
        <v>36</v>
      </c>
      <c r="C58" s="14"/>
      <c r="D58" s="33"/>
      <c r="E58" s="14" t="s">
        <v>59</v>
      </c>
      <c r="F58" s="33" t="s">
        <v>91</v>
      </c>
    </row>
    <row r="59" spans="1:8" x14ac:dyDescent="0.2">
      <c r="A59" s="13" t="s">
        <v>484</v>
      </c>
      <c r="B59" s="14" t="s">
        <v>62</v>
      </c>
      <c r="C59" s="14"/>
      <c r="D59" s="21"/>
    </row>
    <row r="60" spans="1:8" x14ac:dyDescent="0.2">
      <c r="A60" s="13" t="s">
        <v>484</v>
      </c>
    </row>
    <row r="61" spans="1:8" ht="68" x14ac:dyDescent="0.2">
      <c r="A61" s="13" t="s">
        <v>484</v>
      </c>
      <c r="B61" s="14"/>
      <c r="C61" s="15" t="s">
        <v>463</v>
      </c>
      <c r="D61" s="33"/>
      <c r="E61" s="16" t="s">
        <v>460</v>
      </c>
      <c r="F61" s="64" t="str">
        <f>IF(OR(D44=AA!$A$17, D44=AA!$A$18), "Möchtest Du nach Abschluss der Kampagne ein Reporting?", "")</f>
        <v/>
      </c>
      <c r="G61" s="48" t="s">
        <v>9</v>
      </c>
    </row>
    <row r="62" spans="1:8" ht="15" customHeight="1" x14ac:dyDescent="0.2">
      <c r="A62" s="13" t="s">
        <v>484</v>
      </c>
      <c r="B62" s="14"/>
      <c r="C62" s="14" t="s">
        <v>453</v>
      </c>
      <c r="D62" s="44"/>
      <c r="E62" s="35"/>
      <c r="F62" s="78" t="str">
        <f>IF(AND(D45=AA!$A$75,D63&lt;&gt;""),"OBACHT! Hinweis für Dispo: Der TKP für den Adserver (AllMediaDesk) beträgt 15 Euro. Bedeutet es muss ein Invest von "&amp;TEXT((D63*15)/1000,"#,##0 €")&amp;" angegeben werden","")</f>
        <v/>
      </c>
      <c r="G62" s="78"/>
      <c r="H62" s="78"/>
    </row>
    <row r="63" spans="1:8" x14ac:dyDescent="0.2">
      <c r="A63" s="13" t="s">
        <v>484</v>
      </c>
      <c r="B63" s="14"/>
      <c r="C63" s="14" t="s">
        <v>555</v>
      </c>
      <c r="D63" s="44"/>
      <c r="E63" s="35"/>
      <c r="F63" s="78"/>
      <c r="G63" s="78"/>
      <c r="H63" s="78"/>
    </row>
    <row r="64" spans="1:8" x14ac:dyDescent="0.2">
      <c r="A64" s="13" t="s">
        <v>484</v>
      </c>
      <c r="B64" s="14"/>
      <c r="C64" s="14" t="s">
        <v>60</v>
      </c>
      <c r="D64" s="46">
        <f>D62+D63</f>
        <v>0</v>
      </c>
      <c r="F64" s="79"/>
      <c r="G64" s="79"/>
      <c r="H64" s="79"/>
    </row>
    <row r="65" spans="1:8" ht="88.5" customHeight="1" x14ac:dyDescent="0.2">
      <c r="A65" s="13" t="s">
        <v>484</v>
      </c>
      <c r="B65" s="14"/>
      <c r="C65" s="17" t="s">
        <v>61</v>
      </c>
      <c r="D65" s="80"/>
      <c r="E65" s="80"/>
      <c r="F65" s="80"/>
      <c r="G65" s="80"/>
      <c r="H65" s="80"/>
    </row>
    <row r="66" spans="1:8" ht="20" x14ac:dyDescent="0.2">
      <c r="A66" s="13" t="s">
        <v>484</v>
      </c>
      <c r="C66" s="73" t="str">
        <f>IF(OR(IFERROR(ISNUMBER(SEARCH(" RMS "," "&amp;$D$5&amp;" ")),FALSE),IFERROR(ISNUMBER(SEARCH(" RMS "," "&amp;$D$6&amp;" ")),FALSE),ISNUMBER(MATCH(D45,AA!$A$64:$A$65,0))),IF(OR(IFERROR(ISNUMBER(SEARCH(" RMS "," "&amp;$D$5&amp;" ")),FALSE),IFERROR(ISNUMBER(SEARCH(" RMS "," "&amp;$D$6&amp;" ")),FALSE)),"Obacht! Produktionen, Influencer und Social-Media dürfen NICHT an die RMS verprovisioniert werden. ","")&amp;IF(ISNUMBER(MATCH(D45,AA!$A$64:$A$65,0)),"Beachte, dass die Summe inkl. Boosterbudget ist.",""),"")</f>
        <v/>
      </c>
    </row>
    <row r="67" spans="1:8" x14ac:dyDescent="0.2">
      <c r="A67" s="13" t="s">
        <v>484</v>
      </c>
      <c r="B67" s="18" t="s">
        <v>37</v>
      </c>
      <c r="C67" s="18"/>
      <c r="D67" s="18" t="s">
        <v>467</v>
      </c>
      <c r="E67" s="18" t="s">
        <v>418</v>
      </c>
      <c r="F67" s="18" t="s">
        <v>90</v>
      </c>
      <c r="G67" s="18" t="s">
        <v>115</v>
      </c>
      <c r="H67" s="18" t="s">
        <v>38</v>
      </c>
    </row>
    <row r="68" spans="1:8" x14ac:dyDescent="0.2">
      <c r="A68" s="13" t="s">
        <v>484</v>
      </c>
      <c r="B68" s="14" t="str">
        <f>IFERROR(
  INDEX('Buchungskenn durch Kombitabelle'!$A$2:$O$47,
        MATCH(D45,'Buchungskenn durch Kombitabelle'!$A$2:$A$47,0),
        MATCH(D44,'Buchungskenn durch Kombitabelle'!$A$1:$O$1,0)
  ),
  "Fehler"
)</f>
        <v>Fehler</v>
      </c>
      <c r="C68" s="14"/>
      <c r="D68" s="35"/>
      <c r="E68" s="74"/>
      <c r="F68" s="21"/>
      <c r="G68" s="24" t="str">
        <f>IF(F68="ja", (D68-(D68*E68))*0.85, IF(F68="nein", D68-(D68*E68), ""))</f>
        <v/>
      </c>
      <c r="H68" s="21"/>
    </row>
    <row r="69" spans="1:8" x14ac:dyDescent="0.2">
      <c r="A69" s="13" t="s">
        <v>484</v>
      </c>
      <c r="B69" s="14" t="s">
        <v>104</v>
      </c>
      <c r="C69" s="14"/>
      <c r="D69" s="35"/>
      <c r="E69" s="74"/>
      <c r="F69" s="21"/>
      <c r="G69" s="24" t="str">
        <f>IF(F69="ja", (D69-(D69*E69))*0.85, IF(F69="nein", D69-(D69*E69), ""))</f>
        <v/>
      </c>
      <c r="H69" s="21"/>
    </row>
    <row r="70" spans="1:8" x14ac:dyDescent="0.2">
      <c r="A70" s="13" t="s">
        <v>484</v>
      </c>
      <c r="B70" s="14"/>
      <c r="C70" s="14"/>
      <c r="D70" s="35"/>
      <c r="E70" s="74"/>
      <c r="F70" s="21"/>
      <c r="G70" s="24" t="str">
        <f>IF(F70="ja", (D70-(D70*E70))*0.85, IF(F70="nein", D70-(D70*E70), ""))</f>
        <v/>
      </c>
      <c r="H70" s="21"/>
    </row>
    <row r="71" spans="1:8" x14ac:dyDescent="0.2">
      <c r="A71" s="13" t="s">
        <v>484</v>
      </c>
      <c r="F71" s="25">
        <f>IF(F68="ja", (D68-(D68*E68)) * 0.15, 0)
+IF(F69="ja", (D69-(D69*E69)) * 0.15, 0)
+IF(F70="ja", (D70-(D70*E70)) * 0.15, 0)</f>
        <v>0</v>
      </c>
      <c r="G71" s="25">
        <f>SUM(G68:G70)</f>
        <v>0</v>
      </c>
    </row>
    <row r="72" spans="1:8" ht="16.5" hidden="1" customHeight="1" thickTop="1" x14ac:dyDescent="0.2">
      <c r="A72" s="19" t="s">
        <v>485</v>
      </c>
      <c r="B72" s="7" t="s">
        <v>523</v>
      </c>
      <c r="C72" s="7"/>
    </row>
    <row r="73" spans="1:8" ht="15" hidden="1" customHeight="1" x14ac:dyDescent="0.2">
      <c r="A73" s="13" t="s">
        <v>485</v>
      </c>
      <c r="E73" s="37" t="s">
        <v>435</v>
      </c>
    </row>
    <row r="74" spans="1:8" hidden="1" x14ac:dyDescent="0.2">
      <c r="A74" s="13" t="s">
        <v>485</v>
      </c>
      <c r="B74" s="14" t="s">
        <v>30</v>
      </c>
      <c r="C74" s="14"/>
      <c r="D74" s="41"/>
      <c r="E74" s="51" t="str">
        <f>IF(D74=AA!$A$18,"WerbemittelPodcast",
    IF(COUNTIF(AA!$A$21:$A$24,D74)&gt;0,"WerbemittelEvents",
        IF(OR(D74=AA!$A$17,D74=AA!$A$11,D74=AA!$A$12),
            IF(D74=AA!$A$17,"WerbemittelOA","WerbemittelKombi"),
            "WerbemittelUKW")))</f>
        <v>WerbemittelUKW</v>
      </c>
      <c r="F74" s="55" t="str">
        <f>IF(OR(AA!$A$21=D74, AA!$A$22=D74, AA!$A$23=D74, AA!$A$24=D74), "Bitte gib die Event- Kostenstelle ein", "")</f>
        <v/>
      </c>
      <c r="G74" s="72"/>
    </row>
    <row r="75" spans="1:8" ht="33.75" hidden="1" customHeight="1" x14ac:dyDescent="0.2">
      <c r="A75" s="13" t="s">
        <v>485</v>
      </c>
      <c r="B75" s="14" t="s">
        <v>31</v>
      </c>
      <c r="C75" s="14"/>
      <c r="D75" s="40"/>
      <c r="E75" s="55" t="str">
        <f>IF(OR(ISNUMBER(MATCH(D75,AA!$A$33:$A$41,0)),ISNUMBER(MATCH(D75,AA!$A$48,0)),ISNUMBER(MATCH(D75,AA!$A$55:$A$59,0)),ISNUMBER(MATCH(D75,AA!$A$69:$A$78,0))),"Liegen die Nutzungsrechte vor? (nur bei über Krane&amp;Raabe produzierte Spots)","")</f>
        <v/>
      </c>
      <c r="F75" s="48"/>
    </row>
    <row r="76" spans="1:8" ht="22.5" hidden="1" customHeight="1" x14ac:dyDescent="0.2">
      <c r="A76" s="13" t="s">
        <v>485</v>
      </c>
      <c r="B76" s="14" t="s">
        <v>494</v>
      </c>
      <c r="C76" s="14"/>
      <c r="D76" s="40"/>
      <c r="E76" s="55" t="str">
        <f>IF(D76="ja","Soll eine Verpackung eingeplant werden?","")</f>
        <v/>
      </c>
      <c r="F76" s="48" t="s">
        <v>9</v>
      </c>
    </row>
    <row r="77" spans="1:8" ht="24" hidden="1" customHeight="1" x14ac:dyDescent="0.2">
      <c r="A77" s="13" t="s">
        <v>485</v>
      </c>
      <c r="B77" s="14" t="s">
        <v>32</v>
      </c>
      <c r="C77" s="14"/>
      <c r="D77" s="39"/>
      <c r="E77" s="77" t="str">
        <f>IF(OR(ISNUMBER(MATCH(D75,AA!$A$64:$A$65,0)),),"Gib hier ggf. den Boosterbetrag ein.","")</f>
        <v/>
      </c>
      <c r="F77" s="76"/>
    </row>
    <row r="78" spans="1:8" ht="15" hidden="1" customHeight="1" x14ac:dyDescent="0.2">
      <c r="A78" s="13" t="s">
        <v>485</v>
      </c>
      <c r="B78" s="14" t="s">
        <v>42</v>
      </c>
      <c r="C78" s="14"/>
      <c r="D78" s="40"/>
    </row>
    <row r="79" spans="1:8" ht="15" hidden="1" customHeight="1" x14ac:dyDescent="0.2">
      <c r="A79" s="13" t="s">
        <v>485</v>
      </c>
      <c r="B79" s="14" t="s">
        <v>114</v>
      </c>
      <c r="C79" s="14"/>
      <c r="D79" s="40"/>
    </row>
    <row r="80" spans="1:8" ht="15" hidden="1" customHeight="1" x14ac:dyDescent="0.2">
      <c r="A80" s="13" t="s">
        <v>485</v>
      </c>
      <c r="B80" s="14" t="s">
        <v>113</v>
      </c>
      <c r="C80" s="14"/>
      <c r="D80" s="42"/>
      <c r="E80" s="47" t="str">
        <f>IF(OR(D75=AA!$A$42,D75=AA!$A$44,D75=AA!$A$46,D75=AA!$A$47,D75=AA!$A$48,D75=AA!$A$49,D75=AA!$A$50,D75=AA!$A$51,D75=AA!$A$52,D75=AA!$A$53,D75=AA!$A$54,D75=AA!$A$55,D75=AA!$A$56,D75=AA!$A$57,D75=AA!$A$58,D75=AA!$A$59),
"Überprüfe die Einsatzpläne und Uhrzeiten im Hinblick auf Sinnhaftigkeit. (Bspw. keine Promo nach PayOff)",
"")</f>
        <v/>
      </c>
    </row>
    <row r="81" spans="1:8" ht="15" hidden="1" customHeight="1" x14ac:dyDescent="0.2">
      <c r="A81" s="13" t="s">
        <v>485</v>
      </c>
      <c r="B81" s="14" t="s">
        <v>33</v>
      </c>
      <c r="C81" s="14"/>
      <c r="D81" s="43" t="str">
        <f t="array" ref="D81">IFERROR(
  INDEX('Einplanung durch Kombitabelle'!$C$2:$C$411,
        MATCH(1,
          (D74='Einplanung durch Kombitabelle'!$A$2:$A$411)*
          (D75='Einplanung durch Kombitabelle'!$B$2:$B$411),
        0)
  ),
  "Sender/Werbemittel nicht vollständig ausgefüllt"
)</f>
        <v>Sender/Werbemittel nicht vollständig ausgefüllt</v>
      </c>
      <c r="E81" s="81" t="str">
        <f>IF(AND(D74=AA!$A$14,D75=AA!$A$47),"Handelt es sich um einen St. Pauli Backstage Abbinder, Einplanung durch OAP",
IF(AND(D74=AA!$A$13,D75=AA!$A$52),"Handelt es sich um die Radio Hamburg Chartshow, Einplanung durch Dispo",
IF(AND(D74=AA!$A$13,D75=AA!$A$50),"Handelt es sich um ein Radio Hamburg Wettersponsoring oder Citylife, Einplanung durch Dispo",
IF(AND(D74=AA!$A$13,D75=AA!$A$51),"Handelt es sich um ein Radio Hamburg Wettersponsoring oder Citylife, Einplanung durch Dispo",""))))</f>
        <v/>
      </c>
      <c r="F81" s="82"/>
      <c r="G81" s="82"/>
      <c r="H81" s="82"/>
    </row>
    <row r="82" spans="1:8" hidden="1" x14ac:dyDescent="0.2">
      <c r="A82" s="13" t="s">
        <v>485</v>
      </c>
      <c r="B82" s="14" t="s">
        <v>436</v>
      </c>
      <c r="C82" s="14"/>
      <c r="D82" s="71"/>
      <c r="E82" s="83"/>
      <c r="F82" s="84"/>
      <c r="G82" s="84"/>
      <c r="H82" s="84"/>
    </row>
    <row r="83" spans="1:8" ht="15" hidden="1" customHeight="1" x14ac:dyDescent="0.2">
      <c r="A83" s="13" t="s">
        <v>485</v>
      </c>
      <c r="D83" s="30" t="s">
        <v>439</v>
      </c>
      <c r="E83" s="29" t="s">
        <v>417</v>
      </c>
      <c r="F83" s="30" t="s">
        <v>411</v>
      </c>
      <c r="G83" s="29" t="s">
        <v>439</v>
      </c>
      <c r="H83" s="29" t="s">
        <v>417</v>
      </c>
    </row>
    <row r="84" spans="1:8" ht="15" hidden="1" customHeight="1" x14ac:dyDescent="0.2">
      <c r="A84" s="13" t="s">
        <v>485</v>
      </c>
      <c r="B84" s="14" t="s">
        <v>63</v>
      </c>
      <c r="C84" s="14"/>
      <c r="D84" s="33"/>
      <c r="E84" s="33"/>
      <c r="F84" s="33"/>
      <c r="G84" s="33"/>
      <c r="H84" s="34"/>
    </row>
    <row r="85" spans="1:8" ht="15" hidden="1" customHeight="1" x14ac:dyDescent="0.2">
      <c r="A85" s="13" t="s">
        <v>485</v>
      </c>
      <c r="D85" s="30" t="s">
        <v>439</v>
      </c>
      <c r="E85" s="30" t="s">
        <v>411</v>
      </c>
      <c r="F85" s="30" t="s">
        <v>439</v>
      </c>
      <c r="G85" s="30" t="s">
        <v>411</v>
      </c>
      <c r="H85" s="30" t="s">
        <v>439</v>
      </c>
    </row>
    <row r="86" spans="1:8" ht="15" hidden="1" customHeight="1" x14ac:dyDescent="0.2">
      <c r="A86" s="13" t="s">
        <v>485</v>
      </c>
      <c r="B86" s="14" t="s">
        <v>64</v>
      </c>
      <c r="C86" s="14"/>
      <c r="D86" s="33"/>
      <c r="E86" s="33"/>
      <c r="F86" s="33"/>
      <c r="G86" s="33"/>
      <c r="H86" s="33"/>
    </row>
    <row r="87" spans="1:8" ht="15" hidden="1" customHeight="1" x14ac:dyDescent="0.2">
      <c r="A87" s="13" t="s">
        <v>485</v>
      </c>
    </row>
    <row r="88" spans="1:8" ht="15" hidden="1" customHeight="1" x14ac:dyDescent="0.2">
      <c r="A88" s="13" t="s">
        <v>485</v>
      </c>
      <c r="B88" s="14" t="s">
        <v>36</v>
      </c>
      <c r="C88" s="14"/>
      <c r="D88" s="33"/>
      <c r="E88" s="14" t="s">
        <v>59</v>
      </c>
      <c r="F88" s="33" t="s">
        <v>91</v>
      </c>
    </row>
    <row r="89" spans="1:8" ht="15" hidden="1" customHeight="1" x14ac:dyDescent="0.2">
      <c r="A89" s="13" t="s">
        <v>485</v>
      </c>
      <c r="B89" s="14" t="s">
        <v>62</v>
      </c>
      <c r="C89" s="14"/>
      <c r="D89" s="21"/>
    </row>
    <row r="90" spans="1:8" ht="15" hidden="1" customHeight="1" x14ac:dyDescent="0.2">
      <c r="A90" s="13" t="s">
        <v>485</v>
      </c>
    </row>
    <row r="91" spans="1:8" ht="75.75" hidden="1" customHeight="1" x14ac:dyDescent="0.2">
      <c r="A91" s="13" t="s">
        <v>485</v>
      </c>
      <c r="B91" s="14"/>
      <c r="C91" s="15" t="s">
        <v>463</v>
      </c>
      <c r="D91" s="33"/>
      <c r="E91" s="16" t="s">
        <v>460</v>
      </c>
      <c r="F91" s="64" t="str">
        <f>IF(OR(D74=AA!$A$17, D74=AA!$A$18), "Möchtest Du nach Abschluss der Kampagne ein Reporting?", "")</f>
        <v/>
      </c>
      <c r="G91" s="48" t="s">
        <v>9</v>
      </c>
    </row>
    <row r="92" spans="1:8" ht="15" hidden="1" customHeight="1" x14ac:dyDescent="0.2">
      <c r="A92" s="13" t="s">
        <v>485</v>
      </c>
      <c r="B92" s="14"/>
      <c r="C92" s="14" t="s">
        <v>453</v>
      </c>
      <c r="D92" s="44"/>
      <c r="E92" s="35"/>
      <c r="F92" s="78" t="str">
        <f>IF(AND(D75=AA!$A$75,D93&lt;&gt;""),"OBACHT! Hinweis für Dispo: Der TKP für den Adserver (AllMediaDesk) beträgt 15 Euro. Bedeutet es muss ein Invest von "&amp;TEXT((D93*15)/1000,"#,##0 €")&amp;" angegeben werden","")</f>
        <v/>
      </c>
      <c r="G92" s="78"/>
      <c r="H92" s="78"/>
    </row>
    <row r="93" spans="1:8" ht="15" hidden="1" customHeight="1" x14ac:dyDescent="0.2">
      <c r="A93" s="13" t="s">
        <v>485</v>
      </c>
      <c r="B93" s="14"/>
      <c r="C93" s="14" t="s">
        <v>555</v>
      </c>
      <c r="D93" s="44"/>
      <c r="E93" s="35"/>
      <c r="F93" s="78"/>
      <c r="G93" s="78"/>
      <c r="H93" s="78"/>
    </row>
    <row r="94" spans="1:8" ht="15" hidden="1" customHeight="1" x14ac:dyDescent="0.2">
      <c r="A94" s="13" t="s">
        <v>485</v>
      </c>
      <c r="B94" s="14"/>
      <c r="C94" s="14" t="s">
        <v>60</v>
      </c>
      <c r="D94" s="46">
        <f>D92+D93</f>
        <v>0</v>
      </c>
      <c r="F94" s="79"/>
      <c r="G94" s="79"/>
      <c r="H94" s="79"/>
    </row>
    <row r="95" spans="1:8" ht="88.5" hidden="1" customHeight="1" x14ac:dyDescent="0.2">
      <c r="A95" s="13" t="s">
        <v>485</v>
      </c>
      <c r="B95" s="14"/>
      <c r="C95" s="17" t="s">
        <v>61</v>
      </c>
      <c r="D95" s="80"/>
      <c r="E95" s="80"/>
      <c r="F95" s="80"/>
      <c r="G95" s="80"/>
      <c r="H95" s="80"/>
    </row>
    <row r="96" spans="1:8" ht="20" hidden="1" x14ac:dyDescent="0.2">
      <c r="A96" s="13" t="s">
        <v>485</v>
      </c>
      <c r="C96" s="73" t="str">
        <f>IF(OR(IFERROR(ISNUMBER(SEARCH(" RMS "," "&amp;$D$5&amp;" ")),FALSE),IFERROR(ISNUMBER(SEARCH(" RMS "," "&amp;$D$6&amp;" ")),FALSE),ISNUMBER(MATCH(D75,AA!$A$64:$A$65,0))),IF(OR(IFERROR(ISNUMBER(SEARCH(" RMS "," "&amp;$D$5&amp;" ")),FALSE),IFERROR(ISNUMBER(SEARCH(" RMS "," "&amp;$D$6&amp;" ")),FALSE)),"Obacht! Produktionen, Influencer und Social-Media dürfen NICHT an die RMS verprovisioniert werden. ","")&amp;IF(ISNUMBER(MATCH(D75,AA!$A$64:$A$65,0)),"Beachte, dass die Summe inkl. Boosterbudget ist.",""),"")</f>
        <v/>
      </c>
    </row>
    <row r="97" spans="1:8" ht="15.75" hidden="1" customHeight="1" x14ac:dyDescent="0.2">
      <c r="A97" s="13" t="s">
        <v>485</v>
      </c>
      <c r="B97" s="18" t="s">
        <v>37</v>
      </c>
      <c r="C97" s="18"/>
      <c r="D97" s="18" t="s">
        <v>467</v>
      </c>
      <c r="E97" s="18" t="s">
        <v>418</v>
      </c>
      <c r="F97" s="18" t="s">
        <v>90</v>
      </c>
      <c r="G97" s="18" t="s">
        <v>115</v>
      </c>
      <c r="H97" s="18" t="s">
        <v>38</v>
      </c>
    </row>
    <row r="98" spans="1:8" ht="15" hidden="1" customHeight="1" x14ac:dyDescent="0.2">
      <c r="A98" s="13" t="s">
        <v>485</v>
      </c>
      <c r="B98" s="14" t="str">
        <f>IFERROR(
  INDEX('Buchungskenn durch Kombitabelle'!$A$2:$O$47,
        MATCH(D75,'Buchungskenn durch Kombitabelle'!$A$2:$A$47,0),
        MATCH(D74,'Buchungskenn durch Kombitabelle'!$A$1:$O$1,0)
  ),
  "Fehler"
)</f>
        <v>Fehler</v>
      </c>
      <c r="C98" s="14"/>
      <c r="D98" s="35"/>
      <c r="E98" s="74"/>
      <c r="F98" s="21"/>
      <c r="G98" s="24" t="str">
        <f>IF(F98="ja", (D98-(D98*E98))*0.85, IF(F98="nein", D98-(D98*E98), ""))</f>
        <v/>
      </c>
      <c r="H98" s="21"/>
    </row>
    <row r="99" spans="1:8" ht="15" hidden="1" customHeight="1" x14ac:dyDescent="0.2">
      <c r="A99" s="13" t="s">
        <v>485</v>
      </c>
      <c r="B99" s="14" t="s">
        <v>104</v>
      </c>
      <c r="C99" s="14"/>
      <c r="D99" s="35"/>
      <c r="E99" s="74"/>
      <c r="F99" s="21"/>
      <c r="G99" s="24" t="str">
        <f>IF(F99="ja", (D99-(D99*E99))*0.85, IF(F99="nein", D99-(D99*E99), ""))</f>
        <v/>
      </c>
      <c r="H99" s="21"/>
    </row>
    <row r="100" spans="1:8" ht="15" hidden="1" customHeight="1" x14ac:dyDescent="0.2">
      <c r="A100" s="13" t="s">
        <v>485</v>
      </c>
      <c r="B100" s="14"/>
      <c r="C100" s="14"/>
      <c r="D100" s="35"/>
      <c r="E100" s="74"/>
      <c r="F100" s="21"/>
      <c r="G100" s="24" t="str">
        <f>IF(F100="ja", (D100-(D100*E100))*0.85, IF(F100="nein", D100-(D100*E100), ""))</f>
        <v/>
      </c>
      <c r="H100" s="21"/>
    </row>
    <row r="101" spans="1:8" ht="15.75" hidden="1" customHeight="1" thickBot="1" x14ac:dyDescent="0.25">
      <c r="A101" s="13" t="s">
        <v>485</v>
      </c>
      <c r="F101" s="25">
        <f>IF(F98="ja", (D98-(D98*E98)) * 0.15, 0)
+IF(F99="ja", (D99-(D99*E99)) * 0.15, 0)
+IF(F100="ja", (D100-(D100*E100)) * 0.15, 0)</f>
        <v>0</v>
      </c>
      <c r="G101" s="25">
        <f>SUM(G98:G100)</f>
        <v>0</v>
      </c>
    </row>
    <row r="102" spans="1:8" ht="16.5" hidden="1" customHeight="1" thickTop="1" x14ac:dyDescent="0.2">
      <c r="A102" s="19" t="s">
        <v>486</v>
      </c>
      <c r="B102" s="7" t="s">
        <v>523</v>
      </c>
      <c r="C102" s="7"/>
    </row>
    <row r="103" spans="1:8" ht="15" hidden="1" customHeight="1" x14ac:dyDescent="0.2">
      <c r="A103" s="13" t="s">
        <v>486</v>
      </c>
      <c r="E103" s="37" t="s">
        <v>435</v>
      </c>
    </row>
    <row r="104" spans="1:8" hidden="1" x14ac:dyDescent="0.2">
      <c r="A104" s="13" t="s">
        <v>486</v>
      </c>
      <c r="B104" s="14" t="s">
        <v>30</v>
      </c>
      <c r="C104" s="14"/>
      <c r="D104" s="41"/>
      <c r="E104" s="51" t="str">
        <f>IF(D104=AA!$A$18,"WerbemittelPodcast",
    IF(COUNTIF(AA!$A$21:$A$24,D104)&gt;0,"WerbemittelEvents",
        IF(OR(D104=AA!$A$17,D104=AA!$A$11,D104=AA!$A$12),
            IF(D104=AA!$A$17,"WerbemittelOA","WerbemittelKombi"),
            "WerbemittelUKW")))</f>
        <v>WerbemittelUKW</v>
      </c>
      <c r="F104" s="55" t="str">
        <f>IF(OR(AA!$A$21=D104, AA!$A$22=D104, AA!$A$23=D104, AA!$A$24=D104), "Bitte gib die Event- Kostenstelle ein", "")</f>
        <v/>
      </c>
      <c r="G104" s="72"/>
    </row>
    <row r="105" spans="1:8" ht="33.75" hidden="1" customHeight="1" x14ac:dyDescent="0.2">
      <c r="A105" s="13" t="s">
        <v>486</v>
      </c>
      <c r="B105" s="14" t="s">
        <v>31</v>
      </c>
      <c r="C105" s="14"/>
      <c r="D105" s="40"/>
      <c r="E105" s="55" t="str">
        <f>IF(OR(ISNUMBER(MATCH(D105,AA!$A$33:$A$41,0)),ISNUMBER(MATCH(D105,AA!$A$48,0)),ISNUMBER(MATCH(D105,AA!$A$55:$A$59,0)),ISNUMBER(MATCH(D105,AA!$A$69:$A$78,0))),"Liegen die Nutzungsrechte vor? (nur bei über Krane&amp;Raabe produzierte Spots)","")</f>
        <v/>
      </c>
      <c r="F105" s="48"/>
    </row>
    <row r="106" spans="1:8" ht="22.5" hidden="1" customHeight="1" x14ac:dyDescent="0.2">
      <c r="A106" s="13" t="s">
        <v>486</v>
      </c>
      <c r="B106" s="14" t="s">
        <v>494</v>
      </c>
      <c r="C106" s="14"/>
      <c r="D106" s="40"/>
      <c r="E106" s="55" t="str">
        <f>IF(D106="ja","Soll eine Verpackung eingeplant werden?","")</f>
        <v/>
      </c>
      <c r="F106" s="48" t="s">
        <v>9</v>
      </c>
    </row>
    <row r="107" spans="1:8" ht="24" hidden="1" customHeight="1" x14ac:dyDescent="0.2">
      <c r="A107" s="13" t="s">
        <v>486</v>
      </c>
      <c r="B107" s="14" t="s">
        <v>32</v>
      </c>
      <c r="C107" s="14"/>
      <c r="D107" s="39"/>
      <c r="E107" s="77" t="str">
        <f>IF(OR(ISNUMBER(MATCH(D105,AA!$A$64:$A$65,0)),),"Gib hier ggf. den Boosterbetrag ein.","")</f>
        <v/>
      </c>
      <c r="F107" s="76"/>
    </row>
    <row r="108" spans="1:8" ht="15" hidden="1" customHeight="1" x14ac:dyDescent="0.2">
      <c r="A108" s="13" t="s">
        <v>486</v>
      </c>
      <c r="B108" s="14" t="s">
        <v>42</v>
      </c>
      <c r="C108" s="14"/>
      <c r="D108" s="40"/>
    </row>
    <row r="109" spans="1:8" ht="15" hidden="1" customHeight="1" x14ac:dyDescent="0.2">
      <c r="A109" s="13" t="s">
        <v>486</v>
      </c>
      <c r="B109" s="14" t="s">
        <v>114</v>
      </c>
      <c r="C109" s="14"/>
      <c r="D109" s="40"/>
    </row>
    <row r="110" spans="1:8" ht="15" hidden="1" customHeight="1" x14ac:dyDescent="0.2">
      <c r="A110" s="13" t="s">
        <v>486</v>
      </c>
      <c r="B110" s="14" t="s">
        <v>113</v>
      </c>
      <c r="C110" s="14"/>
      <c r="D110" s="42"/>
      <c r="E110" s="47" t="str">
        <f>IF(OR(D105=AA!$A$42,D105=AA!$A$44,D105=AA!$A$46,D105=AA!$A$47,D105=AA!$A$48,D105=AA!$A$49,D105=AA!$A$50,D105=AA!$A$51,D105=AA!$A$52,D105=AA!$A$53,D105=AA!$A$54,D105=AA!$A$55,D105=AA!$A$56,D105=AA!$A$57,D105=AA!$A$58,D105=AA!$A$59),
"Überprüfe die Einsatzpläne und Uhrzeiten im Hinblick auf Sinnhaftigkeit. (Bspw. keine Promo nach PayOff)",
"")</f>
        <v/>
      </c>
    </row>
    <row r="111" spans="1:8" ht="15" hidden="1" customHeight="1" x14ac:dyDescent="0.2">
      <c r="A111" s="13" t="s">
        <v>486</v>
      </c>
      <c r="B111" s="14" t="s">
        <v>33</v>
      </c>
      <c r="C111" s="14"/>
      <c r="D111" s="43" t="str">
        <f t="array" ref="D111">IFERROR(
  INDEX('Einplanung durch Kombitabelle'!$C$2:$C$411,
        MATCH(1,
          (D104='Einplanung durch Kombitabelle'!$A$2:$A$411)*
          (D105='Einplanung durch Kombitabelle'!$B$2:$B$411),
        0)
  ),
  "Sender/Werbemittel nicht vollständig ausgefüllt"
)</f>
        <v>Sender/Werbemittel nicht vollständig ausgefüllt</v>
      </c>
      <c r="E111" s="81" t="str">
        <f>IF(AND(D104=AA!$A$14,D105=AA!$A$47),"Handelt es sich um einen St. Pauli Backstage Abbinder, Einplanung durch OAP",
IF(AND(D104=AA!$A$13,D105=AA!$A$52),"Handelt es sich um die Radio Hamburg Chartshow, Einplanung durch Dispo",
IF(AND(D104=AA!$A$13,D105=AA!$A$50),"Handelt es sich um ein Radio Hamburg Wettersponsoring oder Citylife, Einplanung durch Dispo",
IF(AND(D104=AA!$A$13,D105=AA!$A$51),"Handelt es sich um ein Radio Hamburg Wettersponsoring oder Citylife, Einplanung durch Dispo",""))))</f>
        <v/>
      </c>
      <c r="F111" s="82"/>
      <c r="G111" s="82"/>
      <c r="H111" s="82"/>
    </row>
    <row r="112" spans="1:8" hidden="1" x14ac:dyDescent="0.2">
      <c r="A112" s="13" t="s">
        <v>486</v>
      </c>
      <c r="B112" s="14" t="s">
        <v>436</v>
      </c>
      <c r="C112" s="14"/>
      <c r="D112" s="71"/>
      <c r="E112" s="83"/>
      <c r="F112" s="84"/>
      <c r="G112" s="84"/>
      <c r="H112" s="84"/>
    </row>
    <row r="113" spans="1:8" ht="15" hidden="1" customHeight="1" x14ac:dyDescent="0.2">
      <c r="A113" s="13" t="s">
        <v>486</v>
      </c>
      <c r="D113" s="30" t="s">
        <v>439</v>
      </c>
      <c r="E113" s="29" t="s">
        <v>417</v>
      </c>
      <c r="F113" s="30" t="s">
        <v>411</v>
      </c>
      <c r="G113" s="29" t="s">
        <v>439</v>
      </c>
      <c r="H113" s="29" t="s">
        <v>417</v>
      </c>
    </row>
    <row r="114" spans="1:8" ht="15" hidden="1" customHeight="1" x14ac:dyDescent="0.2">
      <c r="A114" s="13" t="s">
        <v>486</v>
      </c>
      <c r="B114" s="14" t="s">
        <v>63</v>
      </c>
      <c r="C114" s="14"/>
      <c r="D114" s="33"/>
      <c r="E114" s="33"/>
      <c r="F114" s="33"/>
      <c r="G114" s="33"/>
      <c r="H114" s="34"/>
    </row>
    <row r="115" spans="1:8" ht="15" hidden="1" customHeight="1" x14ac:dyDescent="0.2">
      <c r="A115" s="13" t="s">
        <v>486</v>
      </c>
      <c r="D115" s="30" t="s">
        <v>439</v>
      </c>
      <c r="E115" s="30" t="s">
        <v>411</v>
      </c>
      <c r="F115" s="30" t="s">
        <v>439</v>
      </c>
      <c r="G115" s="30" t="s">
        <v>411</v>
      </c>
      <c r="H115" s="30" t="s">
        <v>439</v>
      </c>
    </row>
    <row r="116" spans="1:8" ht="15" hidden="1" customHeight="1" x14ac:dyDescent="0.2">
      <c r="A116" s="13" t="s">
        <v>486</v>
      </c>
      <c r="B116" s="14" t="s">
        <v>64</v>
      </c>
      <c r="C116" s="14"/>
      <c r="D116" s="33"/>
      <c r="E116" s="33"/>
      <c r="F116" s="33"/>
      <c r="G116" s="33"/>
      <c r="H116" s="33"/>
    </row>
    <row r="117" spans="1:8" ht="15" hidden="1" customHeight="1" x14ac:dyDescent="0.2">
      <c r="A117" s="13" t="s">
        <v>486</v>
      </c>
    </row>
    <row r="118" spans="1:8" ht="15" hidden="1" customHeight="1" x14ac:dyDescent="0.2">
      <c r="A118" s="13" t="s">
        <v>486</v>
      </c>
      <c r="B118" s="14" t="s">
        <v>36</v>
      </c>
      <c r="C118" s="14"/>
      <c r="D118" s="33"/>
      <c r="E118" s="14" t="s">
        <v>59</v>
      </c>
      <c r="F118" s="33" t="s">
        <v>91</v>
      </c>
    </row>
    <row r="119" spans="1:8" ht="15" hidden="1" customHeight="1" x14ac:dyDescent="0.2">
      <c r="A119" s="13" t="s">
        <v>486</v>
      </c>
      <c r="B119" s="14" t="s">
        <v>62</v>
      </c>
      <c r="C119" s="14"/>
      <c r="D119" s="21"/>
    </row>
    <row r="120" spans="1:8" ht="15" hidden="1" customHeight="1" x14ac:dyDescent="0.2">
      <c r="A120" s="13" t="s">
        <v>486</v>
      </c>
    </row>
    <row r="121" spans="1:8" ht="75.75" hidden="1" customHeight="1" x14ac:dyDescent="0.2">
      <c r="A121" s="13" t="s">
        <v>486</v>
      </c>
      <c r="B121" s="14"/>
      <c r="C121" s="15" t="s">
        <v>463</v>
      </c>
      <c r="D121" s="33"/>
      <c r="E121" s="16" t="s">
        <v>460</v>
      </c>
      <c r="F121" s="64" t="str">
        <f>IF(OR(D104=AA!$A$17, D104=AA!$A$18), "Möchtest Du nach Abschluss der Kampagne ein Reporting?", "")</f>
        <v/>
      </c>
      <c r="G121" s="48" t="s">
        <v>9</v>
      </c>
    </row>
    <row r="122" spans="1:8" ht="15" hidden="1" customHeight="1" x14ac:dyDescent="0.2">
      <c r="A122" s="13" t="s">
        <v>486</v>
      </c>
      <c r="B122" s="14"/>
      <c r="C122" s="14" t="s">
        <v>453</v>
      </c>
      <c r="D122" s="44"/>
      <c r="E122" s="35"/>
      <c r="F122" s="78" t="str">
        <f>IF(AND(D105=AA!$A$75,D123&lt;&gt;""),"OBACHT! Hinweis für Dispo: Der TKP für den Adserver (AllMediaDesk) beträgt 15 Euro. Bedeutet es muss ein Invest von "&amp;TEXT((D123*15)/1000,"#,##0 €")&amp;" angegeben werden","")</f>
        <v/>
      </c>
      <c r="G122" s="78"/>
      <c r="H122" s="78"/>
    </row>
    <row r="123" spans="1:8" ht="15" hidden="1" customHeight="1" x14ac:dyDescent="0.2">
      <c r="A123" s="13" t="s">
        <v>486</v>
      </c>
      <c r="B123" s="14"/>
      <c r="C123" s="14" t="s">
        <v>555</v>
      </c>
      <c r="D123" s="44"/>
      <c r="E123" s="35"/>
      <c r="F123" s="78"/>
      <c r="G123" s="78"/>
      <c r="H123" s="78"/>
    </row>
    <row r="124" spans="1:8" ht="15" hidden="1" customHeight="1" x14ac:dyDescent="0.2">
      <c r="A124" s="13" t="s">
        <v>486</v>
      </c>
      <c r="B124" s="14"/>
      <c r="C124" s="14" t="s">
        <v>60</v>
      </c>
      <c r="D124" s="46">
        <f>D122+D123</f>
        <v>0</v>
      </c>
      <c r="F124" s="79"/>
      <c r="G124" s="79"/>
      <c r="H124" s="79"/>
    </row>
    <row r="125" spans="1:8" ht="88.5" hidden="1" customHeight="1" x14ac:dyDescent="0.2">
      <c r="A125" s="13" t="s">
        <v>486</v>
      </c>
      <c r="B125" s="14"/>
      <c r="C125" s="17" t="s">
        <v>61</v>
      </c>
      <c r="D125" s="80"/>
      <c r="E125" s="80"/>
      <c r="F125" s="80"/>
      <c r="G125" s="80"/>
      <c r="H125" s="80"/>
    </row>
    <row r="126" spans="1:8" ht="20" hidden="1" x14ac:dyDescent="0.2">
      <c r="A126" s="13" t="s">
        <v>486</v>
      </c>
      <c r="C126" s="73" t="str">
        <f>IF(OR(IFERROR(ISNUMBER(SEARCH(" RMS "," "&amp;$D$5&amp;" ")),FALSE),IFERROR(ISNUMBER(SEARCH(" RMS "," "&amp;$D$6&amp;" ")),FALSE),ISNUMBER(MATCH(D105,AA!$A$64:$A$65,0))),IF(OR(IFERROR(ISNUMBER(SEARCH(" RMS "," "&amp;$D$5&amp;" ")),FALSE),IFERROR(ISNUMBER(SEARCH(" RMS "," "&amp;$D$6&amp;" ")),FALSE)),"Obacht! Produktionen, Influencer und Social-Media dürfen NICHT an die RMS verprovisioniert werden. ","")&amp;IF(ISNUMBER(MATCH(D105,AA!$A$64:$A$65,0)),"Beachte, dass die Summe inkl. Boosterbudget ist.",""),"")</f>
        <v/>
      </c>
    </row>
    <row r="127" spans="1:8" ht="15.75" hidden="1" customHeight="1" x14ac:dyDescent="0.2">
      <c r="A127" s="13" t="s">
        <v>486</v>
      </c>
      <c r="B127" s="18" t="s">
        <v>37</v>
      </c>
      <c r="C127" s="18"/>
      <c r="D127" s="18" t="s">
        <v>467</v>
      </c>
      <c r="E127" s="18" t="s">
        <v>418</v>
      </c>
      <c r="F127" s="18" t="s">
        <v>90</v>
      </c>
      <c r="G127" s="18" t="s">
        <v>115</v>
      </c>
      <c r="H127" s="18" t="s">
        <v>38</v>
      </c>
    </row>
    <row r="128" spans="1:8" ht="15" hidden="1" customHeight="1" x14ac:dyDescent="0.2">
      <c r="A128" s="13" t="s">
        <v>486</v>
      </c>
      <c r="B128" s="14" t="str">
        <f>IFERROR(
  INDEX('Buchungskenn durch Kombitabelle'!$A$2:$O$47,
        MATCH(D105,'Buchungskenn durch Kombitabelle'!$A$2:$A$47,0),
        MATCH(D104,'Buchungskenn durch Kombitabelle'!$A$1:$O$1,0)
  ),
  "Fehler"
)</f>
        <v>Fehler</v>
      </c>
      <c r="C128" s="14"/>
      <c r="D128" s="35"/>
      <c r="E128" s="74"/>
      <c r="F128" s="21"/>
      <c r="G128" s="24" t="str">
        <f>IF(F128="ja", (D128-(D128*E128))*0.85, IF(F128="nein", D128-(D128*E128), ""))</f>
        <v/>
      </c>
      <c r="H128" s="21"/>
    </row>
    <row r="129" spans="1:8" ht="15" hidden="1" customHeight="1" x14ac:dyDescent="0.2">
      <c r="A129" s="13" t="s">
        <v>486</v>
      </c>
      <c r="B129" s="14" t="s">
        <v>104</v>
      </c>
      <c r="C129" s="14"/>
      <c r="D129" s="35"/>
      <c r="E129" s="74"/>
      <c r="F129" s="21"/>
      <c r="G129" s="24" t="str">
        <f>IF(F129="ja", (D129-(D129*E129))*0.85, IF(F129="nein", D129-(D129*E129), ""))</f>
        <v/>
      </c>
      <c r="H129" s="21"/>
    </row>
    <row r="130" spans="1:8" ht="15" hidden="1" customHeight="1" x14ac:dyDescent="0.2">
      <c r="A130" s="13" t="s">
        <v>486</v>
      </c>
      <c r="B130" s="14"/>
      <c r="C130" s="14"/>
      <c r="D130" s="35"/>
      <c r="E130" s="74"/>
      <c r="F130" s="21"/>
      <c r="G130" s="24" t="str">
        <f>IF(F130="ja", (D130-(D130*E130))*0.85, IF(F130="nein", D130-(D130*E130), ""))</f>
        <v/>
      </c>
      <c r="H130" s="21"/>
    </row>
    <row r="131" spans="1:8" ht="15.75" hidden="1" customHeight="1" thickBot="1" x14ac:dyDescent="0.25">
      <c r="A131" s="13" t="s">
        <v>486</v>
      </c>
      <c r="F131" s="25">
        <f>IF(F128="ja", (D128-(D128*E128)) * 0.15, 0)
+IF(F129="ja", (D129-(D129*E129)) * 0.15, 0)
+IF(F130="ja", (D130-(D130*E130)) * 0.15, 0)</f>
        <v>0</v>
      </c>
      <c r="G131" s="25">
        <f>SUM(G128:G130)</f>
        <v>0</v>
      </c>
    </row>
    <row r="132" spans="1:8" ht="16.5" hidden="1" customHeight="1" thickTop="1" x14ac:dyDescent="0.2">
      <c r="A132" s="19" t="s">
        <v>487</v>
      </c>
      <c r="B132" s="7" t="s">
        <v>523</v>
      </c>
      <c r="C132" s="7"/>
    </row>
    <row r="133" spans="1:8" ht="15" hidden="1" customHeight="1" x14ac:dyDescent="0.2">
      <c r="A133" s="13" t="s">
        <v>487</v>
      </c>
      <c r="E133" s="37" t="s">
        <v>435</v>
      </c>
    </row>
    <row r="134" spans="1:8" hidden="1" x14ac:dyDescent="0.2">
      <c r="A134" s="13" t="s">
        <v>487</v>
      </c>
      <c r="B134" s="14" t="s">
        <v>30</v>
      </c>
      <c r="C134" s="14"/>
      <c r="D134" s="41"/>
      <c r="E134" s="51" t="str">
        <f>IF(D134=AA!$A$18,"WerbemittelPodcast",
    IF(COUNTIF(AA!$A$21:$A$24,D134)&gt;0,"WerbemittelEvents",
        IF(OR(D134=AA!$A$17,D134=AA!$A$11,D134=AA!$A$12),
            IF(D134=AA!$A$17,"WerbemittelOA","WerbemittelKombi"),
            "WerbemittelUKW")))</f>
        <v>WerbemittelUKW</v>
      </c>
      <c r="F134" s="55" t="str">
        <f>IF(OR(AA!$A$21=D134, AA!$A$22=D134, AA!$A$23=D134, AA!$A$24=D134), "Bitte gib die Event- Kostenstelle ein", "")</f>
        <v/>
      </c>
      <c r="G134" s="72"/>
    </row>
    <row r="135" spans="1:8" ht="33.75" hidden="1" customHeight="1" x14ac:dyDescent="0.2">
      <c r="A135" s="13" t="s">
        <v>487</v>
      </c>
      <c r="B135" s="14" t="s">
        <v>31</v>
      </c>
      <c r="C135" s="14"/>
      <c r="D135" s="40"/>
      <c r="E135" s="55" t="str">
        <f>IF(OR(ISNUMBER(MATCH(D135,AA!$A$33:$A$41,0)),ISNUMBER(MATCH(D135,AA!$A$48,0)),ISNUMBER(MATCH(D135,AA!$A$55:$A$59,0)),ISNUMBER(MATCH(D135,AA!$A$69:$A$78,0))),"Liegen die Nutzungsrechte vor? (nur bei über Krane&amp;Raabe produzierte Spots)","")</f>
        <v/>
      </c>
      <c r="F135" s="48"/>
    </row>
    <row r="136" spans="1:8" ht="22.5" hidden="1" customHeight="1" x14ac:dyDescent="0.2">
      <c r="A136" s="13" t="s">
        <v>487</v>
      </c>
      <c r="B136" s="14" t="s">
        <v>494</v>
      </c>
      <c r="C136" s="14"/>
      <c r="D136" s="40"/>
      <c r="E136" s="55" t="str">
        <f>IF(D136="ja","Soll eine Verpackung eingeplant werden?","")</f>
        <v/>
      </c>
      <c r="F136" s="48" t="s">
        <v>9</v>
      </c>
    </row>
    <row r="137" spans="1:8" ht="24" hidden="1" customHeight="1" x14ac:dyDescent="0.2">
      <c r="A137" s="13" t="s">
        <v>487</v>
      </c>
      <c r="B137" s="14" t="s">
        <v>32</v>
      </c>
      <c r="C137" s="14"/>
      <c r="D137" s="39"/>
      <c r="E137" s="77" t="str">
        <f>IF(OR(ISNUMBER(MATCH(D135,AA!$A$64:$A$65,0)),),"Gib hier ggf. den Boosterbetrag ein.","")</f>
        <v/>
      </c>
      <c r="F137" s="76"/>
    </row>
    <row r="138" spans="1:8" ht="15" hidden="1" customHeight="1" x14ac:dyDescent="0.2">
      <c r="A138" s="13" t="s">
        <v>487</v>
      </c>
      <c r="B138" s="14" t="s">
        <v>42</v>
      </c>
      <c r="C138" s="14"/>
      <c r="D138" s="40"/>
    </row>
    <row r="139" spans="1:8" ht="15" hidden="1" customHeight="1" x14ac:dyDescent="0.2">
      <c r="A139" s="13" t="s">
        <v>487</v>
      </c>
      <c r="B139" s="14" t="s">
        <v>114</v>
      </c>
      <c r="C139" s="14"/>
      <c r="D139" s="40"/>
    </row>
    <row r="140" spans="1:8" ht="15" hidden="1" customHeight="1" x14ac:dyDescent="0.2">
      <c r="A140" s="13" t="s">
        <v>487</v>
      </c>
      <c r="B140" s="14" t="s">
        <v>113</v>
      </c>
      <c r="C140" s="14"/>
      <c r="D140" s="42"/>
      <c r="E140" s="47" t="str">
        <f>IF(OR(D135=AA!$A$42,D135=AA!$A$44,D135=AA!$A$46,D135=AA!$A$47,D135=AA!$A$48,D135=AA!$A$49,D135=AA!$A$50,D135=AA!$A$51,D135=AA!$A$52,D135=AA!$A$53,D135=AA!$A$54,D135=AA!$A$55,D135=AA!$A$56,D135=AA!$A$57,D135=AA!$A$58,D135=AA!$A$59),
"Überprüfe die Einsatzpläne und Uhrzeiten im Hinblick auf Sinnhaftigkeit. (Bspw. keine Promo nach PayOff)",
"")</f>
        <v/>
      </c>
    </row>
    <row r="141" spans="1:8" ht="15" hidden="1" customHeight="1" x14ac:dyDescent="0.2">
      <c r="A141" s="13" t="s">
        <v>487</v>
      </c>
      <c r="B141" s="14" t="s">
        <v>33</v>
      </c>
      <c r="C141" s="14"/>
      <c r="D141" s="43" t="str">
        <f t="array" ref="D141">IFERROR(
  INDEX('Einplanung durch Kombitabelle'!$C$2:$C$411,
        MATCH(1,
          (D134='Einplanung durch Kombitabelle'!$A$2:$A$411)*
          (D135='Einplanung durch Kombitabelle'!$B$2:$B$411),
        0)
  ),
  "Sender/Werbemittel nicht vollständig ausgefüllt"
)</f>
        <v>Sender/Werbemittel nicht vollständig ausgefüllt</v>
      </c>
      <c r="E141" s="81" t="str">
        <f>IF(AND(D134=AA!$A$14,D135=AA!$A$47),"Handelt es sich um einen St. Pauli Backstage Abbinder, Einplanung durch OAP",
IF(AND(D134=AA!$A$13,D135=AA!$A$52),"Handelt es sich um die Radio Hamburg Chartshow, Einplanung durch Dispo",
IF(AND(D134=AA!$A$13,D135=AA!$A$50),"Handelt es sich um ein Radio Hamburg Wettersponsoring oder Citylife, Einplanung durch Dispo",
IF(AND(D134=AA!$A$13,D135=AA!$A$51),"Handelt es sich um ein Radio Hamburg Wettersponsoring oder Citylife, Einplanung durch Dispo",""))))</f>
        <v/>
      </c>
      <c r="F141" s="82"/>
      <c r="G141" s="82"/>
      <c r="H141" s="82"/>
    </row>
    <row r="142" spans="1:8" hidden="1" x14ac:dyDescent="0.2">
      <c r="A142" s="13" t="s">
        <v>487</v>
      </c>
      <c r="B142" s="14" t="s">
        <v>436</v>
      </c>
      <c r="C142" s="14"/>
      <c r="D142" s="71"/>
      <c r="E142" s="83"/>
      <c r="F142" s="84"/>
      <c r="G142" s="84"/>
      <c r="H142" s="84"/>
    </row>
    <row r="143" spans="1:8" ht="15" hidden="1" customHeight="1" x14ac:dyDescent="0.2">
      <c r="A143" s="13" t="s">
        <v>487</v>
      </c>
      <c r="D143" s="30" t="s">
        <v>439</v>
      </c>
      <c r="E143" s="29" t="s">
        <v>417</v>
      </c>
      <c r="F143" s="30" t="s">
        <v>411</v>
      </c>
      <c r="G143" s="29" t="s">
        <v>439</v>
      </c>
      <c r="H143" s="29" t="s">
        <v>417</v>
      </c>
    </row>
    <row r="144" spans="1:8" ht="15" hidden="1" customHeight="1" x14ac:dyDescent="0.2">
      <c r="A144" s="13" t="s">
        <v>487</v>
      </c>
      <c r="B144" s="14" t="s">
        <v>63</v>
      </c>
      <c r="C144" s="14"/>
      <c r="D144" s="33"/>
      <c r="E144" s="33"/>
      <c r="F144" s="33"/>
      <c r="G144" s="33"/>
      <c r="H144" s="34"/>
    </row>
    <row r="145" spans="1:8" ht="15" hidden="1" customHeight="1" x14ac:dyDescent="0.2">
      <c r="A145" s="13" t="s">
        <v>487</v>
      </c>
      <c r="D145" s="30" t="s">
        <v>439</v>
      </c>
      <c r="E145" s="30" t="s">
        <v>411</v>
      </c>
      <c r="F145" s="30" t="s">
        <v>439</v>
      </c>
      <c r="G145" s="30" t="s">
        <v>411</v>
      </c>
      <c r="H145" s="30" t="s">
        <v>439</v>
      </c>
    </row>
    <row r="146" spans="1:8" ht="15" hidden="1" customHeight="1" x14ac:dyDescent="0.2">
      <c r="A146" s="13" t="s">
        <v>487</v>
      </c>
      <c r="B146" s="14" t="s">
        <v>64</v>
      </c>
      <c r="C146" s="14"/>
      <c r="D146" s="33"/>
      <c r="E146" s="33"/>
      <c r="F146" s="33"/>
      <c r="G146" s="33"/>
      <c r="H146" s="33"/>
    </row>
    <row r="147" spans="1:8" ht="15" hidden="1" customHeight="1" x14ac:dyDescent="0.2">
      <c r="A147" s="13" t="s">
        <v>487</v>
      </c>
    </row>
    <row r="148" spans="1:8" ht="15" hidden="1" customHeight="1" x14ac:dyDescent="0.2">
      <c r="A148" s="13" t="s">
        <v>487</v>
      </c>
      <c r="B148" s="14" t="s">
        <v>36</v>
      </c>
      <c r="C148" s="14"/>
      <c r="D148" s="33"/>
      <c r="E148" s="14" t="s">
        <v>59</v>
      </c>
      <c r="F148" s="33" t="s">
        <v>91</v>
      </c>
    </row>
    <row r="149" spans="1:8" ht="15" hidden="1" customHeight="1" x14ac:dyDescent="0.2">
      <c r="A149" s="13" t="s">
        <v>487</v>
      </c>
      <c r="B149" s="14" t="s">
        <v>62</v>
      </c>
      <c r="C149" s="14"/>
      <c r="D149" s="21"/>
    </row>
    <row r="150" spans="1:8" ht="15" hidden="1" customHeight="1" x14ac:dyDescent="0.2">
      <c r="A150" s="13" t="s">
        <v>487</v>
      </c>
    </row>
    <row r="151" spans="1:8" ht="75.75" hidden="1" customHeight="1" x14ac:dyDescent="0.2">
      <c r="A151" s="13" t="s">
        <v>487</v>
      </c>
      <c r="B151" s="14"/>
      <c r="C151" s="15" t="s">
        <v>463</v>
      </c>
      <c r="D151" s="33"/>
      <c r="E151" s="16" t="s">
        <v>460</v>
      </c>
      <c r="F151" s="64" t="str">
        <f>IF(OR(D134=AA!$A$17, D134=AA!$A$18), "Möchtest Du nach Abschluss der Kampagne ein Reporting?", "")</f>
        <v/>
      </c>
      <c r="G151" s="48" t="s">
        <v>9</v>
      </c>
    </row>
    <row r="152" spans="1:8" ht="15" hidden="1" customHeight="1" x14ac:dyDescent="0.2">
      <c r="A152" s="13" t="s">
        <v>487</v>
      </c>
      <c r="B152" s="14"/>
      <c r="C152" s="14" t="s">
        <v>453</v>
      </c>
      <c r="D152" s="44"/>
      <c r="E152" s="35"/>
      <c r="F152" s="78" t="str">
        <f>IF(AND(D135=AA!$A$75,D153&lt;&gt;""),"OBACHT! Hinweis für Dispo: Der TKP für den Adserver (AllMediaDesk) beträgt 15 Euro. Bedeutet es muss ein Invest von "&amp;TEXT((D153*15)/1000,"#,##0 €")&amp;" angegeben werden","")</f>
        <v/>
      </c>
      <c r="G152" s="78"/>
      <c r="H152" s="78"/>
    </row>
    <row r="153" spans="1:8" ht="15" hidden="1" customHeight="1" x14ac:dyDescent="0.2">
      <c r="A153" s="13" t="s">
        <v>487</v>
      </c>
      <c r="B153" s="14"/>
      <c r="C153" s="14" t="s">
        <v>555</v>
      </c>
      <c r="D153" s="44"/>
      <c r="E153" s="35"/>
      <c r="F153" s="78"/>
      <c r="G153" s="78"/>
      <c r="H153" s="78"/>
    </row>
    <row r="154" spans="1:8" ht="15" hidden="1" customHeight="1" x14ac:dyDescent="0.2">
      <c r="A154" s="13" t="s">
        <v>487</v>
      </c>
      <c r="B154" s="14"/>
      <c r="C154" s="14" t="s">
        <v>60</v>
      </c>
      <c r="D154" s="46">
        <f>D152+D153</f>
        <v>0</v>
      </c>
      <c r="F154" s="79"/>
      <c r="G154" s="79"/>
      <c r="H154" s="79"/>
    </row>
    <row r="155" spans="1:8" ht="88.5" hidden="1" customHeight="1" x14ac:dyDescent="0.2">
      <c r="A155" s="13" t="s">
        <v>487</v>
      </c>
      <c r="B155" s="14"/>
      <c r="C155" s="17" t="s">
        <v>61</v>
      </c>
      <c r="D155" s="80"/>
      <c r="E155" s="80"/>
      <c r="F155" s="80"/>
      <c r="G155" s="80"/>
      <c r="H155" s="80"/>
    </row>
    <row r="156" spans="1:8" ht="20" hidden="1" x14ac:dyDescent="0.2">
      <c r="A156" s="13" t="s">
        <v>487</v>
      </c>
      <c r="C156" s="73" t="str">
        <f>IF(OR(IFERROR(ISNUMBER(SEARCH(" RMS "," "&amp;$D$5&amp;" ")),FALSE),IFERROR(ISNUMBER(SEARCH(" RMS "," "&amp;$D$6&amp;" ")),FALSE),ISNUMBER(MATCH(D135,AA!$A$64:$A$65,0))),IF(OR(IFERROR(ISNUMBER(SEARCH(" RMS "," "&amp;$D$5&amp;" ")),FALSE),IFERROR(ISNUMBER(SEARCH(" RMS "," "&amp;$D$6&amp;" ")),FALSE)),"Obacht! Produktionen, Influencer und Social-Media dürfen NICHT an die RMS verprovisioniert werden. ","")&amp;IF(ISNUMBER(MATCH(D135,AA!$A$64:$A$65,0)),"Beachte, dass die Summe inkl. Boosterbudget ist.",""),"")</f>
        <v/>
      </c>
    </row>
    <row r="157" spans="1:8" ht="15.75" hidden="1" customHeight="1" x14ac:dyDescent="0.2">
      <c r="A157" s="13" t="s">
        <v>487</v>
      </c>
      <c r="B157" s="18" t="s">
        <v>37</v>
      </c>
      <c r="C157" s="18"/>
      <c r="D157" s="18" t="s">
        <v>467</v>
      </c>
      <c r="E157" s="18" t="s">
        <v>418</v>
      </c>
      <c r="F157" s="18" t="s">
        <v>90</v>
      </c>
      <c r="G157" s="18" t="s">
        <v>115</v>
      </c>
      <c r="H157" s="18" t="s">
        <v>38</v>
      </c>
    </row>
    <row r="158" spans="1:8" ht="15" hidden="1" customHeight="1" x14ac:dyDescent="0.2">
      <c r="A158" s="13" t="s">
        <v>487</v>
      </c>
      <c r="B158" s="14" t="str">
        <f>IFERROR(
  INDEX('Buchungskenn durch Kombitabelle'!$A$2:$O$47,
        MATCH(D135,'Buchungskenn durch Kombitabelle'!$A$2:$A$47,0),
        MATCH(D134,'Buchungskenn durch Kombitabelle'!$A$1:$O$1,0)
  ),
  "Fehler"
)</f>
        <v>Fehler</v>
      </c>
      <c r="C158" s="14"/>
      <c r="D158" s="35"/>
      <c r="E158" s="74"/>
      <c r="F158" s="21"/>
      <c r="G158" s="24" t="str">
        <f>IF(F158="ja", (D158-(D158*E158))*0.85, IF(F158="nein", D158-(D158*E158), ""))</f>
        <v/>
      </c>
      <c r="H158" s="21"/>
    </row>
    <row r="159" spans="1:8" ht="15" hidden="1" customHeight="1" x14ac:dyDescent="0.2">
      <c r="A159" s="13" t="s">
        <v>487</v>
      </c>
      <c r="B159" s="14" t="s">
        <v>104</v>
      </c>
      <c r="C159" s="14"/>
      <c r="D159" s="35"/>
      <c r="E159" s="74"/>
      <c r="F159" s="21"/>
      <c r="G159" s="24" t="str">
        <f>IF(F159="ja", (D159-(D159*E159))*0.85, IF(F159="nein", D159-(D159*E159), ""))</f>
        <v/>
      </c>
      <c r="H159" s="21"/>
    </row>
    <row r="160" spans="1:8" ht="15" hidden="1" customHeight="1" x14ac:dyDescent="0.2">
      <c r="A160" s="13" t="s">
        <v>487</v>
      </c>
      <c r="B160" s="14"/>
      <c r="C160" s="14"/>
      <c r="D160" s="35"/>
      <c r="E160" s="74"/>
      <c r="F160" s="21"/>
      <c r="G160" s="24" t="str">
        <f>IF(F160="ja", (D160-(D160*E160))*0.85, IF(F160="nein", D160-(D160*E160), ""))</f>
        <v/>
      </c>
      <c r="H160" s="21"/>
    </row>
    <row r="161" spans="1:8" ht="15.75" hidden="1" customHeight="1" thickBot="1" x14ac:dyDescent="0.25">
      <c r="A161" s="13" t="s">
        <v>487</v>
      </c>
      <c r="F161" s="25">
        <f>IF(F158="ja", (D158-(D158*E158)) * 0.15, 0)
+IF(F159="ja", (D159-(D159*E159)) * 0.15, 0)
+IF(F160="ja", (D160-(D160*E160)) * 0.15, 0)</f>
        <v>0</v>
      </c>
      <c r="G161" s="25">
        <f>SUM(G158:G160)</f>
        <v>0</v>
      </c>
    </row>
    <row r="162" spans="1:8" ht="16.5" hidden="1" customHeight="1" thickTop="1" x14ac:dyDescent="0.2">
      <c r="A162" s="19" t="s">
        <v>488</v>
      </c>
      <c r="B162" s="7" t="s">
        <v>523</v>
      </c>
      <c r="C162" s="7"/>
    </row>
    <row r="163" spans="1:8" ht="15" hidden="1" customHeight="1" x14ac:dyDescent="0.2">
      <c r="A163" s="13" t="s">
        <v>488</v>
      </c>
      <c r="E163" s="37" t="s">
        <v>435</v>
      </c>
    </row>
    <row r="164" spans="1:8" hidden="1" x14ac:dyDescent="0.2">
      <c r="A164" s="13" t="s">
        <v>488</v>
      </c>
      <c r="B164" s="14" t="s">
        <v>30</v>
      </c>
      <c r="C164" s="14"/>
      <c r="D164" s="41"/>
      <c r="E164" s="51" t="str">
        <f>IF(D164=AA!$A$18,"WerbemittelPodcast",
    IF(COUNTIF(AA!$A$21:$A$24,D164)&gt;0,"WerbemittelEvents",
        IF(OR(D164=AA!$A$17,D164=AA!$A$11,D164=AA!$A$12),
            IF(D164=AA!$A$17,"WerbemittelOA","WerbemittelKombi"),
            "WerbemittelUKW")))</f>
        <v>WerbemittelUKW</v>
      </c>
      <c r="F164" s="55" t="str">
        <f>IF(OR(AA!$A$21=D164, AA!$A$22=D164, AA!$A$23=D164, AA!$A$24=D164), "Bitte gib die Event- Kostenstelle ein", "")</f>
        <v/>
      </c>
      <c r="G164" s="72"/>
    </row>
    <row r="165" spans="1:8" ht="33.75" hidden="1" customHeight="1" x14ac:dyDescent="0.2">
      <c r="A165" s="13" t="s">
        <v>488</v>
      </c>
      <c r="B165" s="14" t="s">
        <v>31</v>
      </c>
      <c r="C165" s="14"/>
      <c r="D165" s="40"/>
      <c r="E165" s="55" t="str">
        <f>IF(OR(ISNUMBER(MATCH(D165,AA!$A$33:$A$41,0)),ISNUMBER(MATCH(D165,AA!$A$48,0)),ISNUMBER(MATCH(D165,AA!$A$55:$A$59,0)),ISNUMBER(MATCH(D165,AA!$A$69:$A$78,0))),"Liegen die Nutzungsrechte vor? (nur bei über Krane&amp;Raabe produzierte Spots)","")</f>
        <v/>
      </c>
      <c r="F165" s="48"/>
    </row>
    <row r="166" spans="1:8" ht="22.5" hidden="1" customHeight="1" x14ac:dyDescent="0.2">
      <c r="A166" s="13" t="s">
        <v>488</v>
      </c>
      <c r="B166" s="14" t="s">
        <v>494</v>
      </c>
      <c r="C166" s="14"/>
      <c r="D166" s="40"/>
      <c r="E166" s="55" t="str">
        <f>IF(D166="ja","Soll eine Verpackung eingeplant werden?","")</f>
        <v/>
      </c>
      <c r="F166" s="48" t="s">
        <v>9</v>
      </c>
    </row>
    <row r="167" spans="1:8" ht="24" hidden="1" customHeight="1" x14ac:dyDescent="0.2">
      <c r="A167" s="13" t="s">
        <v>488</v>
      </c>
      <c r="B167" s="14" t="s">
        <v>32</v>
      </c>
      <c r="C167" s="14"/>
      <c r="D167" s="39"/>
      <c r="E167" s="77" t="str">
        <f>IF(OR(ISNUMBER(MATCH(D165,AA!$A$64:$A$65,0)),),"Gib hier ggf. den Boosterbetrag ein.","")</f>
        <v/>
      </c>
      <c r="F167" s="76"/>
    </row>
    <row r="168" spans="1:8" ht="15" hidden="1" customHeight="1" x14ac:dyDescent="0.2">
      <c r="A168" s="13" t="s">
        <v>488</v>
      </c>
      <c r="B168" s="14" t="s">
        <v>42</v>
      </c>
      <c r="C168" s="14"/>
      <c r="D168" s="40"/>
    </row>
    <row r="169" spans="1:8" ht="15" hidden="1" customHeight="1" x14ac:dyDescent="0.2">
      <c r="A169" s="13" t="s">
        <v>488</v>
      </c>
      <c r="B169" s="14" t="s">
        <v>114</v>
      </c>
      <c r="C169" s="14"/>
      <c r="D169" s="40"/>
    </row>
    <row r="170" spans="1:8" ht="15" hidden="1" customHeight="1" x14ac:dyDescent="0.2">
      <c r="A170" s="13" t="s">
        <v>488</v>
      </c>
      <c r="B170" s="14" t="s">
        <v>113</v>
      </c>
      <c r="C170" s="14"/>
      <c r="D170" s="42"/>
      <c r="E170" s="47" t="str">
        <f>IF(OR(D165=AA!$A$42,D165=AA!$A$44,D165=AA!$A$46,D165=AA!$A$47,D165=AA!$A$48,D165=AA!$A$49,D165=AA!$A$50,D165=AA!$A$51,D165=AA!$A$52,D165=AA!$A$53,D165=AA!$A$54,D165=AA!$A$55,D165=AA!$A$56,D165=AA!$A$57,D165=AA!$A$58,D165=AA!$A$59),
"Überprüfe die Einsatzpläne und Uhrzeiten im Hinblick auf Sinnhaftigkeit. (Bspw. keine Promo nach PayOff)",
"")</f>
        <v/>
      </c>
    </row>
    <row r="171" spans="1:8" ht="15" hidden="1" customHeight="1" x14ac:dyDescent="0.2">
      <c r="A171" s="13" t="s">
        <v>488</v>
      </c>
      <c r="B171" s="14" t="s">
        <v>33</v>
      </c>
      <c r="C171" s="14"/>
      <c r="D171" s="43" t="str">
        <f t="array" ref="D171">IFERROR(
  INDEX('Einplanung durch Kombitabelle'!$C$2:$C$411,
        MATCH(1,
          (D164='Einplanung durch Kombitabelle'!$A$2:$A$411)*
          (D165='Einplanung durch Kombitabelle'!$B$2:$B$411),
        0)
  ),
  "Sender/Werbemittel nicht vollständig ausgefüllt"
)</f>
        <v>Sender/Werbemittel nicht vollständig ausgefüllt</v>
      </c>
      <c r="E171" s="81" t="str">
        <f>IF(AND(D164=AA!$A$14,D165=AA!$A$47),"Handelt es sich um einen St. Pauli Backstage Abbinder, Einplanung durch OAP",
IF(AND(D164=AA!$A$13,D165=AA!$A$52),"Handelt es sich um die Radio Hamburg Chartshow, Einplanung durch Dispo",
IF(AND(D164=AA!$A$13,D165=AA!$A$50),"Handelt es sich um ein Radio Hamburg Wettersponsoring oder Citylife, Einplanung durch Dispo",
IF(AND(D164=AA!$A$13,D165=AA!$A$51),"Handelt es sich um ein Radio Hamburg Wettersponsoring oder Citylife, Einplanung durch Dispo",""))))</f>
        <v/>
      </c>
      <c r="F171" s="82"/>
      <c r="G171" s="82"/>
      <c r="H171" s="82"/>
    </row>
    <row r="172" spans="1:8" hidden="1" x14ac:dyDescent="0.2">
      <c r="A172" s="13" t="s">
        <v>488</v>
      </c>
      <c r="B172" s="14" t="s">
        <v>436</v>
      </c>
      <c r="C172" s="14"/>
      <c r="D172" s="45"/>
      <c r="E172" s="83"/>
      <c r="F172" s="84"/>
      <c r="G172" s="84"/>
      <c r="H172" s="84"/>
    </row>
    <row r="173" spans="1:8" ht="15" hidden="1" customHeight="1" x14ac:dyDescent="0.2">
      <c r="A173" s="13" t="s">
        <v>488</v>
      </c>
      <c r="D173" s="30" t="s">
        <v>439</v>
      </c>
      <c r="E173" s="29" t="s">
        <v>417</v>
      </c>
      <c r="F173" s="30" t="s">
        <v>411</v>
      </c>
      <c r="G173" s="29" t="s">
        <v>439</v>
      </c>
      <c r="H173" s="29" t="s">
        <v>417</v>
      </c>
    </row>
    <row r="174" spans="1:8" ht="15" hidden="1" customHeight="1" x14ac:dyDescent="0.2">
      <c r="A174" s="13" t="s">
        <v>488</v>
      </c>
      <c r="B174" s="14" t="s">
        <v>63</v>
      </c>
      <c r="C174" s="14"/>
      <c r="D174" s="33"/>
      <c r="E174" s="33"/>
      <c r="F174" s="33"/>
      <c r="G174" s="33"/>
      <c r="H174" s="34"/>
    </row>
    <row r="175" spans="1:8" ht="15" hidden="1" customHeight="1" x14ac:dyDescent="0.2">
      <c r="A175" s="13" t="s">
        <v>488</v>
      </c>
      <c r="D175" s="30" t="s">
        <v>439</v>
      </c>
      <c r="E175" s="30" t="s">
        <v>411</v>
      </c>
      <c r="F175" s="30" t="s">
        <v>439</v>
      </c>
      <c r="G175" s="30" t="s">
        <v>411</v>
      </c>
      <c r="H175" s="30" t="s">
        <v>439</v>
      </c>
    </row>
    <row r="176" spans="1:8" ht="15" hidden="1" customHeight="1" x14ac:dyDescent="0.2">
      <c r="A176" s="13" t="s">
        <v>488</v>
      </c>
      <c r="B176" s="14" t="s">
        <v>64</v>
      </c>
      <c r="C176" s="14"/>
      <c r="D176" s="33"/>
      <c r="E176" s="33"/>
      <c r="F176" s="33"/>
      <c r="G176" s="33"/>
      <c r="H176" s="33"/>
    </row>
    <row r="177" spans="1:8" ht="15" hidden="1" customHeight="1" x14ac:dyDescent="0.2">
      <c r="A177" s="13" t="s">
        <v>488</v>
      </c>
    </row>
    <row r="178" spans="1:8" ht="15" hidden="1" customHeight="1" x14ac:dyDescent="0.2">
      <c r="A178" s="13" t="s">
        <v>488</v>
      </c>
      <c r="B178" s="14" t="s">
        <v>36</v>
      </c>
      <c r="C178" s="14"/>
      <c r="D178" s="33"/>
      <c r="E178" s="14" t="s">
        <v>59</v>
      </c>
      <c r="F178" s="33" t="s">
        <v>91</v>
      </c>
    </row>
    <row r="179" spans="1:8" ht="15" hidden="1" customHeight="1" x14ac:dyDescent="0.2">
      <c r="A179" s="13" t="s">
        <v>488</v>
      </c>
      <c r="B179" s="14" t="s">
        <v>62</v>
      </c>
      <c r="C179" s="14"/>
      <c r="D179" s="21"/>
    </row>
    <row r="180" spans="1:8" ht="15" hidden="1" customHeight="1" x14ac:dyDescent="0.2">
      <c r="A180" s="13" t="s">
        <v>488</v>
      </c>
    </row>
    <row r="181" spans="1:8" ht="75.75" hidden="1" customHeight="1" x14ac:dyDescent="0.2">
      <c r="A181" s="13" t="s">
        <v>488</v>
      </c>
      <c r="B181" s="14"/>
      <c r="C181" s="15" t="s">
        <v>463</v>
      </c>
      <c r="D181" s="33"/>
      <c r="E181" s="16" t="s">
        <v>460</v>
      </c>
      <c r="F181" s="64" t="str">
        <f>IF(OR(D164=AA!$A$17, D164=AA!$A$18), "Möchtest Du nach Abschluss der Kampagne ein Reporting?", "")</f>
        <v/>
      </c>
      <c r="G181" s="48" t="s">
        <v>9</v>
      </c>
    </row>
    <row r="182" spans="1:8" ht="15" hidden="1" customHeight="1" x14ac:dyDescent="0.2">
      <c r="A182" s="13" t="s">
        <v>488</v>
      </c>
      <c r="B182" s="14"/>
      <c r="C182" s="14" t="s">
        <v>453</v>
      </c>
      <c r="D182" s="44"/>
      <c r="E182" s="35"/>
      <c r="F182" s="78" t="str">
        <f>IF(AND(D165=AA!$A$75,D183&lt;&gt;""),"OBACHT! Hinweis für Dispo: Der TKP für den Adserver (AllMediaDesk) beträgt 15 Euro. Bedeutet es muss ein Invest von "&amp;TEXT((D183*15)/1000,"#,##0 €")&amp;" angegeben werden","")</f>
        <v/>
      </c>
      <c r="G182" s="78"/>
      <c r="H182" s="78"/>
    </row>
    <row r="183" spans="1:8" ht="15" hidden="1" customHeight="1" x14ac:dyDescent="0.2">
      <c r="A183" s="13" t="s">
        <v>488</v>
      </c>
      <c r="B183" s="14"/>
      <c r="C183" s="14" t="s">
        <v>555</v>
      </c>
      <c r="D183" s="44"/>
      <c r="E183" s="35"/>
      <c r="F183" s="78"/>
      <c r="G183" s="78"/>
      <c r="H183" s="78"/>
    </row>
    <row r="184" spans="1:8" ht="15" hidden="1" customHeight="1" x14ac:dyDescent="0.2">
      <c r="A184" s="13" t="s">
        <v>488</v>
      </c>
      <c r="B184" s="14"/>
      <c r="C184" s="14" t="s">
        <v>60</v>
      </c>
      <c r="D184" s="46">
        <f>D182+D183</f>
        <v>0</v>
      </c>
      <c r="F184" s="79"/>
      <c r="G184" s="79"/>
      <c r="H184" s="79"/>
    </row>
    <row r="185" spans="1:8" ht="88.5" hidden="1" customHeight="1" x14ac:dyDescent="0.2">
      <c r="A185" s="13" t="s">
        <v>488</v>
      </c>
      <c r="B185" s="14"/>
      <c r="C185" s="17" t="s">
        <v>61</v>
      </c>
      <c r="D185" s="80"/>
      <c r="E185" s="80"/>
      <c r="F185" s="80"/>
      <c r="G185" s="80"/>
      <c r="H185" s="80"/>
    </row>
    <row r="186" spans="1:8" ht="20" hidden="1" x14ac:dyDescent="0.2">
      <c r="A186" s="13" t="s">
        <v>488</v>
      </c>
      <c r="C186" s="73" t="str">
        <f>IF(OR(IFERROR(ISNUMBER(SEARCH(" RMS "," "&amp;$D$5&amp;" ")),FALSE),IFERROR(ISNUMBER(SEARCH(" RMS "," "&amp;$D$6&amp;" ")),FALSE),ISNUMBER(MATCH(D165,AA!$A$64:$A$65,0))),IF(OR(IFERROR(ISNUMBER(SEARCH(" RMS "," "&amp;$D$5&amp;" ")),FALSE),IFERROR(ISNUMBER(SEARCH(" RMS "," "&amp;$D$6&amp;" ")),FALSE)),"Obacht! Produktionen, Influencer und Social-Media dürfen NICHT an die RMS verprovisioniert werden. ","")&amp;IF(ISNUMBER(MATCH(D165,AA!$A$64:$A$65,0)),"Beachte, dass die Summe inkl. Boosterbudget ist.",""),"")</f>
        <v/>
      </c>
    </row>
    <row r="187" spans="1:8" ht="15.75" hidden="1" customHeight="1" x14ac:dyDescent="0.2">
      <c r="A187" s="13" t="s">
        <v>488</v>
      </c>
      <c r="B187" s="18" t="s">
        <v>37</v>
      </c>
      <c r="C187" s="18"/>
      <c r="D187" s="18" t="s">
        <v>467</v>
      </c>
      <c r="E187" s="18" t="s">
        <v>418</v>
      </c>
      <c r="F187" s="18" t="s">
        <v>90</v>
      </c>
      <c r="G187" s="18" t="s">
        <v>115</v>
      </c>
      <c r="H187" s="18" t="s">
        <v>38</v>
      </c>
    </row>
    <row r="188" spans="1:8" ht="15" hidden="1" customHeight="1" x14ac:dyDescent="0.2">
      <c r="A188" s="13" t="s">
        <v>488</v>
      </c>
      <c r="B188" s="14" t="str">
        <f>IFERROR(
  INDEX('Buchungskenn durch Kombitabelle'!$A$2:$O$47,
        MATCH(D165,'Buchungskenn durch Kombitabelle'!$A$2:$A$47,0),
        MATCH(D164,'Buchungskenn durch Kombitabelle'!$A$1:$O$1,0)
  ),
  "Fehler"
)</f>
        <v>Fehler</v>
      </c>
      <c r="C188" s="14"/>
      <c r="D188" s="35"/>
      <c r="E188" s="74"/>
      <c r="F188" s="21"/>
      <c r="G188" s="24" t="str">
        <f>IF(F188="ja", (D188-(D188*E188))*0.85, IF(F188="nein", D188-(D188*E188), ""))</f>
        <v/>
      </c>
      <c r="H188" s="21"/>
    </row>
    <row r="189" spans="1:8" ht="15" hidden="1" customHeight="1" x14ac:dyDescent="0.2">
      <c r="A189" s="13" t="s">
        <v>488</v>
      </c>
      <c r="B189" s="14" t="s">
        <v>104</v>
      </c>
      <c r="C189" s="14"/>
      <c r="D189" s="35"/>
      <c r="E189" s="74"/>
      <c r="F189" s="21"/>
      <c r="G189" s="24" t="str">
        <f>IF(F189="ja", (D189-(D189*E189))*0.85, IF(F189="nein", D189-(D189*E189), ""))</f>
        <v/>
      </c>
      <c r="H189" s="21"/>
    </row>
    <row r="190" spans="1:8" ht="15" hidden="1" customHeight="1" x14ac:dyDescent="0.2">
      <c r="A190" s="13" t="s">
        <v>488</v>
      </c>
      <c r="B190" s="14"/>
      <c r="C190" s="14"/>
      <c r="D190" s="35"/>
      <c r="E190" s="74"/>
      <c r="F190" s="21"/>
      <c r="G190" s="24" t="str">
        <f>IF(F190="ja", (D190-(D190*E190))*0.85, IF(F190="nein", D190-(D190*E190), ""))</f>
        <v/>
      </c>
      <c r="H190" s="21"/>
    </row>
    <row r="191" spans="1:8" ht="15.75" hidden="1" customHeight="1" thickBot="1" x14ac:dyDescent="0.25">
      <c r="A191" s="13" t="s">
        <v>488</v>
      </c>
      <c r="F191" s="25">
        <f>IF(F188="ja", (D188-(D188*E188)) * 0.15, 0)
+IF(F189="ja", (D189-(D189*E189)) * 0.15, 0)
+IF(F190="ja", (D190-(D190*E190)) * 0.15, 0)</f>
        <v>0</v>
      </c>
      <c r="G191" s="25">
        <f>SUM(G188:G190)</f>
        <v>0</v>
      </c>
    </row>
    <row r="192" spans="1:8" ht="16.5" hidden="1" customHeight="1" thickTop="1" x14ac:dyDescent="0.2">
      <c r="A192" s="19" t="s">
        <v>489</v>
      </c>
      <c r="B192" s="7" t="s">
        <v>523</v>
      </c>
      <c r="C192" s="7"/>
    </row>
    <row r="193" spans="1:8" ht="15" hidden="1" customHeight="1" x14ac:dyDescent="0.2">
      <c r="A193" s="13" t="s">
        <v>489</v>
      </c>
      <c r="E193" s="37" t="s">
        <v>435</v>
      </c>
    </row>
    <row r="194" spans="1:8" hidden="1" x14ac:dyDescent="0.2">
      <c r="A194" s="13" t="s">
        <v>489</v>
      </c>
      <c r="B194" s="14" t="s">
        <v>30</v>
      </c>
      <c r="C194" s="14"/>
      <c r="D194" s="41"/>
      <c r="E194" s="51" t="str">
        <f>IF(D194=AA!$A$18,"WerbemittelPodcast",
    IF(COUNTIF(AA!$A$21:$A$24,D194)&gt;0,"WerbemittelEvents",
        IF(OR(D194=AA!$A$17,D194=AA!$A$11,D194=AA!$A$12),
            IF(D194=AA!$A$17,"WerbemittelOA","WerbemittelKombi"),
            "WerbemittelUKW")))</f>
        <v>WerbemittelUKW</v>
      </c>
      <c r="F194" s="55" t="str">
        <f>IF(OR(AA!$A$21=D194, AA!$A$22=D194, AA!$A$23=D194, AA!$A$24=D194), "Bitte gib die Event- Kostenstelle ein", "")</f>
        <v/>
      </c>
      <c r="G194" s="72"/>
    </row>
    <row r="195" spans="1:8" ht="33.75" hidden="1" customHeight="1" x14ac:dyDescent="0.2">
      <c r="A195" s="13" t="s">
        <v>489</v>
      </c>
      <c r="B195" s="14" t="s">
        <v>31</v>
      </c>
      <c r="C195" s="14"/>
      <c r="D195" s="40"/>
      <c r="E195" s="55" t="str">
        <f>IF(OR(ISNUMBER(MATCH(D195,AA!$A$33:$A$41,0)),ISNUMBER(MATCH(D195,AA!$A$48,0)),ISNUMBER(MATCH(D195,AA!$A$55:$A$59,0)),ISNUMBER(MATCH(D195,AA!$A$69:$A$78,0))),"Liegen die Nutzungsrechte vor? (nur bei über Krane&amp;Raabe produzierte Spots)","")</f>
        <v/>
      </c>
      <c r="F195" s="48"/>
    </row>
    <row r="196" spans="1:8" ht="22.5" hidden="1" customHeight="1" x14ac:dyDescent="0.2">
      <c r="A196" s="13" t="s">
        <v>489</v>
      </c>
      <c r="B196" s="14" t="s">
        <v>494</v>
      </c>
      <c r="C196" s="14"/>
      <c r="D196" s="40"/>
      <c r="E196" s="55" t="str">
        <f>IF(D196="ja","Soll eine Verpackung eingeplant werden?","")</f>
        <v/>
      </c>
      <c r="F196" s="48" t="s">
        <v>9</v>
      </c>
    </row>
    <row r="197" spans="1:8" ht="24" hidden="1" customHeight="1" x14ac:dyDescent="0.2">
      <c r="A197" s="13" t="s">
        <v>489</v>
      </c>
      <c r="B197" s="14" t="s">
        <v>32</v>
      </c>
      <c r="C197" s="14"/>
      <c r="D197" s="39"/>
      <c r="E197" s="77" t="str">
        <f>IF(OR(ISNUMBER(MATCH(D195,AA!$A$64:$A$65,0)),),"Gib hier ggf. den Boosterbetrag ein.","")</f>
        <v/>
      </c>
      <c r="F197" s="76"/>
    </row>
    <row r="198" spans="1:8" ht="15" hidden="1" customHeight="1" x14ac:dyDescent="0.2">
      <c r="A198" s="13" t="s">
        <v>489</v>
      </c>
      <c r="B198" s="14" t="s">
        <v>42</v>
      </c>
      <c r="C198" s="14"/>
      <c r="D198" s="40"/>
    </row>
    <row r="199" spans="1:8" ht="15" hidden="1" customHeight="1" x14ac:dyDescent="0.2">
      <c r="A199" s="13" t="s">
        <v>489</v>
      </c>
      <c r="B199" s="14" t="s">
        <v>114</v>
      </c>
      <c r="C199" s="14"/>
      <c r="D199" s="40"/>
    </row>
    <row r="200" spans="1:8" ht="15" hidden="1" customHeight="1" x14ac:dyDescent="0.2">
      <c r="A200" s="13" t="s">
        <v>489</v>
      </c>
      <c r="B200" s="14" t="s">
        <v>113</v>
      </c>
      <c r="C200" s="14"/>
      <c r="D200" s="42"/>
      <c r="E200" s="47" t="str">
        <f>IF(OR(D195=AA!$A$42,D195=AA!$A$44,D195=AA!$A$46,D195=AA!$A$47,D195=AA!$A$48,D195=AA!$A$49,D195=AA!$A$50,D195=AA!$A$51,D195=AA!$A$52,D195=AA!$A$53,D195=AA!$A$54,D195=AA!$A$55,D195=AA!$A$56,D195=AA!$A$57,D195=AA!$A$58,D195=AA!$A$59),
"Überprüfe die Einsatzpläne und Uhrzeiten im Hinblick auf Sinnhaftigkeit. (Bspw. keine Promo nach PayOff)",
"")</f>
        <v/>
      </c>
    </row>
    <row r="201" spans="1:8" ht="15" hidden="1" customHeight="1" x14ac:dyDescent="0.2">
      <c r="A201" s="13" t="s">
        <v>489</v>
      </c>
      <c r="B201" s="14" t="s">
        <v>33</v>
      </c>
      <c r="C201" s="14"/>
      <c r="D201" s="43" t="str">
        <f t="array" ref="D201">IFERROR(
  INDEX('Einplanung durch Kombitabelle'!$C$2:$C$411,
        MATCH(1,
          (D194='Einplanung durch Kombitabelle'!$A$2:$A$411)*
          (D195='Einplanung durch Kombitabelle'!$B$2:$B$411),
        0)
  ),
  "Sender/Werbemittel nicht vollständig ausgefüllt"
)</f>
        <v>Sender/Werbemittel nicht vollständig ausgefüllt</v>
      </c>
      <c r="E201" s="81" t="str">
        <f>IF(AND(D194=AA!$A$14,D195=AA!$A$47),"Handelt es sich um einen St. Pauli Backstage Abbinder, Einplanung durch OAP",
IF(AND(D194=AA!$A$13,D195=AA!$A$52),"Handelt es sich um die Radio Hamburg Chartshow, Einplanung durch Dispo",
IF(AND(D194=AA!$A$13,D195=AA!$A$50),"Handelt es sich um ein Radio Hamburg Wettersponsoring oder Citylife, Einplanung durch Dispo",
IF(AND(D194=AA!$A$13,D195=AA!$A$51),"Handelt es sich um ein Radio Hamburg Wettersponsoring oder Citylife, Einplanung durch Dispo",""))))</f>
        <v/>
      </c>
      <c r="F201" s="82"/>
      <c r="G201" s="82"/>
      <c r="H201" s="82"/>
    </row>
    <row r="202" spans="1:8" hidden="1" x14ac:dyDescent="0.2">
      <c r="A202" s="13" t="s">
        <v>489</v>
      </c>
      <c r="B202" s="14" t="s">
        <v>436</v>
      </c>
      <c r="C202" s="14"/>
      <c r="D202" s="45"/>
      <c r="E202" s="83"/>
      <c r="F202" s="84"/>
      <c r="G202" s="84"/>
      <c r="H202" s="84"/>
    </row>
    <row r="203" spans="1:8" ht="15" hidden="1" customHeight="1" x14ac:dyDescent="0.2">
      <c r="A203" s="13" t="s">
        <v>489</v>
      </c>
      <c r="D203" s="30" t="s">
        <v>439</v>
      </c>
      <c r="E203" s="29" t="s">
        <v>417</v>
      </c>
      <c r="F203" s="30" t="s">
        <v>411</v>
      </c>
      <c r="G203" s="29" t="s">
        <v>439</v>
      </c>
      <c r="H203" s="29" t="s">
        <v>417</v>
      </c>
    </row>
    <row r="204" spans="1:8" ht="15" hidden="1" customHeight="1" x14ac:dyDescent="0.2">
      <c r="A204" s="13" t="s">
        <v>489</v>
      </c>
      <c r="B204" s="14" t="s">
        <v>63</v>
      </c>
      <c r="C204" s="14"/>
      <c r="D204" s="33"/>
      <c r="E204" s="33"/>
      <c r="F204" s="33"/>
      <c r="G204" s="33"/>
      <c r="H204" s="34"/>
    </row>
    <row r="205" spans="1:8" ht="15" hidden="1" customHeight="1" x14ac:dyDescent="0.2">
      <c r="A205" s="13" t="s">
        <v>489</v>
      </c>
      <c r="D205" s="30" t="s">
        <v>439</v>
      </c>
      <c r="E205" s="30" t="s">
        <v>411</v>
      </c>
      <c r="F205" s="30" t="s">
        <v>439</v>
      </c>
      <c r="G205" s="30" t="s">
        <v>411</v>
      </c>
      <c r="H205" s="30" t="s">
        <v>439</v>
      </c>
    </row>
    <row r="206" spans="1:8" ht="15" hidden="1" customHeight="1" x14ac:dyDescent="0.2">
      <c r="A206" s="13" t="s">
        <v>489</v>
      </c>
      <c r="B206" s="14" t="s">
        <v>64</v>
      </c>
      <c r="C206" s="14"/>
      <c r="D206" s="33"/>
      <c r="E206" s="33"/>
      <c r="F206" s="33"/>
      <c r="G206" s="33"/>
      <c r="H206" s="33"/>
    </row>
    <row r="207" spans="1:8" ht="15" hidden="1" customHeight="1" x14ac:dyDescent="0.2">
      <c r="A207" s="13" t="s">
        <v>489</v>
      </c>
    </row>
    <row r="208" spans="1:8" ht="15" hidden="1" customHeight="1" x14ac:dyDescent="0.2">
      <c r="A208" s="13" t="s">
        <v>489</v>
      </c>
      <c r="B208" s="14" t="s">
        <v>36</v>
      </c>
      <c r="C208" s="14"/>
      <c r="D208" s="33"/>
      <c r="E208" s="14" t="s">
        <v>59</v>
      </c>
      <c r="F208" s="33" t="s">
        <v>91</v>
      </c>
    </row>
    <row r="209" spans="1:8" ht="15" hidden="1" customHeight="1" x14ac:dyDescent="0.2">
      <c r="A209" s="13" t="s">
        <v>489</v>
      </c>
      <c r="B209" s="14" t="s">
        <v>62</v>
      </c>
      <c r="C209" s="14"/>
      <c r="D209" s="21"/>
    </row>
    <row r="210" spans="1:8" ht="15" hidden="1" customHeight="1" x14ac:dyDescent="0.2">
      <c r="A210" s="13" t="s">
        <v>489</v>
      </c>
    </row>
    <row r="211" spans="1:8" ht="75.75" hidden="1" customHeight="1" x14ac:dyDescent="0.2">
      <c r="A211" s="13" t="s">
        <v>489</v>
      </c>
      <c r="B211" s="14"/>
      <c r="C211" s="15" t="s">
        <v>463</v>
      </c>
      <c r="D211" s="33"/>
      <c r="E211" s="16" t="s">
        <v>460</v>
      </c>
      <c r="F211" s="64" t="str">
        <f>IF(OR(D194=AA!$A$17, D194=AA!$A$18), "Möchtest Du nach Abschluss der Kampagne ein Reporting?", "")</f>
        <v/>
      </c>
      <c r="G211" s="48" t="s">
        <v>9</v>
      </c>
    </row>
    <row r="212" spans="1:8" ht="15" hidden="1" customHeight="1" x14ac:dyDescent="0.2">
      <c r="A212" s="13" t="s">
        <v>489</v>
      </c>
      <c r="B212" s="14"/>
      <c r="C212" s="14" t="s">
        <v>453</v>
      </c>
      <c r="D212" s="44"/>
      <c r="E212" s="35"/>
      <c r="F212" s="78" t="str">
        <f>IF(AND(D195=AA!$A$75,D213&lt;&gt;""),"OBACHT! Hinweis für Dispo: Der TKP für den Adserver (AllMediaDesk) beträgt 15 Euro. Bedeutet es muss ein Invest von "&amp;TEXT((D213*15)/1000,"#,##0 €")&amp;" angegeben werden","")</f>
        <v/>
      </c>
      <c r="G212" s="78"/>
      <c r="H212" s="78"/>
    </row>
    <row r="213" spans="1:8" ht="15" hidden="1" customHeight="1" x14ac:dyDescent="0.2">
      <c r="A213" s="13" t="s">
        <v>489</v>
      </c>
      <c r="B213" s="14"/>
      <c r="C213" s="14" t="s">
        <v>555</v>
      </c>
      <c r="D213" s="44"/>
      <c r="E213" s="35"/>
      <c r="F213" s="78"/>
      <c r="G213" s="78"/>
      <c r="H213" s="78"/>
    </row>
    <row r="214" spans="1:8" ht="15" hidden="1" customHeight="1" x14ac:dyDescent="0.2">
      <c r="A214" s="13" t="s">
        <v>489</v>
      </c>
      <c r="B214" s="14"/>
      <c r="C214" s="14" t="s">
        <v>60</v>
      </c>
      <c r="D214" s="46">
        <f>D212+D213</f>
        <v>0</v>
      </c>
      <c r="F214" s="79"/>
      <c r="G214" s="79"/>
      <c r="H214" s="79"/>
    </row>
    <row r="215" spans="1:8" ht="88.5" hidden="1" customHeight="1" x14ac:dyDescent="0.2">
      <c r="A215" s="13" t="s">
        <v>489</v>
      </c>
      <c r="B215" s="14"/>
      <c r="C215" s="17" t="s">
        <v>61</v>
      </c>
      <c r="D215" s="80"/>
      <c r="E215" s="80"/>
      <c r="F215" s="80"/>
      <c r="G215" s="80"/>
      <c r="H215" s="80"/>
    </row>
    <row r="216" spans="1:8" ht="20" hidden="1" x14ac:dyDescent="0.2">
      <c r="A216" s="13" t="s">
        <v>489</v>
      </c>
      <c r="C216" s="73" t="str">
        <f>IF(OR(IFERROR(ISNUMBER(SEARCH(" RMS "," "&amp;$D$5&amp;" ")),FALSE),IFERROR(ISNUMBER(SEARCH(" RMS "," "&amp;$D$6&amp;" ")),FALSE),ISNUMBER(MATCH(D195,AA!$A$64:$A$65,0))),IF(OR(IFERROR(ISNUMBER(SEARCH(" RMS "," "&amp;$D$5&amp;" ")),FALSE),IFERROR(ISNUMBER(SEARCH(" RMS "," "&amp;$D$6&amp;" ")),FALSE)),"Obacht! Produktionen, Influencer und Social-Media dürfen NICHT an die RMS verprovisioniert werden. ","")&amp;IF(ISNUMBER(MATCH(D195,AA!$A$64:$A$65,0)),"Beachte, dass die Summe inkl. Boosterbudget ist.",""),"")</f>
        <v/>
      </c>
    </row>
    <row r="217" spans="1:8" ht="15.75" hidden="1" customHeight="1" x14ac:dyDescent="0.2">
      <c r="A217" s="13" t="s">
        <v>489</v>
      </c>
      <c r="B217" s="18" t="s">
        <v>37</v>
      </c>
      <c r="C217" s="18"/>
      <c r="D217" s="18" t="s">
        <v>467</v>
      </c>
      <c r="E217" s="18" t="s">
        <v>418</v>
      </c>
      <c r="F217" s="18" t="s">
        <v>90</v>
      </c>
      <c r="G217" s="18" t="s">
        <v>115</v>
      </c>
      <c r="H217" s="18" t="s">
        <v>38</v>
      </c>
    </row>
    <row r="218" spans="1:8" ht="15" hidden="1" customHeight="1" x14ac:dyDescent="0.2">
      <c r="A218" s="13" t="s">
        <v>489</v>
      </c>
      <c r="B218" s="14" t="str">
        <f>IFERROR(
  INDEX('Buchungskenn durch Kombitabelle'!$A$2:$O$47,
        MATCH(D195,'Buchungskenn durch Kombitabelle'!$A$2:$A$47,0),
        MATCH(D194,'Buchungskenn durch Kombitabelle'!$A$1:$O$1,0)
  ),
  "Fehler"
)</f>
        <v>Fehler</v>
      </c>
      <c r="C218" s="14"/>
      <c r="D218" s="35"/>
      <c r="E218" s="74"/>
      <c r="F218" s="21"/>
      <c r="G218" s="24" t="str">
        <f>IF(F218="ja", (D218-(D218*E218))*0.85, IF(F218="nein", D218-(D218*E218), ""))</f>
        <v/>
      </c>
      <c r="H218" s="21"/>
    </row>
    <row r="219" spans="1:8" ht="15" hidden="1" customHeight="1" x14ac:dyDescent="0.2">
      <c r="A219" s="13" t="s">
        <v>489</v>
      </c>
      <c r="B219" s="14" t="s">
        <v>104</v>
      </c>
      <c r="C219" s="14"/>
      <c r="D219" s="35"/>
      <c r="E219" s="74"/>
      <c r="F219" s="21"/>
      <c r="G219" s="24" t="str">
        <f>IF(F219="ja", (D219-(D219*E219))*0.85, IF(F219="nein", D219-(D219*E219), ""))</f>
        <v/>
      </c>
      <c r="H219" s="21"/>
    </row>
    <row r="220" spans="1:8" ht="15" hidden="1" customHeight="1" x14ac:dyDescent="0.2">
      <c r="A220" s="13" t="s">
        <v>489</v>
      </c>
      <c r="B220" s="14"/>
      <c r="C220" s="14"/>
      <c r="D220" s="35"/>
      <c r="E220" s="74"/>
      <c r="F220" s="21"/>
      <c r="G220" s="24" t="str">
        <f>IF(F220="ja", (D220-(D220*E220))*0.85, IF(F220="nein", D220-(D220*E220), ""))</f>
        <v/>
      </c>
      <c r="H220" s="21"/>
    </row>
    <row r="221" spans="1:8" ht="15.75" hidden="1" customHeight="1" thickBot="1" x14ac:dyDescent="0.25">
      <c r="A221" s="13" t="s">
        <v>489</v>
      </c>
      <c r="F221" s="25">
        <f>IF(F218="ja", (D218-(D218*E218)) * 0.15, 0)
+IF(F219="ja", (D219-(D219*E219)) * 0.15, 0)
+IF(F220="ja", (D220-(D220*E220)) * 0.15, 0)</f>
        <v>0</v>
      </c>
      <c r="G221" s="25">
        <f>SUM(G218:G220)</f>
        <v>0</v>
      </c>
    </row>
    <row r="222" spans="1:8" ht="16.5" hidden="1" customHeight="1" thickTop="1" x14ac:dyDescent="0.2">
      <c r="A222" s="19" t="s">
        <v>490</v>
      </c>
      <c r="B222" s="7" t="s">
        <v>523</v>
      </c>
      <c r="C222" s="7"/>
    </row>
    <row r="223" spans="1:8" ht="15" hidden="1" customHeight="1" x14ac:dyDescent="0.2">
      <c r="A223" s="13" t="s">
        <v>490</v>
      </c>
      <c r="E223" s="37" t="s">
        <v>435</v>
      </c>
    </row>
    <row r="224" spans="1:8" hidden="1" x14ac:dyDescent="0.2">
      <c r="A224" s="13" t="s">
        <v>490</v>
      </c>
      <c r="B224" s="14" t="s">
        <v>30</v>
      </c>
      <c r="C224" s="14"/>
      <c r="D224" s="41"/>
      <c r="E224" s="51" t="str">
        <f>IF(D224=AA!$A$18,"WerbemittelPodcast",
    IF(COUNTIF(AA!$A$21:$A$24,D224)&gt;0,"WerbemittelEvents",
        IF(OR(D224=AA!$A$17,D224=AA!$A$11,D224=AA!$A$12),
            IF(D224=AA!$A$17,"WerbemittelOA","WerbemittelKombi"),
            "WerbemittelUKW")))</f>
        <v>WerbemittelUKW</v>
      </c>
      <c r="F224" s="55" t="str">
        <f>IF(OR(AA!$A$21=D224, AA!$A$22=D224, AA!$A$23=D224, AA!$A$24=D224), "Bitte gib die Event- Kostenstelle ein", "")</f>
        <v/>
      </c>
      <c r="G224" s="72"/>
    </row>
    <row r="225" spans="1:8" ht="33.75" hidden="1" customHeight="1" x14ac:dyDescent="0.2">
      <c r="A225" s="13" t="s">
        <v>490</v>
      </c>
      <c r="B225" s="14" t="s">
        <v>31</v>
      </c>
      <c r="C225" s="14"/>
      <c r="D225" s="40"/>
      <c r="E225" s="55" t="str">
        <f>IF(OR(ISNUMBER(MATCH(D225,AA!$A$33:$A$41,0)),ISNUMBER(MATCH(D225,AA!$A$48,0)),ISNUMBER(MATCH(D225,AA!$A$55:$A$59,0)),ISNUMBER(MATCH(D225,AA!$A$69:$A$78,0))),"Liegen die Nutzungsrechte vor? (nur bei über Krane&amp;Raabe produzierte Spots)","")</f>
        <v/>
      </c>
      <c r="F225" s="48"/>
    </row>
    <row r="226" spans="1:8" ht="22.5" hidden="1" customHeight="1" x14ac:dyDescent="0.2">
      <c r="A226" s="13" t="s">
        <v>490</v>
      </c>
      <c r="B226" s="14" t="s">
        <v>494</v>
      </c>
      <c r="C226" s="14"/>
      <c r="D226" s="40"/>
      <c r="E226" s="55" t="str">
        <f>IF(D226="ja","Soll eine Verpackung eingeplant werden?","")</f>
        <v/>
      </c>
      <c r="F226" s="48" t="s">
        <v>9</v>
      </c>
    </row>
    <row r="227" spans="1:8" ht="24" hidden="1" customHeight="1" x14ac:dyDescent="0.2">
      <c r="A227" s="13" t="s">
        <v>490</v>
      </c>
      <c r="B227" s="14" t="s">
        <v>32</v>
      </c>
      <c r="C227" s="14"/>
      <c r="D227" s="39"/>
      <c r="E227" s="77" t="str">
        <f>IF(OR(ISNUMBER(MATCH(D225,AA!$A$64:$A$65,0)),),"Gib hier ggf. den Boosterbetrag ein.","")</f>
        <v/>
      </c>
      <c r="F227" s="76"/>
    </row>
    <row r="228" spans="1:8" ht="15" hidden="1" customHeight="1" x14ac:dyDescent="0.2">
      <c r="A228" s="13" t="s">
        <v>490</v>
      </c>
      <c r="B228" s="14" t="s">
        <v>42</v>
      </c>
      <c r="C228" s="14"/>
      <c r="D228" s="40"/>
    </row>
    <row r="229" spans="1:8" ht="15" hidden="1" customHeight="1" x14ac:dyDescent="0.2">
      <c r="A229" s="13" t="s">
        <v>490</v>
      </c>
      <c r="B229" s="14" t="s">
        <v>114</v>
      </c>
      <c r="C229" s="14"/>
      <c r="D229" s="40"/>
    </row>
    <row r="230" spans="1:8" ht="15" hidden="1" customHeight="1" x14ac:dyDescent="0.2">
      <c r="A230" s="13" t="s">
        <v>490</v>
      </c>
      <c r="B230" s="14" t="s">
        <v>113</v>
      </c>
      <c r="C230" s="14"/>
      <c r="D230" s="42"/>
      <c r="E230" s="47" t="str">
        <f>IF(OR(D225=AA!$A$42,D225=AA!$A$44,D225=AA!$A$46,D225=AA!$A$47,D225=AA!$A$48,D225=AA!$A$49,D225=AA!$A$50,D225=AA!$A$51,D225=AA!$A$52,D225=AA!$A$53,D225=AA!$A$54,D225=AA!$A$55,D225=AA!$A$56,D225=AA!$A$57,D225=AA!$A$58,D225=AA!$A$59),
"Überprüfe die Einsatzpläne und Uhrzeiten im Hinblick auf Sinnhaftigkeit. (Bspw. keine Promo nach PayOff)",
"")</f>
        <v/>
      </c>
    </row>
    <row r="231" spans="1:8" ht="15" hidden="1" customHeight="1" x14ac:dyDescent="0.2">
      <c r="A231" s="13" t="s">
        <v>490</v>
      </c>
      <c r="B231" s="14" t="s">
        <v>33</v>
      </c>
      <c r="C231" s="14"/>
      <c r="D231" s="43" t="str">
        <f t="array" ref="D231">IFERROR(
  INDEX('Einplanung durch Kombitabelle'!$C$2:$C$411,
        MATCH(1,
          (D224='Einplanung durch Kombitabelle'!$A$2:$A$411)*
          (D225='Einplanung durch Kombitabelle'!$B$2:$B$411),
        0)
  ),
  "Sender/Werbemittel nicht vollständig ausgefüllt"
)</f>
        <v>Sender/Werbemittel nicht vollständig ausgefüllt</v>
      </c>
      <c r="E231" s="81" t="str">
        <f>IF(AND(D224=AA!$A$14,D225=AA!$A$47),"Handelt es sich um einen St. Pauli Backstage Abbinder, Einplanung durch OAP",
IF(AND(D224=AA!$A$13,D225=AA!$A$52),"Handelt es sich um die Radio Hamburg Chartshow, Einplanung durch Dispo",
IF(AND(D224=AA!$A$13,D225=AA!$A$50),"Handelt es sich um ein Radio Hamburg Wettersponsoring oder Citylife, Einplanung durch Dispo",
IF(AND(D224=AA!$A$13,D225=AA!$A$51),"Handelt es sich um ein Radio Hamburg Wettersponsoring oder Citylife, Einplanung durch Dispo",""))))</f>
        <v/>
      </c>
      <c r="F231" s="82"/>
      <c r="G231" s="82"/>
      <c r="H231" s="82"/>
    </row>
    <row r="232" spans="1:8" hidden="1" x14ac:dyDescent="0.2">
      <c r="A232" s="13" t="s">
        <v>490</v>
      </c>
      <c r="B232" s="14" t="s">
        <v>436</v>
      </c>
      <c r="C232" s="14"/>
      <c r="D232" s="45"/>
      <c r="E232" s="83"/>
      <c r="F232" s="84"/>
      <c r="G232" s="84"/>
      <c r="H232" s="84"/>
    </row>
    <row r="233" spans="1:8" ht="15" hidden="1" customHeight="1" x14ac:dyDescent="0.2">
      <c r="A233" s="13" t="s">
        <v>490</v>
      </c>
      <c r="D233" s="30" t="s">
        <v>439</v>
      </c>
      <c r="E233" s="29" t="s">
        <v>417</v>
      </c>
      <c r="F233" s="30" t="s">
        <v>411</v>
      </c>
      <c r="G233" s="29" t="s">
        <v>439</v>
      </c>
      <c r="H233" s="29" t="s">
        <v>417</v>
      </c>
    </row>
    <row r="234" spans="1:8" ht="15" hidden="1" customHeight="1" x14ac:dyDescent="0.2">
      <c r="A234" s="13" t="s">
        <v>490</v>
      </c>
      <c r="B234" s="14" t="s">
        <v>63</v>
      </c>
      <c r="C234" s="14"/>
      <c r="D234" s="33"/>
      <c r="E234" s="33"/>
      <c r="F234" s="33"/>
      <c r="G234" s="33"/>
      <c r="H234" s="34"/>
    </row>
    <row r="235" spans="1:8" ht="15" hidden="1" customHeight="1" x14ac:dyDescent="0.2">
      <c r="A235" s="13" t="s">
        <v>490</v>
      </c>
      <c r="D235" s="30" t="s">
        <v>439</v>
      </c>
      <c r="E235" s="30" t="s">
        <v>411</v>
      </c>
      <c r="F235" s="30" t="s">
        <v>439</v>
      </c>
      <c r="G235" s="30" t="s">
        <v>411</v>
      </c>
      <c r="H235" s="30" t="s">
        <v>439</v>
      </c>
    </row>
    <row r="236" spans="1:8" ht="15" hidden="1" customHeight="1" x14ac:dyDescent="0.2">
      <c r="A236" s="13" t="s">
        <v>490</v>
      </c>
      <c r="B236" s="14" t="s">
        <v>64</v>
      </c>
      <c r="C236" s="14"/>
      <c r="D236" s="33"/>
      <c r="E236" s="33"/>
      <c r="F236" s="33"/>
      <c r="G236" s="33"/>
      <c r="H236" s="33"/>
    </row>
    <row r="237" spans="1:8" ht="15" hidden="1" customHeight="1" x14ac:dyDescent="0.2">
      <c r="A237" s="13" t="s">
        <v>490</v>
      </c>
    </row>
    <row r="238" spans="1:8" ht="15" hidden="1" customHeight="1" x14ac:dyDescent="0.2">
      <c r="A238" s="13" t="s">
        <v>490</v>
      </c>
      <c r="B238" s="14" t="s">
        <v>36</v>
      </c>
      <c r="C238" s="14"/>
      <c r="D238" s="33"/>
      <c r="E238" s="14" t="s">
        <v>59</v>
      </c>
      <c r="F238" s="33" t="s">
        <v>91</v>
      </c>
    </row>
    <row r="239" spans="1:8" ht="15" hidden="1" customHeight="1" x14ac:dyDescent="0.2">
      <c r="A239" s="13" t="s">
        <v>490</v>
      </c>
      <c r="B239" s="14" t="s">
        <v>62</v>
      </c>
      <c r="C239" s="14"/>
      <c r="D239" s="21"/>
    </row>
    <row r="240" spans="1:8" ht="15" hidden="1" customHeight="1" x14ac:dyDescent="0.2">
      <c r="A240" s="13" t="s">
        <v>490</v>
      </c>
    </row>
    <row r="241" spans="1:8" ht="75.75" hidden="1" customHeight="1" x14ac:dyDescent="0.2">
      <c r="A241" s="13" t="s">
        <v>490</v>
      </c>
      <c r="B241" s="14"/>
      <c r="C241" s="15" t="s">
        <v>463</v>
      </c>
      <c r="D241" s="33"/>
      <c r="E241" s="16" t="s">
        <v>460</v>
      </c>
      <c r="F241" s="64" t="str">
        <f>IF(OR(D224=AA!$A$17, D224=AA!$A$18), "Möchtest Du nach Abschluss der Kampagne ein Reporting?", "")</f>
        <v/>
      </c>
      <c r="G241" s="48" t="s">
        <v>9</v>
      </c>
    </row>
    <row r="242" spans="1:8" ht="15" hidden="1" customHeight="1" x14ac:dyDescent="0.2">
      <c r="A242" s="13" t="s">
        <v>490</v>
      </c>
      <c r="B242" s="14"/>
      <c r="C242" s="14" t="s">
        <v>453</v>
      </c>
      <c r="D242" s="44"/>
      <c r="E242" s="35"/>
      <c r="F242" s="78" t="str">
        <f>IF(AND(D225=AA!$A$75,D243&lt;&gt;""),"OBACHT! Hinweis für Dispo: Der TKP für den Adserver (AllMediaDesk) beträgt 15 Euro. Bedeutet es muss ein Invest von "&amp;TEXT((D243*15)/1000,"#,##0 €")&amp;" angegeben werden","")</f>
        <v/>
      </c>
      <c r="G242" s="78"/>
      <c r="H242" s="78"/>
    </row>
    <row r="243" spans="1:8" ht="15" hidden="1" customHeight="1" x14ac:dyDescent="0.2">
      <c r="A243" s="13" t="s">
        <v>490</v>
      </c>
      <c r="B243" s="14"/>
      <c r="C243" s="14" t="s">
        <v>555</v>
      </c>
      <c r="D243" s="44"/>
      <c r="E243" s="35"/>
      <c r="F243" s="78"/>
      <c r="G243" s="78"/>
      <c r="H243" s="78"/>
    </row>
    <row r="244" spans="1:8" ht="15" hidden="1" customHeight="1" x14ac:dyDescent="0.2">
      <c r="A244" s="13" t="s">
        <v>490</v>
      </c>
      <c r="B244" s="14"/>
      <c r="C244" s="14" t="s">
        <v>60</v>
      </c>
      <c r="D244" s="46">
        <f>D242+D243</f>
        <v>0</v>
      </c>
      <c r="F244" s="79"/>
      <c r="G244" s="79"/>
      <c r="H244" s="79"/>
    </row>
    <row r="245" spans="1:8" ht="88.5" hidden="1" customHeight="1" x14ac:dyDescent="0.2">
      <c r="A245" s="13" t="s">
        <v>490</v>
      </c>
      <c r="B245" s="14"/>
      <c r="C245" s="17" t="s">
        <v>61</v>
      </c>
      <c r="D245" s="80"/>
      <c r="E245" s="80"/>
      <c r="F245" s="80"/>
      <c r="G245" s="80"/>
      <c r="H245" s="80"/>
    </row>
    <row r="246" spans="1:8" ht="20" hidden="1" x14ac:dyDescent="0.2">
      <c r="A246" s="13" t="s">
        <v>490</v>
      </c>
      <c r="C246" s="73" t="str">
        <f>IF(OR(IFERROR(ISNUMBER(SEARCH(" RMS "," "&amp;$D$5&amp;" ")),FALSE),IFERROR(ISNUMBER(SEARCH(" RMS "," "&amp;$D$6&amp;" ")),FALSE),ISNUMBER(MATCH(D225,AA!$A$64:$A$65,0))),IF(OR(IFERROR(ISNUMBER(SEARCH(" RMS "," "&amp;$D$5&amp;" ")),FALSE),IFERROR(ISNUMBER(SEARCH(" RMS "," "&amp;$D$6&amp;" ")),FALSE)),"Obacht! Produktionen, Influencer und Social-Media dürfen NICHT an die RMS verprovisioniert werden. ","")&amp;IF(ISNUMBER(MATCH(D225,AA!$A$64:$A$65,0)),"Beachte, dass die Summe inkl. Boosterbudget ist.",""),"")</f>
        <v/>
      </c>
    </row>
    <row r="247" spans="1:8" ht="15.75" hidden="1" customHeight="1" x14ac:dyDescent="0.2">
      <c r="A247" s="13" t="s">
        <v>490</v>
      </c>
      <c r="B247" s="18" t="s">
        <v>37</v>
      </c>
      <c r="C247" s="18"/>
      <c r="D247" s="18" t="s">
        <v>467</v>
      </c>
      <c r="E247" s="18" t="s">
        <v>418</v>
      </c>
      <c r="F247" s="18" t="s">
        <v>90</v>
      </c>
      <c r="G247" s="18" t="s">
        <v>115</v>
      </c>
      <c r="H247" s="18" t="s">
        <v>38</v>
      </c>
    </row>
    <row r="248" spans="1:8" ht="15" hidden="1" customHeight="1" x14ac:dyDescent="0.2">
      <c r="A248" s="13" t="s">
        <v>490</v>
      </c>
      <c r="B248" s="14" t="str">
        <f>IFERROR(
  INDEX('Buchungskenn durch Kombitabelle'!$A$2:$O$47,
        MATCH(D225,'Buchungskenn durch Kombitabelle'!$A$2:$A$47,0),
        MATCH(D224,'Buchungskenn durch Kombitabelle'!$A$1:$O$1,0)
  ),
  "Fehler"
)</f>
        <v>Fehler</v>
      </c>
      <c r="C248" s="14"/>
      <c r="D248" s="35"/>
      <c r="E248" s="74"/>
      <c r="F248" s="21"/>
      <c r="G248" s="24" t="str">
        <f>IF(F248="ja", (D248-(D248*E248))*0.85, IF(F248="nein", D248-(D248*E248), ""))</f>
        <v/>
      </c>
      <c r="H248" s="21"/>
    </row>
    <row r="249" spans="1:8" ht="15" hidden="1" customHeight="1" x14ac:dyDescent="0.2">
      <c r="A249" s="13" t="s">
        <v>490</v>
      </c>
      <c r="B249" s="14" t="s">
        <v>104</v>
      </c>
      <c r="C249" s="14"/>
      <c r="D249" s="35"/>
      <c r="E249" s="74"/>
      <c r="F249" s="21"/>
      <c r="G249" s="24" t="str">
        <f>IF(F249="ja", (D249-(D249*E249))*0.85, IF(F249="nein", D249-(D249*E249), ""))</f>
        <v/>
      </c>
      <c r="H249" s="21"/>
    </row>
    <row r="250" spans="1:8" ht="15" hidden="1" customHeight="1" x14ac:dyDescent="0.2">
      <c r="A250" s="13" t="s">
        <v>490</v>
      </c>
      <c r="B250" s="14"/>
      <c r="C250" s="14"/>
      <c r="D250" s="35"/>
      <c r="E250" s="74"/>
      <c r="F250" s="21"/>
      <c r="G250" s="24" t="str">
        <f>IF(F250="ja", (D250-(D250*E250))*0.85, IF(F250="nein", D250-(D250*E250), ""))</f>
        <v/>
      </c>
      <c r="H250" s="21"/>
    </row>
    <row r="251" spans="1:8" ht="15.75" hidden="1" customHeight="1" thickBot="1" x14ac:dyDescent="0.25">
      <c r="A251" s="13" t="s">
        <v>490</v>
      </c>
      <c r="F251" s="25">
        <f>IF(F248="ja", (D248-(D248*E248)) * 0.15, 0)
+IF(F249="ja", (D249-(D249*E249)) * 0.15, 0)
+IF(F250="ja", (D250-(D250*E250)) * 0.15, 0)</f>
        <v>0</v>
      </c>
      <c r="G251" s="25">
        <f>SUM(G248:G250)</f>
        <v>0</v>
      </c>
    </row>
    <row r="252" spans="1:8" ht="16.5" hidden="1" customHeight="1" thickTop="1" x14ac:dyDescent="0.2">
      <c r="A252" s="19" t="s">
        <v>491</v>
      </c>
      <c r="B252" s="7" t="s">
        <v>523</v>
      </c>
      <c r="C252" s="7"/>
    </row>
    <row r="253" spans="1:8" ht="15" hidden="1" customHeight="1" x14ac:dyDescent="0.2">
      <c r="A253" s="13" t="s">
        <v>491</v>
      </c>
      <c r="E253" s="37" t="s">
        <v>435</v>
      </c>
    </row>
    <row r="254" spans="1:8" hidden="1" x14ac:dyDescent="0.2">
      <c r="A254" s="13" t="s">
        <v>491</v>
      </c>
      <c r="B254" s="14" t="s">
        <v>30</v>
      </c>
      <c r="C254" s="14"/>
      <c r="D254" s="41"/>
      <c r="E254" s="51" t="str">
        <f>IF(D254=AA!$A$18,"WerbemittelPodcast",
    IF(COUNTIF(AA!$A$21:$A$24,D254)&gt;0,"WerbemittelEvents",
        IF(OR(D254=AA!$A$17,D254=AA!$A$11,D254=AA!$A$12),
            IF(D254=AA!$A$17,"WerbemittelOA","WerbemittelKombi"),
            "WerbemittelUKW")))</f>
        <v>WerbemittelUKW</v>
      </c>
      <c r="F254" s="55" t="str">
        <f>IF(OR(AA!$A$21=D254, AA!$A$22=D254, AA!$A$23=D254, AA!$A$24=D254), "Bitte gib die Event- Kostenstelle ein", "")</f>
        <v/>
      </c>
      <c r="G254" s="72"/>
    </row>
    <row r="255" spans="1:8" ht="33.75" hidden="1" customHeight="1" x14ac:dyDescent="0.2">
      <c r="A255" s="13" t="s">
        <v>491</v>
      </c>
      <c r="B255" s="14" t="s">
        <v>31</v>
      </c>
      <c r="C255" s="14"/>
      <c r="D255" s="40"/>
      <c r="E255" s="55" t="str">
        <f>IF(OR(ISNUMBER(MATCH(D255,AA!$A$33:$A$41,0)),ISNUMBER(MATCH(D255,AA!$A$48,0)),ISNUMBER(MATCH(D255,AA!$A$55:$A$59,0)),ISNUMBER(MATCH(D255,AA!$A$69:$A$78,0))),"Liegen die Nutzungsrechte vor? (nur bei über Krane&amp;Raabe produzierte Spots)","")</f>
        <v/>
      </c>
      <c r="F255" s="48"/>
    </row>
    <row r="256" spans="1:8" ht="22.5" hidden="1" customHeight="1" x14ac:dyDescent="0.2">
      <c r="A256" s="13" t="s">
        <v>491</v>
      </c>
      <c r="B256" s="14" t="s">
        <v>494</v>
      </c>
      <c r="C256" s="14"/>
      <c r="D256" s="40"/>
      <c r="E256" s="55" t="str">
        <f>IF(D256="ja","Soll eine Verpackung eingeplant werden?","")</f>
        <v/>
      </c>
      <c r="F256" s="48" t="s">
        <v>9</v>
      </c>
    </row>
    <row r="257" spans="1:8" ht="24" hidden="1" customHeight="1" x14ac:dyDescent="0.2">
      <c r="A257" s="13" t="s">
        <v>491</v>
      </c>
      <c r="B257" s="14" t="s">
        <v>32</v>
      </c>
      <c r="C257" s="14"/>
      <c r="D257" s="39"/>
      <c r="E257" s="77" t="str">
        <f>IF(OR(ISNUMBER(MATCH(D255,AA!$A$64:$A$65,0)),),"Gib hier ggf. den Boosterbetrag ein.","")</f>
        <v/>
      </c>
      <c r="F257" s="76"/>
    </row>
    <row r="258" spans="1:8" ht="15" hidden="1" customHeight="1" x14ac:dyDescent="0.2">
      <c r="A258" s="13" t="s">
        <v>491</v>
      </c>
      <c r="B258" s="14" t="s">
        <v>42</v>
      </c>
      <c r="C258" s="14"/>
      <c r="D258" s="40"/>
    </row>
    <row r="259" spans="1:8" ht="15" hidden="1" customHeight="1" x14ac:dyDescent="0.2">
      <c r="A259" s="13" t="s">
        <v>491</v>
      </c>
      <c r="B259" s="14" t="s">
        <v>114</v>
      </c>
      <c r="C259" s="14"/>
      <c r="D259" s="40"/>
    </row>
    <row r="260" spans="1:8" ht="15" hidden="1" customHeight="1" x14ac:dyDescent="0.2">
      <c r="A260" s="13" t="s">
        <v>491</v>
      </c>
      <c r="B260" s="14" t="s">
        <v>113</v>
      </c>
      <c r="C260" s="14"/>
      <c r="D260" s="42"/>
      <c r="E260" s="47" t="str">
        <f>IF(OR(D255=AA!$A$42,D255=AA!$A$44,D255=AA!$A$46,D255=AA!$A$47,D255=AA!$A$48,D255=AA!$A$49,D255=AA!$A$50,D255=AA!$A$51,D255=AA!$A$52,D255=AA!$A$53,D255=AA!$A$54,D255=AA!$A$55,D255=AA!$A$56,D255=AA!$A$57,D255=AA!$A$58,D255=AA!$A$59),
"Überprüfe die Einsatzpläne und Uhrzeiten im Hinblick auf Sinnhaftigkeit. (Bspw. keine Promo nach PayOff)",
"")</f>
        <v/>
      </c>
    </row>
    <row r="261" spans="1:8" ht="15" hidden="1" customHeight="1" x14ac:dyDescent="0.2">
      <c r="A261" s="13" t="s">
        <v>491</v>
      </c>
      <c r="B261" s="14" t="s">
        <v>33</v>
      </c>
      <c r="C261" s="14"/>
      <c r="D261" s="43" t="str">
        <f t="array" ref="D261">IFERROR(
  INDEX('Einplanung durch Kombitabelle'!$C$2:$C$411,
        MATCH(1,
          (D254='Einplanung durch Kombitabelle'!$A$2:$A$411)*
          (D255='Einplanung durch Kombitabelle'!$B$2:$B$411),
        0)
  ),
  "Sender/Werbemittel nicht vollständig ausgefüllt"
)</f>
        <v>Sender/Werbemittel nicht vollständig ausgefüllt</v>
      </c>
      <c r="E261" s="81" t="str">
        <f>IF(AND(D254=AA!$A$14,D255=AA!$A$47),"Handelt es sich um einen St. Pauli Backstage Abbinder, Einplanung durch OAP",
IF(AND(D254=AA!$A$13,D255=AA!$A$52),"Handelt es sich um die Radio Hamburg Chartshow, Einplanung durch Dispo",
IF(AND(D254=AA!$A$13,D255=AA!$A$50),"Handelt es sich um ein Radio Hamburg Wettersponsoring oder Citylife, Einplanung durch Dispo",
IF(AND(D254=AA!$A$13,D255=AA!$A$51),"Handelt es sich um ein Radio Hamburg Wettersponsoring oder Citylife, Einplanung durch Dispo",""))))</f>
        <v/>
      </c>
      <c r="F261" s="82"/>
      <c r="G261" s="82"/>
      <c r="H261" s="82"/>
    </row>
    <row r="262" spans="1:8" hidden="1" x14ac:dyDescent="0.2">
      <c r="A262" s="13" t="s">
        <v>491</v>
      </c>
      <c r="B262" s="14" t="s">
        <v>436</v>
      </c>
      <c r="C262" s="14"/>
      <c r="D262" s="45"/>
      <c r="E262" s="83"/>
      <c r="F262" s="84"/>
      <c r="G262" s="84"/>
      <c r="H262" s="84"/>
    </row>
    <row r="263" spans="1:8" ht="15" hidden="1" customHeight="1" x14ac:dyDescent="0.2">
      <c r="A263" s="13" t="s">
        <v>491</v>
      </c>
      <c r="D263" s="30" t="s">
        <v>439</v>
      </c>
      <c r="E263" s="29" t="s">
        <v>417</v>
      </c>
      <c r="F263" s="30" t="s">
        <v>411</v>
      </c>
      <c r="G263" s="29" t="s">
        <v>439</v>
      </c>
      <c r="H263" s="29" t="s">
        <v>417</v>
      </c>
    </row>
    <row r="264" spans="1:8" ht="15" hidden="1" customHeight="1" x14ac:dyDescent="0.2">
      <c r="A264" s="13" t="s">
        <v>491</v>
      </c>
      <c r="B264" s="14" t="s">
        <v>63</v>
      </c>
      <c r="C264" s="14"/>
      <c r="D264" s="33"/>
      <c r="E264" s="33"/>
      <c r="F264" s="33"/>
      <c r="G264" s="33"/>
      <c r="H264" s="34"/>
    </row>
    <row r="265" spans="1:8" ht="15" hidden="1" customHeight="1" x14ac:dyDescent="0.2">
      <c r="A265" s="13" t="s">
        <v>491</v>
      </c>
      <c r="D265" s="30" t="s">
        <v>439</v>
      </c>
      <c r="E265" s="30" t="s">
        <v>411</v>
      </c>
      <c r="F265" s="30" t="s">
        <v>439</v>
      </c>
      <c r="G265" s="30" t="s">
        <v>411</v>
      </c>
      <c r="H265" s="30" t="s">
        <v>439</v>
      </c>
    </row>
    <row r="266" spans="1:8" ht="15" hidden="1" customHeight="1" x14ac:dyDescent="0.2">
      <c r="A266" s="13" t="s">
        <v>491</v>
      </c>
      <c r="B266" s="14" t="s">
        <v>64</v>
      </c>
      <c r="C266" s="14"/>
      <c r="D266" s="33"/>
      <c r="E266" s="33"/>
      <c r="F266" s="33"/>
      <c r="G266" s="33"/>
      <c r="H266" s="33"/>
    </row>
    <row r="267" spans="1:8" ht="15" hidden="1" customHeight="1" x14ac:dyDescent="0.2">
      <c r="A267" s="13" t="s">
        <v>491</v>
      </c>
    </row>
    <row r="268" spans="1:8" ht="15" hidden="1" customHeight="1" x14ac:dyDescent="0.2">
      <c r="A268" s="13" t="s">
        <v>491</v>
      </c>
      <c r="B268" s="14" t="s">
        <v>36</v>
      </c>
      <c r="C268" s="14"/>
      <c r="D268" s="33"/>
      <c r="E268" s="14" t="s">
        <v>59</v>
      </c>
      <c r="F268" s="33" t="s">
        <v>91</v>
      </c>
    </row>
    <row r="269" spans="1:8" ht="15" hidden="1" customHeight="1" x14ac:dyDescent="0.2">
      <c r="A269" s="13" t="s">
        <v>491</v>
      </c>
      <c r="B269" s="14" t="s">
        <v>62</v>
      </c>
      <c r="C269" s="14"/>
      <c r="D269" s="21"/>
    </row>
    <row r="270" spans="1:8" ht="15" hidden="1" customHeight="1" x14ac:dyDescent="0.2">
      <c r="A270" s="13" t="s">
        <v>491</v>
      </c>
    </row>
    <row r="271" spans="1:8" ht="75.75" hidden="1" customHeight="1" x14ac:dyDescent="0.2">
      <c r="A271" s="13" t="s">
        <v>491</v>
      </c>
      <c r="B271" s="14"/>
      <c r="C271" s="15" t="s">
        <v>463</v>
      </c>
      <c r="D271" s="33"/>
      <c r="E271" s="16" t="s">
        <v>460</v>
      </c>
      <c r="F271" s="64" t="str">
        <f>IF(OR(D254=AA!$A$17, D254=AA!$A$18), "Möchtest Du nach Abschluss der Kampagne ein Reporting?", "")</f>
        <v/>
      </c>
      <c r="G271" s="48" t="s">
        <v>9</v>
      </c>
    </row>
    <row r="272" spans="1:8" ht="15" hidden="1" customHeight="1" x14ac:dyDescent="0.2">
      <c r="A272" s="13" t="s">
        <v>491</v>
      </c>
      <c r="B272" s="14"/>
      <c r="C272" s="14" t="s">
        <v>453</v>
      </c>
      <c r="D272" s="44"/>
      <c r="E272" s="35"/>
      <c r="F272" s="78" t="str">
        <f>IF(AND(D255=AA!$A$75,D273&lt;&gt;""),"OBACHT! Hinweis für Dispo: Der TKP für den Adserver (AllMediaDesk) beträgt 15 Euro. Bedeutet es muss ein Invest von "&amp;TEXT((D273*15)/1000,"#,##0 €")&amp;" angegeben werden","")</f>
        <v/>
      </c>
      <c r="G272" s="78"/>
      <c r="H272" s="78"/>
    </row>
    <row r="273" spans="1:8" ht="15" hidden="1" customHeight="1" x14ac:dyDescent="0.2">
      <c r="A273" s="13" t="s">
        <v>491</v>
      </c>
      <c r="B273" s="14"/>
      <c r="C273" s="14" t="s">
        <v>555</v>
      </c>
      <c r="D273" s="44"/>
      <c r="E273" s="35"/>
      <c r="F273" s="78"/>
      <c r="G273" s="78"/>
      <c r="H273" s="78"/>
    </row>
    <row r="274" spans="1:8" ht="15" hidden="1" customHeight="1" x14ac:dyDescent="0.2">
      <c r="A274" s="13" t="s">
        <v>491</v>
      </c>
      <c r="B274" s="14"/>
      <c r="C274" s="14" t="s">
        <v>60</v>
      </c>
      <c r="D274" s="46">
        <f>D272+D273</f>
        <v>0</v>
      </c>
      <c r="F274" s="79"/>
      <c r="G274" s="79"/>
      <c r="H274" s="79"/>
    </row>
    <row r="275" spans="1:8" ht="88.5" hidden="1" customHeight="1" x14ac:dyDescent="0.2">
      <c r="A275" s="13" t="s">
        <v>491</v>
      </c>
      <c r="B275" s="14"/>
      <c r="C275" s="17" t="s">
        <v>61</v>
      </c>
      <c r="D275" s="80"/>
      <c r="E275" s="80"/>
      <c r="F275" s="80"/>
      <c r="G275" s="80"/>
      <c r="H275" s="80"/>
    </row>
    <row r="276" spans="1:8" ht="20" hidden="1" x14ac:dyDescent="0.2">
      <c r="A276" s="13" t="s">
        <v>491</v>
      </c>
      <c r="C276" s="73" t="str">
        <f>IF(OR(IFERROR(ISNUMBER(SEARCH(" RMS "," "&amp;$D$5&amp;" ")),FALSE),IFERROR(ISNUMBER(SEARCH(" RMS "," "&amp;$D$6&amp;" ")),FALSE),ISNUMBER(MATCH(D255,AA!$A$64:$A$65,0))),IF(OR(IFERROR(ISNUMBER(SEARCH(" RMS "," "&amp;$D$5&amp;" ")),FALSE),IFERROR(ISNUMBER(SEARCH(" RMS "," "&amp;$D$6&amp;" ")),FALSE)),"Obacht! Produktionen, Influencer und Social-Media dürfen NICHT an die RMS verprovisioniert werden. ","")&amp;IF(ISNUMBER(MATCH(D255,AA!$A$64:$A$65,0)),"Beachte, dass die Summe inkl. Boosterbudget ist.",""),"")</f>
        <v/>
      </c>
    </row>
    <row r="277" spans="1:8" ht="15.75" hidden="1" customHeight="1" x14ac:dyDescent="0.2">
      <c r="A277" s="13" t="s">
        <v>491</v>
      </c>
      <c r="B277" s="18" t="s">
        <v>37</v>
      </c>
      <c r="C277" s="18"/>
      <c r="D277" s="18" t="s">
        <v>467</v>
      </c>
      <c r="E277" s="18" t="s">
        <v>418</v>
      </c>
      <c r="F277" s="18" t="s">
        <v>90</v>
      </c>
      <c r="G277" s="18" t="s">
        <v>115</v>
      </c>
      <c r="H277" s="18" t="s">
        <v>38</v>
      </c>
    </row>
    <row r="278" spans="1:8" ht="15" hidden="1" customHeight="1" x14ac:dyDescent="0.2">
      <c r="A278" s="13" t="s">
        <v>491</v>
      </c>
      <c r="B278" s="14" t="str">
        <f>IFERROR(
  INDEX('Buchungskenn durch Kombitabelle'!$A$2:$O$47,
        MATCH(D255,'Buchungskenn durch Kombitabelle'!$A$2:$A$47,0),
        MATCH(D254,'Buchungskenn durch Kombitabelle'!$A$1:$O$1,0)
  ),
  "Fehler"
)</f>
        <v>Fehler</v>
      </c>
      <c r="C278" s="14"/>
      <c r="D278" s="35"/>
      <c r="E278" s="74"/>
      <c r="F278" s="21"/>
      <c r="G278" s="24" t="str">
        <f>IF(F278="ja", (D278-(D278*E278))*0.85, IF(F278="nein", D278-(D278*E278), ""))</f>
        <v/>
      </c>
      <c r="H278" s="21"/>
    </row>
    <row r="279" spans="1:8" ht="15" hidden="1" customHeight="1" x14ac:dyDescent="0.2">
      <c r="A279" s="13" t="s">
        <v>491</v>
      </c>
      <c r="B279" s="14" t="s">
        <v>104</v>
      </c>
      <c r="C279" s="14"/>
      <c r="D279" s="35"/>
      <c r="E279" s="74"/>
      <c r="F279" s="21"/>
      <c r="G279" s="24" t="str">
        <f>IF(F279="ja", (D279-(D279*E279))*0.85, IF(F279="nein", D279-(D279*E279), ""))</f>
        <v/>
      </c>
      <c r="H279" s="21"/>
    </row>
    <row r="280" spans="1:8" ht="15" hidden="1" customHeight="1" x14ac:dyDescent="0.2">
      <c r="A280" s="13" t="s">
        <v>491</v>
      </c>
      <c r="B280" s="14"/>
      <c r="C280" s="14"/>
      <c r="D280" s="35"/>
      <c r="E280" s="74"/>
      <c r="F280" s="21"/>
      <c r="G280" s="24" t="str">
        <f>IF(F280="ja", (D280-(D280*E280))*0.85, IF(F280="nein", D280-(D280*E280), ""))</f>
        <v/>
      </c>
      <c r="H280" s="21"/>
    </row>
    <row r="281" spans="1:8" ht="15.75" hidden="1" customHeight="1" thickBot="1" x14ac:dyDescent="0.25">
      <c r="A281" s="13" t="s">
        <v>491</v>
      </c>
      <c r="F281" s="25">
        <f>IF(F278="ja", (D278-(D278*E278)) * 0.15, 0)
+IF(F279="ja", (D279-(D279*E279)) * 0.15, 0)
+IF(F280="ja", (D280-(D280*E280)) * 0.15, 0)</f>
        <v>0</v>
      </c>
      <c r="G281" s="25">
        <f>SUM(G278:G280)</f>
        <v>0</v>
      </c>
    </row>
    <row r="282" spans="1:8" ht="16.5" hidden="1" customHeight="1" thickTop="1" x14ac:dyDescent="0.2">
      <c r="A282" s="19" t="s">
        <v>492</v>
      </c>
      <c r="B282" s="7" t="s">
        <v>523</v>
      </c>
      <c r="C282" s="7"/>
    </row>
    <row r="283" spans="1:8" ht="15" hidden="1" customHeight="1" x14ac:dyDescent="0.2">
      <c r="A283" s="13" t="s">
        <v>492</v>
      </c>
      <c r="E283" s="37" t="s">
        <v>435</v>
      </c>
    </row>
    <row r="284" spans="1:8" hidden="1" x14ac:dyDescent="0.2">
      <c r="A284" s="13" t="s">
        <v>492</v>
      </c>
      <c r="B284" s="14" t="s">
        <v>30</v>
      </c>
      <c r="C284" s="14"/>
      <c r="D284" s="41"/>
      <c r="E284" s="51" t="str">
        <f>IF(D284=AA!$A$18,"WerbemittelPodcast",
    IF(COUNTIF(AA!$A$21:$A$24,D284)&gt;0,"WerbemittelEvents",
        IF(OR(D284=AA!$A$17,D284=AA!$A$11,D284=AA!$A$12),
            IF(D284=AA!$A$17,"WerbemittelOA","WerbemittelKombi"),
            "WerbemittelUKW")))</f>
        <v>WerbemittelUKW</v>
      </c>
      <c r="F284" s="55" t="str">
        <f>IF(OR(AA!$A$21=D284, AA!$A$22=D284, AA!$A$23=D284, AA!$A$24=D284), "Bitte gib die Event- Kostenstelle ein", "")</f>
        <v/>
      </c>
      <c r="G284" s="72"/>
    </row>
    <row r="285" spans="1:8" ht="33.75" hidden="1" customHeight="1" x14ac:dyDescent="0.2">
      <c r="A285" s="13" t="s">
        <v>492</v>
      </c>
      <c r="B285" s="14" t="s">
        <v>31</v>
      </c>
      <c r="C285" s="14"/>
      <c r="D285" s="40"/>
      <c r="E285" s="55" t="str">
        <f>IF(OR(ISNUMBER(MATCH(D285,AA!$A$33:$A$41,0)),ISNUMBER(MATCH(D285,AA!$A$48,0)),ISNUMBER(MATCH(D285,AA!$A$55:$A$59,0)),ISNUMBER(MATCH(D285,AA!$A$69:$A$78,0))),"Liegen die Nutzungsrechte vor? (nur bei über Krane&amp;Raabe produzierte Spots)","")</f>
        <v/>
      </c>
      <c r="F285" s="48"/>
    </row>
    <row r="286" spans="1:8" ht="22.5" hidden="1" customHeight="1" x14ac:dyDescent="0.2">
      <c r="A286" s="13" t="s">
        <v>492</v>
      </c>
      <c r="B286" s="14" t="s">
        <v>494</v>
      </c>
      <c r="C286" s="14"/>
      <c r="D286" s="40"/>
      <c r="E286" s="55" t="str">
        <f>IF(D286="ja","Soll eine Verpackung eingeplant werden?","")</f>
        <v/>
      </c>
      <c r="F286" s="48" t="s">
        <v>9</v>
      </c>
    </row>
    <row r="287" spans="1:8" ht="24" hidden="1" customHeight="1" x14ac:dyDescent="0.2">
      <c r="A287" s="13" t="s">
        <v>492</v>
      </c>
      <c r="B287" s="14" t="s">
        <v>32</v>
      </c>
      <c r="C287" s="14"/>
      <c r="D287" s="39"/>
      <c r="E287" s="77" t="str">
        <f>IF(OR(ISNUMBER(MATCH(D285,AA!$A$64:$A$65,0)),),"Gib hier ggf. den Boosterbetrag ein.","")</f>
        <v/>
      </c>
      <c r="F287" s="76"/>
    </row>
    <row r="288" spans="1:8" ht="15" hidden="1" customHeight="1" x14ac:dyDescent="0.2">
      <c r="A288" s="13" t="s">
        <v>492</v>
      </c>
      <c r="B288" s="14" t="s">
        <v>42</v>
      </c>
      <c r="C288" s="14"/>
      <c r="D288" s="40"/>
    </row>
    <row r="289" spans="1:8" ht="15" hidden="1" customHeight="1" x14ac:dyDescent="0.2">
      <c r="A289" s="13" t="s">
        <v>492</v>
      </c>
      <c r="B289" s="14" t="s">
        <v>114</v>
      </c>
      <c r="C289" s="14"/>
      <c r="D289" s="40"/>
    </row>
    <row r="290" spans="1:8" ht="15" hidden="1" customHeight="1" x14ac:dyDescent="0.2">
      <c r="A290" s="13" t="s">
        <v>492</v>
      </c>
      <c r="B290" s="14" t="s">
        <v>113</v>
      </c>
      <c r="C290" s="14"/>
      <c r="D290" s="42"/>
      <c r="E290" s="47" t="str">
        <f>IF(OR(D285=AA!$A$42,D285=AA!$A$44,D285=AA!$A$46,D285=AA!$A$47,D285=AA!$A$48,D285=AA!$A$49,D285=AA!$A$50,D285=AA!$A$51,D285=AA!$A$52,D285=AA!$A$53,D285=AA!$A$54,D285=AA!$A$55,D285=AA!$A$56,D285=AA!$A$57,D285=AA!$A$58,D285=AA!$A$59),
"Überprüfe die Einsatzpläne und Uhrzeiten im Hinblick auf Sinnhaftigkeit. (Bspw. keine Promo nach PayOff)",
"")</f>
        <v/>
      </c>
    </row>
    <row r="291" spans="1:8" ht="15" hidden="1" customHeight="1" x14ac:dyDescent="0.2">
      <c r="A291" s="13" t="s">
        <v>492</v>
      </c>
      <c r="B291" s="14" t="s">
        <v>33</v>
      </c>
      <c r="C291" s="14"/>
      <c r="D291" s="43" t="str">
        <f t="array" ref="D291">IFERROR(
  INDEX('Einplanung durch Kombitabelle'!$C$2:$C$411,
        MATCH(1,
          (D284='Einplanung durch Kombitabelle'!$A$2:$A$411)*
          (D285='Einplanung durch Kombitabelle'!$B$2:$B$411),
        0)
  ),
  "Sender/Werbemittel nicht vollständig ausgefüllt"
)</f>
        <v>Sender/Werbemittel nicht vollständig ausgefüllt</v>
      </c>
      <c r="E291" s="81" t="str">
        <f>IF(AND(D284=AA!$A$14,D285=AA!$A$47),"Handelt es sich um einen St. Pauli Backstage Abbinder, Einplanung durch OAP",
IF(AND(D284=AA!$A$13,D285=AA!$A$52),"Handelt es sich um die Radio Hamburg Chartshow, Einplanung durch Dispo",
IF(AND(D284=AA!$A$13,D285=AA!$A$50),"Handelt es sich um ein Radio Hamburg Wettersponsoring oder Citylife, Einplanung durch Dispo",
IF(AND(D284=AA!$A$13,D285=AA!$A$51),"Handelt es sich um ein Radio Hamburg Wettersponsoring oder Citylife, Einplanung durch Dispo",""))))</f>
        <v/>
      </c>
      <c r="F291" s="82"/>
      <c r="G291" s="82"/>
      <c r="H291" s="82"/>
    </row>
    <row r="292" spans="1:8" hidden="1" x14ac:dyDescent="0.2">
      <c r="A292" s="13" t="s">
        <v>492</v>
      </c>
      <c r="B292" s="14" t="s">
        <v>436</v>
      </c>
      <c r="C292" s="14"/>
      <c r="D292" s="45"/>
      <c r="E292" s="83"/>
      <c r="F292" s="84"/>
      <c r="G292" s="84"/>
      <c r="H292" s="84"/>
    </row>
    <row r="293" spans="1:8" ht="15" hidden="1" customHeight="1" x14ac:dyDescent="0.2">
      <c r="A293" s="13" t="s">
        <v>492</v>
      </c>
      <c r="D293" s="30" t="s">
        <v>439</v>
      </c>
      <c r="E293" s="29" t="s">
        <v>417</v>
      </c>
      <c r="F293" s="30" t="s">
        <v>411</v>
      </c>
      <c r="G293" s="29" t="s">
        <v>439</v>
      </c>
      <c r="H293" s="29" t="s">
        <v>417</v>
      </c>
    </row>
    <row r="294" spans="1:8" ht="15" hidden="1" customHeight="1" x14ac:dyDescent="0.2">
      <c r="A294" s="13" t="s">
        <v>492</v>
      </c>
      <c r="B294" s="14" t="s">
        <v>63</v>
      </c>
      <c r="C294" s="14"/>
      <c r="D294" s="33"/>
      <c r="E294" s="33"/>
      <c r="F294" s="33"/>
      <c r="G294" s="33"/>
      <c r="H294" s="34"/>
    </row>
    <row r="295" spans="1:8" ht="15" hidden="1" customHeight="1" x14ac:dyDescent="0.2">
      <c r="A295" s="13" t="s">
        <v>492</v>
      </c>
      <c r="D295" s="30" t="s">
        <v>439</v>
      </c>
      <c r="E295" s="30" t="s">
        <v>411</v>
      </c>
      <c r="F295" s="30" t="s">
        <v>439</v>
      </c>
      <c r="G295" s="30" t="s">
        <v>411</v>
      </c>
      <c r="H295" s="30" t="s">
        <v>439</v>
      </c>
    </row>
    <row r="296" spans="1:8" ht="15" hidden="1" customHeight="1" x14ac:dyDescent="0.2">
      <c r="A296" s="13" t="s">
        <v>492</v>
      </c>
      <c r="B296" s="14" t="s">
        <v>64</v>
      </c>
      <c r="C296" s="14"/>
      <c r="D296" s="33"/>
      <c r="E296" s="33"/>
      <c r="F296" s="33"/>
      <c r="G296" s="33"/>
      <c r="H296" s="33"/>
    </row>
    <row r="297" spans="1:8" ht="15" hidden="1" customHeight="1" x14ac:dyDescent="0.2">
      <c r="A297" s="13" t="s">
        <v>492</v>
      </c>
    </row>
    <row r="298" spans="1:8" ht="15" hidden="1" customHeight="1" x14ac:dyDescent="0.2">
      <c r="A298" s="13" t="s">
        <v>492</v>
      </c>
      <c r="B298" s="14" t="s">
        <v>36</v>
      </c>
      <c r="C298" s="14"/>
      <c r="D298" s="33"/>
      <c r="E298" s="14" t="s">
        <v>59</v>
      </c>
      <c r="F298" s="33" t="s">
        <v>91</v>
      </c>
    </row>
    <row r="299" spans="1:8" ht="15" hidden="1" customHeight="1" x14ac:dyDescent="0.2">
      <c r="A299" s="13" t="s">
        <v>492</v>
      </c>
      <c r="B299" s="14" t="s">
        <v>62</v>
      </c>
      <c r="C299" s="14"/>
      <c r="D299" s="21"/>
    </row>
    <row r="300" spans="1:8" ht="15" hidden="1" customHeight="1" x14ac:dyDescent="0.2">
      <c r="A300" s="13" t="s">
        <v>492</v>
      </c>
    </row>
    <row r="301" spans="1:8" ht="75.75" hidden="1" customHeight="1" x14ac:dyDescent="0.2">
      <c r="A301" s="13" t="s">
        <v>492</v>
      </c>
      <c r="B301" s="14"/>
      <c r="C301" s="15" t="s">
        <v>463</v>
      </c>
      <c r="D301" s="33"/>
      <c r="E301" s="16" t="s">
        <v>460</v>
      </c>
      <c r="F301" s="64" t="str">
        <f>IF(OR(D284=AA!$A$17, D284=AA!$A$18), "Möchtest Du nach Abschluss der Kampagne ein Reporting?", "")</f>
        <v/>
      </c>
      <c r="G301" s="48" t="s">
        <v>9</v>
      </c>
    </row>
    <row r="302" spans="1:8" ht="15" hidden="1" customHeight="1" x14ac:dyDescent="0.2">
      <c r="A302" s="13" t="s">
        <v>492</v>
      </c>
      <c r="B302" s="14"/>
      <c r="C302" s="14" t="s">
        <v>453</v>
      </c>
      <c r="D302" s="44"/>
      <c r="E302" s="35"/>
      <c r="F302" s="78" t="str">
        <f>IF(AND(D285=AA!$A$75,D303&lt;&gt;""),"OBACHT! Hinweis für Dispo: Der TKP für den Adserver (AllMediaDesk) beträgt 15 Euro. Bedeutet es muss ein Invest von "&amp;TEXT((D303*15)/1000,"#,##0 €")&amp;" angegeben werden","")</f>
        <v/>
      </c>
      <c r="G302" s="78"/>
      <c r="H302" s="78"/>
    </row>
    <row r="303" spans="1:8" ht="15" hidden="1" customHeight="1" x14ac:dyDescent="0.2">
      <c r="A303" s="13" t="s">
        <v>492</v>
      </c>
      <c r="B303" s="14"/>
      <c r="C303" s="14" t="s">
        <v>555</v>
      </c>
      <c r="D303" s="44"/>
      <c r="E303" s="35"/>
      <c r="F303" s="78"/>
      <c r="G303" s="78"/>
      <c r="H303" s="78"/>
    </row>
    <row r="304" spans="1:8" ht="15" hidden="1" customHeight="1" x14ac:dyDescent="0.2">
      <c r="A304" s="13" t="s">
        <v>492</v>
      </c>
      <c r="B304" s="14"/>
      <c r="C304" s="14" t="s">
        <v>60</v>
      </c>
      <c r="D304" s="46">
        <f>D302+D303</f>
        <v>0</v>
      </c>
      <c r="F304" s="79"/>
      <c r="G304" s="79"/>
      <c r="H304" s="79"/>
    </row>
    <row r="305" spans="1:8" ht="88.5" hidden="1" customHeight="1" x14ac:dyDescent="0.2">
      <c r="A305" s="13" t="s">
        <v>492</v>
      </c>
      <c r="B305" s="14"/>
      <c r="C305" s="17" t="s">
        <v>61</v>
      </c>
      <c r="D305" s="80"/>
      <c r="E305" s="80"/>
      <c r="F305" s="80"/>
      <c r="G305" s="80"/>
      <c r="H305" s="80"/>
    </row>
    <row r="306" spans="1:8" ht="20" hidden="1" x14ac:dyDescent="0.2">
      <c r="A306" s="13" t="s">
        <v>492</v>
      </c>
      <c r="C306" s="73" t="str">
        <f>IF(OR(IFERROR(ISNUMBER(SEARCH(" RMS "," "&amp;$D$5&amp;" ")),FALSE),IFERROR(ISNUMBER(SEARCH(" RMS "," "&amp;$D$6&amp;" ")),FALSE),ISNUMBER(MATCH(D285,AA!$A$64:$A$65,0))),IF(OR(IFERROR(ISNUMBER(SEARCH(" RMS "," "&amp;$D$5&amp;" ")),FALSE),IFERROR(ISNUMBER(SEARCH(" RMS "," "&amp;$D$6&amp;" ")),FALSE)),"Obacht! Produktionen, Influencer und Social-Media dürfen NICHT an die RMS verprovisioniert werden. ","")&amp;IF(ISNUMBER(MATCH(D285,AA!$A$64:$A$65,0)),"Beachte, dass die Summe inkl. Boosterbudget ist.",""),"")</f>
        <v/>
      </c>
    </row>
    <row r="307" spans="1:8" ht="15.75" hidden="1" customHeight="1" x14ac:dyDescent="0.2">
      <c r="A307" s="13" t="s">
        <v>492</v>
      </c>
      <c r="B307" s="18" t="s">
        <v>37</v>
      </c>
      <c r="C307" s="18"/>
      <c r="D307" s="18" t="s">
        <v>467</v>
      </c>
      <c r="E307" s="18" t="s">
        <v>418</v>
      </c>
      <c r="F307" s="18" t="s">
        <v>90</v>
      </c>
      <c r="G307" s="18" t="s">
        <v>115</v>
      </c>
      <c r="H307" s="18" t="s">
        <v>38</v>
      </c>
    </row>
    <row r="308" spans="1:8" ht="15" hidden="1" customHeight="1" x14ac:dyDescent="0.2">
      <c r="A308" s="13" t="s">
        <v>492</v>
      </c>
      <c r="B308" s="14" t="str">
        <f>IFERROR(
  INDEX('Buchungskenn durch Kombitabelle'!$A$2:$O$47,
        MATCH(D285,'Buchungskenn durch Kombitabelle'!$A$2:$A$47,0),
        MATCH(D284,'Buchungskenn durch Kombitabelle'!$A$1:$O$1,0)
  ),
  "Fehler"
)</f>
        <v>Fehler</v>
      </c>
      <c r="C308" s="14"/>
      <c r="D308" s="35"/>
      <c r="E308" s="74"/>
      <c r="F308" s="21"/>
      <c r="G308" s="24" t="str">
        <f>IF(F308="ja", (D308-(D308*E308))*0.85, IF(F308="nein", D308-(D308*E308), ""))</f>
        <v/>
      </c>
      <c r="H308" s="21"/>
    </row>
    <row r="309" spans="1:8" ht="15" hidden="1" customHeight="1" x14ac:dyDescent="0.2">
      <c r="A309" s="13" t="s">
        <v>492</v>
      </c>
      <c r="B309" s="14" t="s">
        <v>104</v>
      </c>
      <c r="C309" s="14"/>
      <c r="D309" s="35"/>
      <c r="E309" s="74"/>
      <c r="F309" s="21"/>
      <c r="G309" s="24" t="str">
        <f>IF(F309="ja", (D309-(D309*E309))*0.85, IF(F309="nein", D309-(D309*E309), ""))</f>
        <v/>
      </c>
      <c r="H309" s="21"/>
    </row>
    <row r="310" spans="1:8" ht="15" hidden="1" customHeight="1" x14ac:dyDescent="0.2">
      <c r="A310" s="13" t="s">
        <v>492</v>
      </c>
      <c r="B310" s="14"/>
      <c r="C310" s="14"/>
      <c r="D310" s="35"/>
      <c r="E310" s="74"/>
      <c r="F310" s="21"/>
      <c r="G310" s="24" t="str">
        <f>IF(F310="ja", (D310-(D310*E310))*0.85, IF(F310="nein", D310-(D310*E310), ""))</f>
        <v/>
      </c>
      <c r="H310" s="21"/>
    </row>
    <row r="311" spans="1:8" ht="15" hidden="1" customHeight="1" x14ac:dyDescent="0.2">
      <c r="A311" s="13" t="s">
        <v>492</v>
      </c>
      <c r="F311" s="25">
        <f>IF(F308="ja", (D308-(D308*E308)) * 0.15, 0)
+IF(F309="ja", (D309-(D309*E309)) * 0.15, 0)
+IF(F310="ja", (D310-(D310*E310)) * 0.15, 0)</f>
        <v>0</v>
      </c>
      <c r="G311" s="25">
        <f>SUM(G308:G310)</f>
        <v>0</v>
      </c>
    </row>
    <row r="312" spans="1:8" ht="15.75" hidden="1" customHeight="1" x14ac:dyDescent="0.2">
      <c r="A312" s="13" t="s">
        <v>473</v>
      </c>
      <c r="B312" s="7" t="s">
        <v>523</v>
      </c>
      <c r="C312" s="7"/>
    </row>
    <row r="313" spans="1:8" ht="15" hidden="1" customHeight="1" x14ac:dyDescent="0.2">
      <c r="A313" s="13" t="s">
        <v>473</v>
      </c>
      <c r="E313" s="37" t="s">
        <v>435</v>
      </c>
    </row>
    <row r="314" spans="1:8" hidden="1" x14ac:dyDescent="0.2">
      <c r="A314" s="13" t="s">
        <v>473</v>
      </c>
      <c r="B314" s="14" t="s">
        <v>30</v>
      </c>
      <c r="C314" s="14"/>
      <c r="D314" s="41"/>
      <c r="E314" s="51" t="str">
        <f>IF(D314=AA!$A$18,"WerbemittelPodcast",
    IF(COUNTIF(AA!$A$21:$A$24,D314)&gt;0,"WerbemittelEvents",
        IF(OR(D314=AA!$A$17,D314=AA!$A$11,D314=AA!$A$12),
            IF(D314=AA!$A$17,"WerbemittelOA","WerbemittelKombi"),
            "WerbemittelUKW")))</f>
        <v>WerbemittelUKW</v>
      </c>
      <c r="F314" s="55" t="str">
        <f>IF(OR(AA!$A$21=D314, AA!$A$22=D314, AA!$A$23=D314, AA!$A$24=D314), "Bitte gib die Event- Kostenstelle ein", "")</f>
        <v/>
      </c>
      <c r="G314" s="72"/>
    </row>
    <row r="315" spans="1:8" ht="33.75" hidden="1" customHeight="1" x14ac:dyDescent="0.2">
      <c r="A315" s="13" t="s">
        <v>473</v>
      </c>
      <c r="B315" s="14" t="s">
        <v>31</v>
      </c>
      <c r="C315" s="14"/>
      <c r="D315" s="40"/>
      <c r="E315" s="55" t="str">
        <f>IF(OR(ISNUMBER(MATCH(D315,AA!$A$33:$A$41,0)),ISNUMBER(MATCH(D315,AA!$A$48,0)),ISNUMBER(MATCH(D315,AA!$A$55:$A$59,0)),ISNUMBER(MATCH(D315,AA!$A$69:$A$78,0))),"Liegen die Nutzungsrechte vor? (nur bei über Krane&amp;Raabe produzierte Spots)","")</f>
        <v/>
      </c>
      <c r="F315" s="48"/>
    </row>
    <row r="316" spans="1:8" ht="22.5" hidden="1" customHeight="1" x14ac:dyDescent="0.2">
      <c r="A316" s="13" t="s">
        <v>473</v>
      </c>
      <c r="B316" s="14" t="s">
        <v>494</v>
      </c>
      <c r="C316" s="14"/>
      <c r="D316" s="40"/>
      <c r="E316" s="55" t="str">
        <f>IF(D316="ja","Soll eine Verpackung eingeplant werden?","")</f>
        <v/>
      </c>
      <c r="F316" s="48" t="s">
        <v>9</v>
      </c>
    </row>
    <row r="317" spans="1:8" ht="24" hidden="1" customHeight="1" x14ac:dyDescent="0.2">
      <c r="A317" s="13" t="s">
        <v>473</v>
      </c>
      <c r="B317" s="14" t="s">
        <v>32</v>
      </c>
      <c r="C317" s="14"/>
      <c r="D317" s="39"/>
      <c r="E317" s="77" t="str">
        <f>IF(OR(ISNUMBER(MATCH(D315,AA!$A$64:$A$65,0)),),"Gib hier ggf. den Boosterbetrag ein.","")</f>
        <v/>
      </c>
      <c r="F317" s="76"/>
    </row>
    <row r="318" spans="1:8" ht="15" hidden="1" customHeight="1" x14ac:dyDescent="0.2">
      <c r="A318" s="13" t="s">
        <v>473</v>
      </c>
      <c r="B318" s="14" t="s">
        <v>42</v>
      </c>
      <c r="C318" s="14"/>
      <c r="D318" s="40"/>
    </row>
    <row r="319" spans="1:8" ht="15" hidden="1" customHeight="1" x14ac:dyDescent="0.2">
      <c r="A319" s="13" t="s">
        <v>473</v>
      </c>
      <c r="B319" s="14" t="s">
        <v>114</v>
      </c>
      <c r="C319" s="14"/>
      <c r="D319" s="40"/>
    </row>
    <row r="320" spans="1:8" ht="15" hidden="1" customHeight="1" x14ac:dyDescent="0.2">
      <c r="A320" s="13" t="s">
        <v>473</v>
      </c>
      <c r="B320" s="14" t="s">
        <v>113</v>
      </c>
      <c r="C320" s="14"/>
      <c r="D320" s="42"/>
      <c r="E320" s="47" t="str">
        <f>IF(OR(D315=AA!$A$42,D315=AA!$A$44,D315=AA!$A$46,D315=AA!$A$47,D315=AA!$A$48,D315=AA!$A$49,D315=AA!$A$50,D315=AA!$A$51,D315=AA!$A$52,D315=AA!$A$53,D315=AA!$A$54,D315=AA!$A$55,D315=AA!$A$56,D315=AA!$A$57,D315=AA!$A$58,D315=AA!$A$59),
"Überprüfe die Einsatzpläne und Uhrzeiten im Hinblick auf Sinnhaftigkeit. (Bspw. keine Promo nach PayOff)",
"")</f>
        <v/>
      </c>
    </row>
    <row r="321" spans="1:8" ht="15" hidden="1" customHeight="1" x14ac:dyDescent="0.2">
      <c r="A321" s="13" t="s">
        <v>473</v>
      </c>
      <c r="B321" s="14" t="s">
        <v>33</v>
      </c>
      <c r="C321" s="14"/>
      <c r="D321" s="43" t="str">
        <f t="array" ref="D321">IFERROR(
  INDEX('Einplanung durch Kombitabelle'!$C$2:$C$411,
        MATCH(1,
          (D314='Einplanung durch Kombitabelle'!$A$2:$A$411)*
          (D315='Einplanung durch Kombitabelle'!$B$2:$B$411),
        0)
  ),
  "Sender/Werbemittel nicht vollständig ausgefüllt"
)</f>
        <v>Sender/Werbemittel nicht vollständig ausgefüllt</v>
      </c>
      <c r="E321" s="81" t="str">
        <f>IF(AND(D314=AA!$A$14,D315=AA!$A$47),"Handelt es sich um einen St. Pauli Backstage Abbinder, Einplanung durch OAP",
IF(AND(D314=AA!$A$13,D315=AA!$A$52),"Handelt es sich um die Radio Hamburg Chartshow, Einplanung durch Dispo",
IF(AND(D314=AA!$A$13,D315=AA!$A$50),"Handelt es sich um ein Radio Hamburg Wettersponsoring oder Citylife, Einplanung durch Dispo",
IF(AND(D314=AA!$A$13,D315=AA!$A$51),"Handelt es sich um ein Radio Hamburg Wettersponsoring oder Citylife, Einplanung durch Dispo",""))))</f>
        <v/>
      </c>
      <c r="F321" s="82"/>
      <c r="G321" s="82"/>
      <c r="H321" s="82"/>
    </row>
    <row r="322" spans="1:8" hidden="1" x14ac:dyDescent="0.2">
      <c r="A322" s="13" t="s">
        <v>473</v>
      </c>
      <c r="B322" s="14" t="s">
        <v>436</v>
      </c>
      <c r="C322" s="14"/>
      <c r="D322" s="45"/>
      <c r="E322" s="83"/>
      <c r="F322" s="84"/>
      <c r="G322" s="84"/>
      <c r="H322" s="84"/>
    </row>
    <row r="323" spans="1:8" ht="15" hidden="1" customHeight="1" x14ac:dyDescent="0.2">
      <c r="A323" s="13" t="s">
        <v>473</v>
      </c>
      <c r="D323" s="30" t="s">
        <v>439</v>
      </c>
      <c r="E323" s="29" t="s">
        <v>417</v>
      </c>
      <c r="F323" s="30" t="s">
        <v>411</v>
      </c>
      <c r="G323" s="29" t="s">
        <v>439</v>
      </c>
      <c r="H323" s="29" t="s">
        <v>417</v>
      </c>
    </row>
    <row r="324" spans="1:8" ht="15" hidden="1" customHeight="1" x14ac:dyDescent="0.2">
      <c r="A324" s="13" t="s">
        <v>473</v>
      </c>
      <c r="B324" s="14" t="s">
        <v>63</v>
      </c>
      <c r="C324" s="14"/>
      <c r="D324" s="33"/>
      <c r="E324" s="33"/>
      <c r="F324" s="33"/>
      <c r="G324" s="33"/>
      <c r="H324" s="34"/>
    </row>
    <row r="325" spans="1:8" ht="15" hidden="1" customHeight="1" x14ac:dyDescent="0.2">
      <c r="A325" s="13" t="s">
        <v>473</v>
      </c>
      <c r="D325" s="30" t="s">
        <v>439</v>
      </c>
      <c r="E325" s="30" t="s">
        <v>411</v>
      </c>
      <c r="F325" s="30" t="s">
        <v>439</v>
      </c>
      <c r="G325" s="30" t="s">
        <v>411</v>
      </c>
      <c r="H325" s="30" t="s">
        <v>439</v>
      </c>
    </row>
    <row r="326" spans="1:8" ht="15" hidden="1" customHeight="1" x14ac:dyDescent="0.2">
      <c r="A326" s="13" t="s">
        <v>473</v>
      </c>
      <c r="B326" s="14" t="s">
        <v>64</v>
      </c>
      <c r="C326" s="14"/>
      <c r="D326" s="33"/>
      <c r="E326" s="33"/>
      <c r="F326" s="33"/>
      <c r="G326" s="33"/>
      <c r="H326" s="33"/>
    </row>
    <row r="327" spans="1:8" ht="15" hidden="1" customHeight="1" x14ac:dyDescent="0.2">
      <c r="A327" s="13" t="s">
        <v>473</v>
      </c>
    </row>
    <row r="328" spans="1:8" ht="15" hidden="1" customHeight="1" x14ac:dyDescent="0.2">
      <c r="A328" s="13" t="s">
        <v>473</v>
      </c>
      <c r="B328" s="14" t="s">
        <v>36</v>
      </c>
      <c r="C328" s="14"/>
      <c r="D328" s="33"/>
      <c r="E328" s="14" t="s">
        <v>59</v>
      </c>
      <c r="F328" s="33" t="s">
        <v>91</v>
      </c>
    </row>
    <row r="329" spans="1:8" ht="15" hidden="1" customHeight="1" x14ac:dyDescent="0.2">
      <c r="A329" s="13" t="s">
        <v>473</v>
      </c>
      <c r="B329" s="14" t="s">
        <v>62</v>
      </c>
      <c r="C329" s="14"/>
      <c r="D329" s="21"/>
    </row>
    <row r="330" spans="1:8" ht="15" hidden="1" customHeight="1" x14ac:dyDescent="0.2">
      <c r="A330" s="13" t="s">
        <v>473</v>
      </c>
    </row>
    <row r="331" spans="1:8" ht="75.75" hidden="1" customHeight="1" x14ac:dyDescent="0.2">
      <c r="A331" s="13" t="s">
        <v>473</v>
      </c>
      <c r="B331" s="14"/>
      <c r="C331" s="15" t="s">
        <v>463</v>
      </c>
      <c r="D331" s="33"/>
      <c r="E331" s="16" t="s">
        <v>460</v>
      </c>
      <c r="F331" s="64" t="str">
        <f>IF(OR(D314=AA!$A$17, D314=AA!$A$18), "Möchtest Du nach Abschluss der Kampagne ein Reporting?", "")</f>
        <v/>
      </c>
      <c r="G331" s="48" t="s">
        <v>9</v>
      </c>
    </row>
    <row r="332" spans="1:8" ht="15" hidden="1" customHeight="1" x14ac:dyDescent="0.2">
      <c r="A332" s="13" t="s">
        <v>473</v>
      </c>
      <c r="B332" s="14"/>
      <c r="C332" s="14" t="s">
        <v>453</v>
      </c>
      <c r="D332" s="44"/>
      <c r="E332" s="35"/>
      <c r="F332" s="78" t="str">
        <f>IF(AND(D315=AA!$A$75,D333&lt;&gt;""),"OBACHT! Hinweis für Dispo: Der TKP für den Adserver (AllMediaDesk) beträgt 15 Euro. Bedeutet es muss ein Invest von "&amp;TEXT((D333*15)/1000,"#,##0 €")&amp;" angegeben werden","")</f>
        <v/>
      </c>
      <c r="G332" s="78"/>
      <c r="H332" s="78"/>
    </row>
    <row r="333" spans="1:8" ht="15" hidden="1" customHeight="1" x14ac:dyDescent="0.2">
      <c r="A333" s="13" t="s">
        <v>473</v>
      </c>
      <c r="B333" s="14"/>
      <c r="C333" s="14" t="s">
        <v>555</v>
      </c>
      <c r="D333" s="44"/>
      <c r="E333" s="35"/>
      <c r="F333" s="78"/>
      <c r="G333" s="78"/>
      <c r="H333" s="78"/>
    </row>
    <row r="334" spans="1:8" ht="15" hidden="1" customHeight="1" x14ac:dyDescent="0.2">
      <c r="A334" s="13" t="s">
        <v>473</v>
      </c>
      <c r="B334" s="14"/>
      <c r="C334" s="14" t="s">
        <v>60</v>
      </c>
      <c r="D334" s="46">
        <f>D332+D333</f>
        <v>0</v>
      </c>
      <c r="F334" s="79"/>
      <c r="G334" s="79"/>
      <c r="H334" s="79"/>
    </row>
    <row r="335" spans="1:8" ht="93.75" hidden="1" customHeight="1" x14ac:dyDescent="0.2">
      <c r="A335" s="13" t="s">
        <v>473</v>
      </c>
      <c r="B335" s="14"/>
      <c r="C335" s="17" t="s">
        <v>61</v>
      </c>
      <c r="D335" s="80"/>
      <c r="E335" s="80"/>
      <c r="F335" s="80"/>
      <c r="G335" s="80"/>
      <c r="H335" s="80"/>
    </row>
    <row r="336" spans="1:8" ht="20" hidden="1" x14ac:dyDescent="0.2">
      <c r="A336" s="13" t="s">
        <v>473</v>
      </c>
      <c r="C336" s="73" t="str">
        <f>IF(OR(IFERROR(ISNUMBER(SEARCH(" RMS "," "&amp;$D$5&amp;" ")),FALSE),IFERROR(ISNUMBER(SEARCH(" RMS "," "&amp;$D$6&amp;" ")),FALSE),ISNUMBER(MATCH(D315,AA!$A$64:$A$65,0))),IF(OR(IFERROR(ISNUMBER(SEARCH(" RMS "," "&amp;$D$5&amp;" ")),FALSE),IFERROR(ISNUMBER(SEARCH(" RMS "," "&amp;$D$6&amp;" ")),FALSE)),"Obacht! Produktionen, Influencer und Social-Media dürfen NICHT an die RMS verprovisioniert werden. ","")&amp;IF(ISNUMBER(MATCH(D315,AA!$A$64:$A$65,0)),"Beachte, dass die Summe inkl. Boosterbudget ist.",""),"")</f>
        <v/>
      </c>
    </row>
    <row r="337" spans="1:8" ht="15.75" hidden="1" customHeight="1" x14ac:dyDescent="0.2">
      <c r="A337" s="13" t="s">
        <v>473</v>
      </c>
      <c r="B337" s="18" t="s">
        <v>37</v>
      </c>
      <c r="C337" s="18"/>
      <c r="D337" s="18" t="s">
        <v>467</v>
      </c>
      <c r="E337" s="18" t="s">
        <v>418</v>
      </c>
      <c r="F337" s="18" t="s">
        <v>90</v>
      </c>
      <c r="G337" s="18" t="s">
        <v>115</v>
      </c>
      <c r="H337" s="18" t="s">
        <v>38</v>
      </c>
    </row>
    <row r="338" spans="1:8" ht="15" hidden="1" customHeight="1" x14ac:dyDescent="0.2">
      <c r="A338" s="13" t="s">
        <v>473</v>
      </c>
      <c r="B338" s="14" t="str">
        <f>IFERROR(
  INDEX('Buchungskenn durch Kombitabelle'!$A$2:$O$47,
        MATCH(D315,'Buchungskenn durch Kombitabelle'!$A$2:$A$47,0),
        MATCH(D314,'Buchungskenn durch Kombitabelle'!$A$1:$O$1,0)
  ),
  "Fehler"
)</f>
        <v>Fehler</v>
      </c>
      <c r="C338" s="14"/>
      <c r="D338" s="35"/>
      <c r="E338" s="74"/>
      <c r="F338" s="21"/>
      <c r="G338" s="24" t="str">
        <f>IF(F338="ja", (D338-(D338*E338))*0.85, IF(F338="nein", D338-(D338*E338), ""))</f>
        <v/>
      </c>
      <c r="H338" s="21"/>
    </row>
    <row r="339" spans="1:8" ht="15" hidden="1" customHeight="1" x14ac:dyDescent="0.2">
      <c r="A339" s="13" t="s">
        <v>473</v>
      </c>
      <c r="B339" s="14" t="s">
        <v>104</v>
      </c>
      <c r="C339" s="14"/>
      <c r="D339" s="35"/>
      <c r="E339" s="74"/>
      <c r="F339" s="21"/>
      <c r="G339" s="24" t="str">
        <f>IF(F339="ja", (D339-(D339*E339))*0.85, IF(F339="nein", D339-(D339*E339), ""))</f>
        <v/>
      </c>
      <c r="H339" s="21"/>
    </row>
    <row r="340" spans="1:8" ht="15" hidden="1" customHeight="1" x14ac:dyDescent="0.2">
      <c r="A340" s="13" t="s">
        <v>473</v>
      </c>
      <c r="B340" s="14"/>
      <c r="C340" s="14"/>
      <c r="D340" s="35"/>
      <c r="E340" s="74"/>
      <c r="F340" s="21"/>
      <c r="G340" s="24" t="str">
        <f>IF(F340="ja", (D340-(D340*E340))*0.85, IF(F340="nein", D340-(D340*E340), ""))</f>
        <v/>
      </c>
      <c r="H340" s="21"/>
    </row>
    <row r="341" spans="1:8" ht="15" hidden="1" customHeight="1" x14ac:dyDescent="0.2">
      <c r="A341" s="13" t="s">
        <v>473</v>
      </c>
      <c r="F341" s="25">
        <f>IF(F338="ja", (D338-(D338*E338)) * 0.15, 0)
+IF(F339="ja", (D339-(D339*E339)) * 0.15, 0)
+IF(F340="ja", (D340-(D340*E340)) * 0.15, 0)</f>
        <v>0</v>
      </c>
      <c r="G341" s="25">
        <f>SUM(G338:G340)</f>
        <v>0</v>
      </c>
    </row>
    <row r="342" spans="1:8" ht="15.75" hidden="1" customHeight="1" x14ac:dyDescent="0.2">
      <c r="A342" s="13" t="s">
        <v>474</v>
      </c>
      <c r="B342" s="7" t="s">
        <v>523</v>
      </c>
      <c r="C342" s="7"/>
    </row>
    <row r="343" spans="1:8" ht="15" hidden="1" customHeight="1" x14ac:dyDescent="0.2">
      <c r="A343" s="13" t="s">
        <v>474</v>
      </c>
      <c r="E343" s="37" t="s">
        <v>435</v>
      </c>
    </row>
    <row r="344" spans="1:8" hidden="1" x14ac:dyDescent="0.2">
      <c r="A344" s="13" t="s">
        <v>474</v>
      </c>
      <c r="B344" s="14" t="s">
        <v>30</v>
      </c>
      <c r="C344" s="14"/>
      <c r="D344" s="41"/>
      <c r="E344" s="51" t="str">
        <f>IF(D344=AA!$A$18,"WerbemittelPodcast",
    IF(COUNTIF(AA!$A$21:$A$24,D344)&gt;0,"WerbemittelEvents",
        IF(OR(D344=AA!$A$17,D344=AA!$A$11,D344=AA!$A$12),
            IF(D344=AA!$A$17,"WerbemittelOA","WerbemittelKombi"),
            "WerbemittelUKW")))</f>
        <v>WerbemittelUKW</v>
      </c>
      <c r="F344" s="55" t="str">
        <f>IF(OR(AA!$A$21=D344, AA!$A$22=D344, AA!$A$23=D344, AA!$A$24=D344), "Bitte gib die Event- Kostenstelle ein", "")</f>
        <v/>
      </c>
      <c r="G344" s="72"/>
    </row>
    <row r="345" spans="1:8" ht="33.75" hidden="1" customHeight="1" x14ac:dyDescent="0.2">
      <c r="A345" s="13" t="s">
        <v>474</v>
      </c>
      <c r="B345" s="14" t="s">
        <v>31</v>
      </c>
      <c r="C345" s="14"/>
      <c r="D345" s="40"/>
      <c r="E345" s="55" t="str">
        <f>IF(OR(ISNUMBER(MATCH(D345,AA!$A$33:$A$41,0)),ISNUMBER(MATCH(D345,AA!$A$48,0)),ISNUMBER(MATCH(D345,AA!$A$55:$A$59,0)),ISNUMBER(MATCH(D345,AA!$A$69:$A$78,0))),"Liegen die Nutzungsrechte vor? (nur bei über Krane&amp;Raabe produzierte Spots)","")</f>
        <v/>
      </c>
      <c r="F345" s="48"/>
    </row>
    <row r="346" spans="1:8" ht="22.5" hidden="1" customHeight="1" x14ac:dyDescent="0.2">
      <c r="A346" s="13" t="s">
        <v>474</v>
      </c>
      <c r="B346" s="14" t="s">
        <v>494</v>
      </c>
      <c r="C346" s="14"/>
      <c r="D346" s="40"/>
      <c r="E346" s="55" t="str">
        <f>IF(D346="ja","Soll eine Verpackung eingeplant werden?","")</f>
        <v/>
      </c>
      <c r="F346" s="48" t="s">
        <v>9</v>
      </c>
    </row>
    <row r="347" spans="1:8" ht="24" hidden="1" customHeight="1" x14ac:dyDescent="0.2">
      <c r="A347" s="13" t="s">
        <v>474</v>
      </c>
      <c r="B347" s="14" t="s">
        <v>32</v>
      </c>
      <c r="C347" s="14"/>
      <c r="D347" s="39"/>
      <c r="E347" s="77" t="str">
        <f>IF(OR(ISNUMBER(MATCH(D345,AA!$A$64:$A$65,0)),),"Gib hier ggf. den Boosterbetrag ein.","")</f>
        <v/>
      </c>
      <c r="F347" s="76"/>
    </row>
    <row r="348" spans="1:8" ht="15" hidden="1" customHeight="1" x14ac:dyDescent="0.2">
      <c r="A348" s="13" t="s">
        <v>474</v>
      </c>
      <c r="B348" s="14" t="s">
        <v>42</v>
      </c>
      <c r="C348" s="14"/>
      <c r="D348" s="40"/>
    </row>
    <row r="349" spans="1:8" ht="15" hidden="1" customHeight="1" x14ac:dyDescent="0.2">
      <c r="A349" s="13" t="s">
        <v>474</v>
      </c>
      <c r="B349" s="14" t="s">
        <v>114</v>
      </c>
      <c r="C349" s="14"/>
      <c r="D349" s="40"/>
    </row>
    <row r="350" spans="1:8" ht="15" hidden="1" customHeight="1" x14ac:dyDescent="0.2">
      <c r="A350" s="13" t="s">
        <v>474</v>
      </c>
      <c r="B350" s="14" t="s">
        <v>113</v>
      </c>
      <c r="C350" s="14"/>
      <c r="D350" s="42"/>
      <c r="E350" s="47" t="str">
        <f>IF(OR(D345=AA!$A$42,D345=AA!$A$44,D345=AA!$A$46,D345=AA!$A$47,D345=AA!$A$48,D345=AA!$A$49,D345=AA!$A$50,D345=AA!$A$51,D345=AA!$A$52,D345=AA!$A$53,D345=AA!$A$54,D345=AA!$A$55,D345=AA!$A$56,D345=AA!$A$57,D345=AA!$A$58,D345=AA!$A$59),
"Überprüfe die Einsatzpläne und Uhrzeiten im Hinblick auf Sinnhaftigkeit. (Bspw. keine Promo nach PayOff)",
"")</f>
        <v/>
      </c>
    </row>
    <row r="351" spans="1:8" ht="15" hidden="1" customHeight="1" x14ac:dyDescent="0.2">
      <c r="A351" s="13" t="s">
        <v>474</v>
      </c>
      <c r="B351" s="14" t="s">
        <v>33</v>
      </c>
      <c r="C351" s="14"/>
      <c r="D351" s="43" t="str">
        <f t="array" ref="D351">IFERROR(
  INDEX('Einplanung durch Kombitabelle'!$C$2:$C$411,
        MATCH(1,
          (D344='Einplanung durch Kombitabelle'!$A$2:$A$411)*
          (D345='Einplanung durch Kombitabelle'!$B$2:$B$411),
        0)
  ),
  "Sender/Werbemittel nicht vollständig ausgefüllt"
)</f>
        <v>Sender/Werbemittel nicht vollständig ausgefüllt</v>
      </c>
      <c r="E351" s="81" t="str">
        <f>IF(AND(D344=AA!$A$14,D345=AA!$A$47),"Handelt es sich um einen St. Pauli Backstage Abbinder, Einplanung durch OAP",
IF(AND(D344=AA!$A$13,D345=AA!$A$52),"Handelt es sich um die Radio Hamburg Chartshow, Einplanung durch Dispo",
IF(AND(D344=AA!$A$13,D345=AA!$A$50),"Handelt es sich um ein Radio Hamburg Wettersponsoring oder Citylife, Einplanung durch Dispo",
IF(AND(D344=AA!$A$13,D345=AA!$A$51),"Handelt es sich um ein Radio Hamburg Wettersponsoring oder Citylife, Einplanung durch Dispo",""))))</f>
        <v/>
      </c>
      <c r="F351" s="82"/>
      <c r="G351" s="82"/>
      <c r="H351" s="82"/>
    </row>
    <row r="352" spans="1:8" hidden="1" x14ac:dyDescent="0.2">
      <c r="A352" s="13" t="s">
        <v>474</v>
      </c>
      <c r="B352" s="14" t="s">
        <v>436</v>
      </c>
      <c r="C352" s="14"/>
      <c r="D352" s="45"/>
      <c r="E352" s="83"/>
      <c r="F352" s="84"/>
      <c r="G352" s="84"/>
      <c r="H352" s="84"/>
    </row>
    <row r="353" spans="1:8" ht="15" hidden="1" customHeight="1" x14ac:dyDescent="0.2">
      <c r="A353" s="13" t="s">
        <v>474</v>
      </c>
      <c r="D353" s="30" t="s">
        <v>439</v>
      </c>
      <c r="E353" s="29" t="s">
        <v>417</v>
      </c>
      <c r="F353" s="30" t="s">
        <v>411</v>
      </c>
      <c r="G353" s="29" t="s">
        <v>439</v>
      </c>
      <c r="H353" s="29" t="s">
        <v>417</v>
      </c>
    </row>
    <row r="354" spans="1:8" ht="15" hidden="1" customHeight="1" x14ac:dyDescent="0.2">
      <c r="A354" s="13" t="s">
        <v>474</v>
      </c>
      <c r="B354" s="14" t="s">
        <v>63</v>
      </c>
      <c r="C354" s="14"/>
      <c r="D354" s="33"/>
      <c r="E354" s="33"/>
      <c r="F354" s="33"/>
      <c r="G354" s="33"/>
      <c r="H354" s="34"/>
    </row>
    <row r="355" spans="1:8" ht="15" hidden="1" customHeight="1" x14ac:dyDescent="0.2">
      <c r="A355" s="13" t="s">
        <v>474</v>
      </c>
      <c r="D355" s="30" t="s">
        <v>439</v>
      </c>
      <c r="E355" s="30" t="s">
        <v>411</v>
      </c>
      <c r="F355" s="30" t="s">
        <v>439</v>
      </c>
      <c r="G355" s="30" t="s">
        <v>411</v>
      </c>
      <c r="H355" s="30" t="s">
        <v>439</v>
      </c>
    </row>
    <row r="356" spans="1:8" ht="15" hidden="1" customHeight="1" x14ac:dyDescent="0.2">
      <c r="A356" s="13" t="s">
        <v>474</v>
      </c>
      <c r="B356" s="14" t="s">
        <v>64</v>
      </c>
      <c r="C356" s="14"/>
      <c r="D356" s="33"/>
      <c r="E356" s="33"/>
      <c r="F356" s="33"/>
      <c r="G356" s="33"/>
      <c r="H356" s="33"/>
    </row>
    <row r="357" spans="1:8" ht="15" hidden="1" customHeight="1" x14ac:dyDescent="0.2">
      <c r="A357" s="13" t="s">
        <v>474</v>
      </c>
    </row>
    <row r="358" spans="1:8" ht="15" hidden="1" customHeight="1" x14ac:dyDescent="0.2">
      <c r="A358" s="13" t="s">
        <v>474</v>
      </c>
      <c r="B358" s="14" t="s">
        <v>36</v>
      </c>
      <c r="C358" s="14"/>
      <c r="D358" s="33"/>
      <c r="E358" s="14" t="s">
        <v>59</v>
      </c>
      <c r="F358" s="33" t="s">
        <v>91</v>
      </c>
    </row>
    <row r="359" spans="1:8" ht="15" hidden="1" customHeight="1" x14ac:dyDescent="0.2">
      <c r="A359" s="13" t="s">
        <v>474</v>
      </c>
      <c r="B359" s="14" t="s">
        <v>62</v>
      </c>
      <c r="C359" s="14"/>
      <c r="D359" s="21"/>
    </row>
    <row r="360" spans="1:8" ht="15" hidden="1" customHeight="1" x14ac:dyDescent="0.2">
      <c r="A360" s="13" t="s">
        <v>474</v>
      </c>
    </row>
    <row r="361" spans="1:8" ht="75.75" hidden="1" customHeight="1" x14ac:dyDescent="0.2">
      <c r="A361" s="13" t="s">
        <v>474</v>
      </c>
      <c r="B361" s="14"/>
      <c r="C361" s="15" t="s">
        <v>463</v>
      </c>
      <c r="D361" s="33"/>
      <c r="E361" s="16" t="s">
        <v>460</v>
      </c>
      <c r="F361" s="64" t="str">
        <f>IF(OR(D344=AA!$A$17, D344=AA!$A$18), "Möchtest Du nach Abschluss der Kampagne ein Reporting?", "")</f>
        <v/>
      </c>
      <c r="G361" s="48" t="s">
        <v>9</v>
      </c>
    </row>
    <row r="362" spans="1:8" ht="15" hidden="1" customHeight="1" x14ac:dyDescent="0.2">
      <c r="A362" s="13" t="s">
        <v>474</v>
      </c>
      <c r="B362" s="14"/>
      <c r="C362" s="14" t="s">
        <v>453</v>
      </c>
      <c r="D362" s="44"/>
      <c r="E362" s="35"/>
      <c r="F362" s="78" t="str">
        <f>IF(AND(D345=AA!$A$75,D363&lt;&gt;""),"OBACHT! Hinweis für Dispo: Der TKP für den Adserver (AllMediaDesk) beträgt 15 Euro. Bedeutet es muss ein Invest von "&amp;TEXT((D363*15)/1000,"#,##0 €")&amp;" angegeben werden","")</f>
        <v/>
      </c>
      <c r="G362" s="78"/>
      <c r="H362" s="78"/>
    </row>
    <row r="363" spans="1:8" ht="15" hidden="1" customHeight="1" x14ac:dyDescent="0.2">
      <c r="A363" s="13" t="s">
        <v>474</v>
      </c>
      <c r="B363" s="14"/>
      <c r="C363" s="14" t="s">
        <v>555</v>
      </c>
      <c r="D363" s="44"/>
      <c r="E363" s="35"/>
      <c r="F363" s="78"/>
      <c r="G363" s="78"/>
      <c r="H363" s="78"/>
    </row>
    <row r="364" spans="1:8" ht="15" hidden="1" customHeight="1" x14ac:dyDescent="0.2">
      <c r="A364" s="13" t="s">
        <v>474</v>
      </c>
      <c r="B364" s="14"/>
      <c r="C364" s="14" t="s">
        <v>60</v>
      </c>
      <c r="D364" s="46">
        <f>D362+D363</f>
        <v>0</v>
      </c>
      <c r="F364" s="79"/>
      <c r="G364" s="79"/>
      <c r="H364" s="79"/>
    </row>
    <row r="365" spans="1:8" ht="81" hidden="1" customHeight="1" x14ac:dyDescent="0.2">
      <c r="A365" s="13" t="s">
        <v>474</v>
      </c>
      <c r="B365" s="14"/>
      <c r="C365" s="17" t="s">
        <v>61</v>
      </c>
      <c r="D365" s="80"/>
      <c r="E365" s="80"/>
      <c r="F365" s="80"/>
      <c r="G365" s="80"/>
      <c r="H365" s="80"/>
    </row>
    <row r="366" spans="1:8" ht="20" hidden="1" x14ac:dyDescent="0.2">
      <c r="A366" s="13" t="s">
        <v>474</v>
      </c>
      <c r="C366" s="73" t="str">
        <f>IF(OR(IFERROR(ISNUMBER(SEARCH(" RMS "," "&amp;$D$5&amp;" ")),FALSE),IFERROR(ISNUMBER(SEARCH(" RMS "," "&amp;$D$6&amp;" ")),FALSE),ISNUMBER(MATCH(D345,AA!$A$64:$A$65,0))),IF(OR(IFERROR(ISNUMBER(SEARCH(" RMS "," "&amp;$D$5&amp;" ")),FALSE),IFERROR(ISNUMBER(SEARCH(" RMS "," "&amp;$D$6&amp;" ")),FALSE)),"Obacht! Produktionen, Influencer und Social-Media dürfen NICHT an die RMS verprovisioniert werden. ","")&amp;IF(ISNUMBER(MATCH(D345,AA!$A$64:$A$65,0)),"Beachte, dass die Summe inkl. Boosterbudget ist.",""),"")</f>
        <v/>
      </c>
    </row>
    <row r="367" spans="1:8" ht="15.75" hidden="1" customHeight="1" x14ac:dyDescent="0.2">
      <c r="A367" s="13" t="s">
        <v>474</v>
      </c>
      <c r="B367" s="18" t="s">
        <v>37</v>
      </c>
      <c r="C367" s="18"/>
      <c r="D367" s="18" t="s">
        <v>467</v>
      </c>
      <c r="E367" s="18" t="s">
        <v>418</v>
      </c>
      <c r="F367" s="18" t="s">
        <v>90</v>
      </c>
      <c r="G367" s="18" t="s">
        <v>115</v>
      </c>
      <c r="H367" s="18" t="s">
        <v>38</v>
      </c>
    </row>
    <row r="368" spans="1:8" ht="15" hidden="1" customHeight="1" x14ac:dyDescent="0.2">
      <c r="A368" s="13" t="s">
        <v>474</v>
      </c>
      <c r="B368" s="14" t="str">
        <f>IFERROR(
  INDEX('Buchungskenn durch Kombitabelle'!$A$2:$O$47,
        MATCH(D345,'Buchungskenn durch Kombitabelle'!$A$2:$A$47,0),
        MATCH(D344,'Buchungskenn durch Kombitabelle'!$A$1:$O$1,0)
  ),
  "Fehler"
)</f>
        <v>Fehler</v>
      </c>
      <c r="C368" s="14"/>
      <c r="D368" s="35"/>
      <c r="E368" s="74"/>
      <c r="F368" s="21"/>
      <c r="G368" s="24" t="str">
        <f>IF(F368="ja", (D368-(D368*E368))*0.85, IF(F368="nein", D368-(D368*E368), ""))</f>
        <v/>
      </c>
      <c r="H368" s="21"/>
    </row>
    <row r="369" spans="1:8" ht="15" hidden="1" customHeight="1" x14ac:dyDescent="0.2">
      <c r="A369" s="13" t="s">
        <v>474</v>
      </c>
      <c r="B369" s="14" t="s">
        <v>104</v>
      </c>
      <c r="C369" s="14"/>
      <c r="D369" s="35"/>
      <c r="E369" s="74"/>
      <c r="F369" s="21"/>
      <c r="G369" s="24" t="str">
        <f>IF(F369="ja", (D369-(D369*E369))*0.85, IF(F369="nein", D369-(D369*E369), ""))</f>
        <v/>
      </c>
      <c r="H369" s="21"/>
    </row>
    <row r="370" spans="1:8" ht="15" hidden="1" customHeight="1" x14ac:dyDescent="0.2">
      <c r="A370" s="13" t="s">
        <v>474</v>
      </c>
      <c r="B370" s="14"/>
      <c r="C370" s="14"/>
      <c r="D370" s="35"/>
      <c r="E370" s="74"/>
      <c r="F370" s="21"/>
      <c r="G370" s="24" t="str">
        <f>IF(F370="ja", (D370-(D370*E370))*0.85, IF(F370="nein", D370-(D370*E370), ""))</f>
        <v/>
      </c>
      <c r="H370" s="21"/>
    </row>
    <row r="371" spans="1:8" ht="15" hidden="1" customHeight="1" x14ac:dyDescent="0.2">
      <c r="A371" s="13" t="s">
        <v>474</v>
      </c>
      <c r="F371" s="25">
        <f>IF(F368="ja", (D368-(D368*E368)) * 0.15, 0)
+IF(F369="ja", (D369-(D369*E369)) * 0.15, 0)
+IF(F370="ja", (D370-(D370*E370)) * 0.15, 0)</f>
        <v>0</v>
      </c>
      <c r="G371" s="25">
        <f>SUM(G368:G370)</f>
        <v>0</v>
      </c>
    </row>
    <row r="372" spans="1:8" ht="15.75" hidden="1" customHeight="1" x14ac:dyDescent="0.2">
      <c r="A372" s="13" t="s">
        <v>475</v>
      </c>
      <c r="B372" s="7" t="s">
        <v>523</v>
      </c>
      <c r="C372" s="7"/>
    </row>
    <row r="373" spans="1:8" ht="15" hidden="1" customHeight="1" x14ac:dyDescent="0.2">
      <c r="A373" s="13" t="s">
        <v>475</v>
      </c>
      <c r="E373" s="37" t="s">
        <v>435</v>
      </c>
    </row>
    <row r="374" spans="1:8" hidden="1" x14ac:dyDescent="0.2">
      <c r="A374" s="13" t="s">
        <v>475</v>
      </c>
      <c r="B374" s="14" t="s">
        <v>30</v>
      </c>
      <c r="C374" s="14"/>
      <c r="D374" s="41"/>
      <c r="E374" s="51" t="str">
        <f>IF(D374=AA!$A$18,"WerbemittelPodcast",
    IF(COUNTIF(AA!$A$21:$A$24,D374)&gt;0,"WerbemittelEvents",
        IF(OR(D374=AA!$A$17,D374=AA!$A$11,D374=AA!$A$12),
            IF(D374=AA!$A$17,"WerbemittelOA","WerbemittelKombi"),
            "WerbemittelUKW")))</f>
        <v>WerbemittelUKW</v>
      </c>
      <c r="F374" s="55" t="str">
        <f>IF(OR(AA!$A$21=D374, AA!$A$22=D374, AA!$A$23=D374, AA!$A$24=D374), "Bitte gib die Event- Kostenstelle ein", "")</f>
        <v/>
      </c>
      <c r="G374" s="72"/>
    </row>
    <row r="375" spans="1:8" ht="33.75" hidden="1" customHeight="1" x14ac:dyDescent="0.2">
      <c r="A375" s="13" t="s">
        <v>475</v>
      </c>
      <c r="B375" s="14" t="s">
        <v>31</v>
      </c>
      <c r="C375" s="14"/>
      <c r="D375" s="40"/>
      <c r="E375" s="55" t="str">
        <f>IF(OR(ISNUMBER(MATCH(D375,AA!$A$33:$A$41,0)),ISNUMBER(MATCH(D375,AA!$A$48,0)),ISNUMBER(MATCH(D375,AA!$A$55:$A$59,0)),ISNUMBER(MATCH(D375,AA!$A$69:$A$78,0))),"Liegen die Nutzungsrechte vor? (nur bei über Krane&amp;Raabe produzierte Spots)","")</f>
        <v/>
      </c>
      <c r="F375" s="48"/>
    </row>
    <row r="376" spans="1:8" ht="22.5" hidden="1" customHeight="1" x14ac:dyDescent="0.2">
      <c r="A376" s="13" t="s">
        <v>475</v>
      </c>
      <c r="B376" s="14" t="s">
        <v>494</v>
      </c>
      <c r="C376" s="14"/>
      <c r="D376" s="40"/>
      <c r="E376" s="55" t="str">
        <f>IF(D376="ja","Soll eine Verpackung eingeplant werden?","")</f>
        <v/>
      </c>
      <c r="F376" s="48" t="s">
        <v>9</v>
      </c>
    </row>
    <row r="377" spans="1:8" ht="24" hidden="1" customHeight="1" x14ac:dyDescent="0.2">
      <c r="A377" s="13" t="s">
        <v>475</v>
      </c>
      <c r="B377" s="14" t="s">
        <v>32</v>
      </c>
      <c r="C377" s="14"/>
      <c r="D377" s="39"/>
      <c r="E377" s="77" t="str">
        <f>IF(OR(ISNUMBER(MATCH(D375,AA!$A$64:$A$65,0)),),"Gib hier ggf. den Boosterbetrag ein.","")</f>
        <v/>
      </c>
      <c r="F377" s="76"/>
    </row>
    <row r="378" spans="1:8" ht="15" hidden="1" customHeight="1" x14ac:dyDescent="0.2">
      <c r="A378" s="13" t="s">
        <v>475</v>
      </c>
      <c r="B378" s="14" t="s">
        <v>42</v>
      </c>
      <c r="C378" s="14"/>
      <c r="D378" s="40"/>
    </row>
    <row r="379" spans="1:8" ht="15" hidden="1" customHeight="1" x14ac:dyDescent="0.2">
      <c r="A379" s="13" t="s">
        <v>475</v>
      </c>
      <c r="B379" s="14" t="s">
        <v>114</v>
      </c>
      <c r="C379" s="14"/>
      <c r="D379" s="40"/>
    </row>
    <row r="380" spans="1:8" ht="15" hidden="1" customHeight="1" x14ac:dyDescent="0.2">
      <c r="A380" s="13" t="s">
        <v>475</v>
      </c>
      <c r="B380" s="14" t="s">
        <v>113</v>
      </c>
      <c r="C380" s="14"/>
      <c r="D380" s="42"/>
      <c r="E380" s="47" t="str">
        <f>IF(OR(D375=AA!$A$42,D375=AA!$A$44,D375=AA!$A$46,D375=AA!$A$47,D375=AA!$A$48,D375=AA!$A$49,D375=AA!$A$50,D375=AA!$A$51,D375=AA!$A$52,D375=AA!$A$53,D375=AA!$A$54,D375=AA!$A$55,D375=AA!$A$56,D375=AA!$A$57,D375=AA!$A$58,D375=AA!$A$59),
"Überprüfe die Einsatzpläne und Uhrzeiten im Hinblick auf Sinnhaftigkeit. (Bspw. keine Promo nach PayOff)",
"")</f>
        <v/>
      </c>
    </row>
    <row r="381" spans="1:8" ht="15" hidden="1" customHeight="1" x14ac:dyDescent="0.2">
      <c r="A381" s="13" t="s">
        <v>475</v>
      </c>
      <c r="B381" s="14" t="s">
        <v>33</v>
      </c>
      <c r="C381" s="14"/>
      <c r="D381" s="43" t="str">
        <f t="array" ref="D381">IFERROR(
  INDEX('Einplanung durch Kombitabelle'!$C$2:$C$411,
        MATCH(1,
          (D374='Einplanung durch Kombitabelle'!$A$2:$A$411)*
          (D375='Einplanung durch Kombitabelle'!$B$2:$B$411),
        0)
  ),
  "Sender/Werbemittel nicht vollständig ausgefüllt"
)</f>
        <v>Sender/Werbemittel nicht vollständig ausgefüllt</v>
      </c>
      <c r="E381" s="81" t="str">
        <f>IF(AND(D374=AA!$A$14,D375=AA!$A$47),"Handelt es sich um einen St. Pauli Backstage Abbinder, Einplanung durch OAP",
IF(AND(D374=AA!$A$13,D375=AA!$A$52),"Handelt es sich um die Radio Hamburg Chartshow, Einplanung durch Dispo",
IF(AND(D374=AA!$A$13,D375=AA!$A$50),"Handelt es sich um ein Radio Hamburg Wettersponsoring oder Citylife, Einplanung durch Dispo",
IF(AND(D374=AA!$A$13,D375=AA!$A$51),"Handelt es sich um ein Radio Hamburg Wettersponsoring oder Citylife, Einplanung durch Dispo",""))))</f>
        <v/>
      </c>
      <c r="F381" s="82"/>
      <c r="G381" s="82"/>
      <c r="H381" s="82"/>
    </row>
    <row r="382" spans="1:8" hidden="1" x14ac:dyDescent="0.2">
      <c r="A382" s="13" t="s">
        <v>475</v>
      </c>
      <c r="B382" s="14" t="s">
        <v>436</v>
      </c>
      <c r="C382" s="14"/>
      <c r="D382" s="45"/>
      <c r="E382" s="83"/>
      <c r="F382" s="84"/>
      <c r="G382" s="84"/>
      <c r="H382" s="84"/>
    </row>
    <row r="383" spans="1:8" ht="15" hidden="1" customHeight="1" x14ac:dyDescent="0.2">
      <c r="A383" s="13" t="s">
        <v>475</v>
      </c>
      <c r="D383" s="30" t="s">
        <v>439</v>
      </c>
      <c r="E383" s="29" t="s">
        <v>417</v>
      </c>
      <c r="F383" s="30" t="s">
        <v>411</v>
      </c>
      <c r="G383" s="29" t="s">
        <v>439</v>
      </c>
      <c r="H383" s="29" t="s">
        <v>417</v>
      </c>
    </row>
    <row r="384" spans="1:8" ht="15" hidden="1" customHeight="1" x14ac:dyDescent="0.2">
      <c r="A384" s="13" t="s">
        <v>475</v>
      </c>
      <c r="B384" s="14" t="s">
        <v>63</v>
      </c>
      <c r="C384" s="14"/>
      <c r="D384" s="33"/>
      <c r="E384" s="33"/>
      <c r="F384" s="33"/>
      <c r="G384" s="33"/>
      <c r="H384" s="34"/>
    </row>
    <row r="385" spans="1:8" ht="15" hidden="1" customHeight="1" x14ac:dyDescent="0.2">
      <c r="A385" s="13" t="s">
        <v>475</v>
      </c>
      <c r="D385" s="30" t="s">
        <v>439</v>
      </c>
      <c r="E385" s="30" t="s">
        <v>411</v>
      </c>
      <c r="F385" s="30" t="s">
        <v>439</v>
      </c>
      <c r="G385" s="30" t="s">
        <v>411</v>
      </c>
      <c r="H385" s="30" t="s">
        <v>439</v>
      </c>
    </row>
    <row r="386" spans="1:8" ht="15" hidden="1" customHeight="1" x14ac:dyDescent="0.2">
      <c r="A386" s="13" t="s">
        <v>475</v>
      </c>
      <c r="B386" s="14" t="s">
        <v>64</v>
      </c>
      <c r="C386" s="14"/>
      <c r="D386" s="33"/>
      <c r="E386" s="33"/>
      <c r="F386" s="33"/>
      <c r="G386" s="33"/>
      <c r="H386" s="33"/>
    </row>
    <row r="387" spans="1:8" ht="15" hidden="1" customHeight="1" x14ac:dyDescent="0.2">
      <c r="A387" s="13" t="s">
        <v>475</v>
      </c>
    </row>
    <row r="388" spans="1:8" ht="15" hidden="1" customHeight="1" x14ac:dyDescent="0.2">
      <c r="A388" s="13" t="s">
        <v>475</v>
      </c>
      <c r="B388" s="14" t="s">
        <v>36</v>
      </c>
      <c r="C388" s="14"/>
      <c r="D388" s="33"/>
      <c r="E388" s="14" t="s">
        <v>59</v>
      </c>
      <c r="F388" s="33" t="s">
        <v>91</v>
      </c>
    </row>
    <row r="389" spans="1:8" ht="15" hidden="1" customHeight="1" x14ac:dyDescent="0.2">
      <c r="A389" s="13" t="s">
        <v>475</v>
      </c>
      <c r="B389" s="14" t="s">
        <v>62</v>
      </c>
      <c r="C389" s="14"/>
      <c r="D389" s="21"/>
    </row>
    <row r="390" spans="1:8" ht="15" hidden="1" customHeight="1" x14ac:dyDescent="0.2">
      <c r="A390" s="13" t="s">
        <v>475</v>
      </c>
    </row>
    <row r="391" spans="1:8" ht="75.75" hidden="1" customHeight="1" x14ac:dyDescent="0.2">
      <c r="A391" s="13" t="s">
        <v>475</v>
      </c>
      <c r="B391" s="14"/>
      <c r="C391" s="15" t="s">
        <v>463</v>
      </c>
      <c r="D391" s="33"/>
      <c r="E391" s="16" t="s">
        <v>460</v>
      </c>
      <c r="F391" s="64" t="str">
        <f>IF(OR(D374=AA!$A$17, D374=AA!$A$18), "Möchtest Du nach Abschluss der Kampagne ein Reporting?", "")</f>
        <v/>
      </c>
      <c r="G391" s="48" t="s">
        <v>9</v>
      </c>
    </row>
    <row r="392" spans="1:8" ht="15" hidden="1" customHeight="1" x14ac:dyDescent="0.2">
      <c r="A392" s="13" t="s">
        <v>475</v>
      </c>
      <c r="B392" s="14"/>
      <c r="C392" s="14" t="s">
        <v>453</v>
      </c>
      <c r="D392" s="44"/>
      <c r="E392" s="35"/>
      <c r="F392" s="78" t="str">
        <f>IF(AND(D375=AA!$A$75,D393&lt;&gt;""),"OBACHT! Hinweis für Dispo: Der TKP für den Adserver (AllMediaDesk) beträgt 15 Euro. Bedeutet es muss ein Invest von "&amp;TEXT((D393*15)/1000,"#,##0 €")&amp;" angegeben werden","")</f>
        <v/>
      </c>
      <c r="G392" s="78"/>
      <c r="H392" s="78"/>
    </row>
    <row r="393" spans="1:8" ht="15" hidden="1" customHeight="1" x14ac:dyDescent="0.2">
      <c r="A393" s="13" t="s">
        <v>475</v>
      </c>
      <c r="B393" s="14"/>
      <c r="C393" s="14" t="s">
        <v>555</v>
      </c>
      <c r="D393" s="44"/>
      <c r="E393" s="35"/>
      <c r="F393" s="78"/>
      <c r="G393" s="78"/>
      <c r="H393" s="78"/>
    </row>
    <row r="394" spans="1:8" ht="15" hidden="1" customHeight="1" x14ac:dyDescent="0.2">
      <c r="A394" s="13" t="s">
        <v>475</v>
      </c>
      <c r="B394" s="14"/>
      <c r="C394" s="14" t="s">
        <v>60</v>
      </c>
      <c r="D394" s="46">
        <f>D392+D393</f>
        <v>0</v>
      </c>
      <c r="F394" s="79"/>
      <c r="G394" s="79"/>
      <c r="H394" s="79"/>
    </row>
    <row r="395" spans="1:8" ht="30" hidden="1" customHeight="1" x14ac:dyDescent="0.2">
      <c r="A395" s="13" t="s">
        <v>475</v>
      </c>
      <c r="B395" s="14"/>
      <c r="C395" s="17" t="s">
        <v>61</v>
      </c>
      <c r="D395" s="80"/>
      <c r="E395" s="80"/>
      <c r="F395" s="80"/>
      <c r="G395" s="80"/>
      <c r="H395" s="80"/>
    </row>
    <row r="396" spans="1:8" ht="20" hidden="1" x14ac:dyDescent="0.2">
      <c r="A396" s="13" t="s">
        <v>475</v>
      </c>
      <c r="C396" s="73" t="str">
        <f>IF(OR(IFERROR(ISNUMBER(SEARCH(" RMS "," "&amp;$D$5&amp;" ")),FALSE),IFERROR(ISNUMBER(SEARCH(" RMS "," "&amp;$D$6&amp;" ")),FALSE),ISNUMBER(MATCH(D375,AA!$A$64:$A$65,0))),IF(OR(IFERROR(ISNUMBER(SEARCH(" RMS "," "&amp;$D$5&amp;" ")),FALSE),IFERROR(ISNUMBER(SEARCH(" RMS "," "&amp;$D$6&amp;" ")),FALSE)),"Obacht! Produktionen, Influencer und Social-Media dürfen NICHT an die RMS verprovisioniert werden. ","")&amp;IF(ISNUMBER(MATCH(D375,AA!$A$64:$A$65,0)),"Beachte, dass die Summe inkl. Boosterbudget ist.",""),"")</f>
        <v/>
      </c>
    </row>
    <row r="397" spans="1:8" ht="15.75" hidden="1" customHeight="1" x14ac:dyDescent="0.2">
      <c r="A397" s="13" t="s">
        <v>475</v>
      </c>
      <c r="B397" s="18" t="s">
        <v>37</v>
      </c>
      <c r="C397" s="18"/>
      <c r="D397" s="18" t="s">
        <v>467</v>
      </c>
      <c r="E397" s="18" t="s">
        <v>418</v>
      </c>
      <c r="F397" s="18" t="s">
        <v>90</v>
      </c>
      <c r="G397" s="18" t="s">
        <v>115</v>
      </c>
      <c r="H397" s="18" t="s">
        <v>38</v>
      </c>
    </row>
    <row r="398" spans="1:8" ht="15" hidden="1" customHeight="1" x14ac:dyDescent="0.2">
      <c r="A398" s="13" t="s">
        <v>475</v>
      </c>
      <c r="B398" s="14" t="str">
        <f>IFERROR(
  INDEX('Buchungskenn durch Kombitabelle'!$A$2:$O$47,
        MATCH(D375,'Buchungskenn durch Kombitabelle'!$A$2:$A$47,0),
        MATCH(D374,'Buchungskenn durch Kombitabelle'!$A$1:$O$1,0)
  ),
  "Fehler"
)</f>
        <v>Fehler</v>
      </c>
      <c r="C398" s="14"/>
      <c r="D398" s="35"/>
      <c r="E398" s="74"/>
      <c r="F398" s="21"/>
      <c r="G398" s="24" t="str">
        <f>IF(F398="ja", (D398-(D398*E398))*0.85, IF(F398="nein", D398-(D398*E398), ""))</f>
        <v/>
      </c>
      <c r="H398" s="21"/>
    </row>
    <row r="399" spans="1:8" ht="15" hidden="1" customHeight="1" x14ac:dyDescent="0.2">
      <c r="A399" s="13" t="s">
        <v>475</v>
      </c>
      <c r="B399" s="14" t="s">
        <v>104</v>
      </c>
      <c r="C399" s="14"/>
      <c r="D399" s="35"/>
      <c r="E399" s="74"/>
      <c r="F399" s="21"/>
      <c r="G399" s="24" t="str">
        <f>IF(F399="ja", (D399-(D399*E399))*0.85, IF(F399="nein", D399-(D399*E399), ""))</f>
        <v/>
      </c>
      <c r="H399" s="21"/>
    </row>
    <row r="400" spans="1:8" ht="15" hidden="1" customHeight="1" x14ac:dyDescent="0.2">
      <c r="A400" s="13" t="s">
        <v>475</v>
      </c>
      <c r="B400" s="14"/>
      <c r="C400" s="14"/>
      <c r="D400" s="35"/>
      <c r="E400" s="74"/>
      <c r="F400" s="21"/>
      <c r="G400" s="24" t="str">
        <f>IF(F400="ja", (D400-(D400*E400))*0.85, IF(F400="nein", D400-(D400*E400), ""))</f>
        <v/>
      </c>
      <c r="H400" s="21"/>
    </row>
    <row r="401" spans="1:8" ht="15" hidden="1" customHeight="1" x14ac:dyDescent="0.2">
      <c r="A401" s="13" t="s">
        <v>475</v>
      </c>
      <c r="F401" s="25">
        <f>IF(F398="ja", (D398-(D398*E398)) * 0.15, 0)
+IF(F399="ja", (D399-(D399*E399)) * 0.15, 0)
+IF(F400="ja", (D400-(D400*E400)) * 0.15, 0)</f>
        <v>0</v>
      </c>
      <c r="G401" s="25">
        <f>SUM(G398:G400)</f>
        <v>0</v>
      </c>
    </row>
    <row r="402" spans="1:8" ht="15.75" hidden="1" customHeight="1" x14ac:dyDescent="0.2">
      <c r="A402" s="13" t="s">
        <v>476</v>
      </c>
      <c r="B402" s="7" t="s">
        <v>523</v>
      </c>
      <c r="C402" s="7"/>
    </row>
    <row r="403" spans="1:8" ht="15" hidden="1" customHeight="1" x14ac:dyDescent="0.2">
      <c r="A403" s="13" t="s">
        <v>476</v>
      </c>
      <c r="E403" s="37" t="s">
        <v>435</v>
      </c>
    </row>
    <row r="404" spans="1:8" hidden="1" x14ac:dyDescent="0.2">
      <c r="A404" s="13" t="s">
        <v>476</v>
      </c>
      <c r="B404" s="14" t="s">
        <v>30</v>
      </c>
      <c r="C404" s="14"/>
      <c r="D404" s="41"/>
      <c r="E404" s="51" t="str">
        <f>IF(D404=AA!$A$18,"WerbemittelPodcast",
    IF(COUNTIF(AA!$A$21:$A$24,D404)&gt;0,"WerbemittelEvents",
        IF(OR(D404=AA!$A$17,D404=AA!$A$11,D404=AA!$A$12),
            IF(D404=AA!$A$17,"WerbemittelOA","WerbemittelKombi"),
            "WerbemittelUKW")))</f>
        <v>WerbemittelUKW</v>
      </c>
      <c r="F404" s="55" t="str">
        <f>IF(OR(AA!$A$21=D404, AA!$A$22=D404, AA!$A$23=D404, AA!$A$24=D404), "Bitte gib die Event- Kostenstelle ein", "")</f>
        <v/>
      </c>
      <c r="G404" s="72"/>
    </row>
    <row r="405" spans="1:8" ht="33.75" hidden="1" customHeight="1" x14ac:dyDescent="0.2">
      <c r="A405" s="13" t="s">
        <v>476</v>
      </c>
      <c r="B405" s="14" t="s">
        <v>31</v>
      </c>
      <c r="C405" s="14"/>
      <c r="D405" s="40"/>
      <c r="E405" s="55" t="str">
        <f>IF(OR(ISNUMBER(MATCH(D405,AA!$A$33:$A$41,0)),ISNUMBER(MATCH(D405,AA!$A$48,0)),ISNUMBER(MATCH(D405,AA!$A$55:$A$59,0)),ISNUMBER(MATCH(D405,AA!$A$69:$A$78,0))),"Liegen die Nutzungsrechte vor? (nur bei über Krane&amp;Raabe produzierte Spots)","")</f>
        <v/>
      </c>
      <c r="F405" s="48"/>
    </row>
    <row r="406" spans="1:8" ht="22.5" hidden="1" customHeight="1" x14ac:dyDescent="0.2">
      <c r="A406" s="13" t="s">
        <v>476</v>
      </c>
      <c r="B406" s="14" t="s">
        <v>494</v>
      </c>
      <c r="C406" s="14"/>
      <c r="D406" s="40"/>
      <c r="E406" s="55" t="str">
        <f>IF(D406="ja","Soll eine Verpackung eingeplant werden?","")</f>
        <v/>
      </c>
      <c r="F406" s="48" t="s">
        <v>9</v>
      </c>
    </row>
    <row r="407" spans="1:8" ht="24" hidden="1" customHeight="1" x14ac:dyDescent="0.2">
      <c r="A407" s="13" t="s">
        <v>476</v>
      </c>
      <c r="B407" s="14" t="s">
        <v>32</v>
      </c>
      <c r="C407" s="14"/>
      <c r="D407" s="39"/>
      <c r="E407" s="77" t="str">
        <f>IF(OR(ISNUMBER(MATCH(D405,AA!$A$64:$A$65,0)),),"Gib hier ggf. den Boosterbetrag ein.","")</f>
        <v/>
      </c>
      <c r="F407" s="76"/>
    </row>
    <row r="408" spans="1:8" ht="15" hidden="1" customHeight="1" x14ac:dyDescent="0.2">
      <c r="A408" s="13" t="s">
        <v>476</v>
      </c>
      <c r="B408" s="14" t="s">
        <v>42</v>
      </c>
      <c r="C408" s="14"/>
      <c r="D408" s="40"/>
    </row>
    <row r="409" spans="1:8" ht="15" hidden="1" customHeight="1" x14ac:dyDescent="0.2">
      <c r="A409" s="13" t="s">
        <v>476</v>
      </c>
      <c r="B409" s="14" t="s">
        <v>114</v>
      </c>
      <c r="C409" s="14"/>
      <c r="D409" s="40"/>
    </row>
    <row r="410" spans="1:8" ht="15" hidden="1" customHeight="1" x14ac:dyDescent="0.2">
      <c r="A410" s="13" t="s">
        <v>476</v>
      </c>
      <c r="B410" s="14" t="s">
        <v>113</v>
      </c>
      <c r="C410" s="14"/>
      <c r="D410" s="42"/>
      <c r="E410" s="47" t="str">
        <f>IF(OR(D405=AA!$A$42,D405=AA!$A$44,D405=AA!$A$46,D405=AA!$A$47,D405=AA!$A$48,D405=AA!$A$49,D405=AA!$A$50,D405=AA!$A$51,D405=AA!$A$52,D405=AA!$A$53,D405=AA!$A$54,D405=AA!$A$55,D405=AA!$A$56,D405=AA!$A$57,D405=AA!$A$58,D405=AA!$A$59),
"Überprüfe die Einsatzpläne und Uhrzeiten im Hinblick auf Sinnhaftigkeit. (Bspw. keine Promo nach PayOff)",
"")</f>
        <v/>
      </c>
    </row>
    <row r="411" spans="1:8" ht="15" hidden="1" customHeight="1" x14ac:dyDescent="0.2">
      <c r="A411" s="13" t="s">
        <v>476</v>
      </c>
      <c r="B411" s="14" t="s">
        <v>33</v>
      </c>
      <c r="C411" s="14"/>
      <c r="D411" s="43" t="str">
        <f t="array" ref="D411">IFERROR(
  INDEX('Einplanung durch Kombitabelle'!$C$2:$C$411,
        MATCH(1,
          (D404='Einplanung durch Kombitabelle'!$A$2:$A$411)*
          (D405='Einplanung durch Kombitabelle'!$B$2:$B$411),
        0)
  ),
  "Sender/Werbemittel nicht vollständig ausgefüllt"
)</f>
        <v>Sender/Werbemittel nicht vollständig ausgefüllt</v>
      </c>
      <c r="E411" s="81" t="str">
        <f>IF(AND(D404=AA!$A$14,D405=AA!$A$47),"Handelt es sich um einen St. Pauli Backstage Abbinder, Einplanung durch OAP",
IF(AND(D404=AA!$A$13,D405=AA!$A$52),"Handelt es sich um die Radio Hamburg Chartshow, Einplanung durch Dispo",
IF(AND(D404=AA!$A$13,D405=AA!$A$50),"Handelt es sich um ein Radio Hamburg Wettersponsoring oder Citylife, Einplanung durch Dispo",
IF(AND(D404=AA!$A$13,D405=AA!$A$51),"Handelt es sich um ein Radio Hamburg Wettersponsoring oder Citylife, Einplanung durch Dispo",""))))</f>
        <v/>
      </c>
      <c r="F411" s="82"/>
      <c r="G411" s="82"/>
      <c r="H411" s="82"/>
    </row>
    <row r="412" spans="1:8" hidden="1" x14ac:dyDescent="0.2">
      <c r="A412" s="13" t="s">
        <v>476</v>
      </c>
      <c r="B412" s="14" t="s">
        <v>436</v>
      </c>
      <c r="C412" s="14"/>
      <c r="D412" s="45"/>
      <c r="E412" s="83"/>
      <c r="F412" s="84"/>
      <c r="G412" s="84"/>
      <c r="H412" s="84"/>
    </row>
    <row r="413" spans="1:8" ht="15" hidden="1" customHeight="1" x14ac:dyDescent="0.2">
      <c r="A413" s="13" t="s">
        <v>476</v>
      </c>
      <c r="D413" s="30" t="s">
        <v>439</v>
      </c>
      <c r="E413" s="29" t="s">
        <v>417</v>
      </c>
      <c r="F413" s="30" t="s">
        <v>411</v>
      </c>
      <c r="G413" s="29" t="s">
        <v>439</v>
      </c>
      <c r="H413" s="29" t="s">
        <v>417</v>
      </c>
    </row>
    <row r="414" spans="1:8" ht="15" hidden="1" customHeight="1" x14ac:dyDescent="0.2">
      <c r="A414" s="13" t="s">
        <v>476</v>
      </c>
      <c r="B414" s="14" t="s">
        <v>63</v>
      </c>
      <c r="C414" s="14"/>
      <c r="D414" s="33"/>
      <c r="E414" s="33"/>
      <c r="F414" s="33"/>
      <c r="G414" s="33"/>
      <c r="H414" s="34"/>
    </row>
    <row r="415" spans="1:8" ht="15" hidden="1" customHeight="1" x14ac:dyDescent="0.2">
      <c r="A415" s="13" t="s">
        <v>476</v>
      </c>
      <c r="D415" s="30" t="s">
        <v>439</v>
      </c>
      <c r="E415" s="30" t="s">
        <v>411</v>
      </c>
      <c r="F415" s="30" t="s">
        <v>439</v>
      </c>
      <c r="G415" s="30" t="s">
        <v>411</v>
      </c>
      <c r="H415" s="30" t="s">
        <v>439</v>
      </c>
    </row>
    <row r="416" spans="1:8" ht="15" hidden="1" customHeight="1" x14ac:dyDescent="0.2">
      <c r="A416" s="13" t="s">
        <v>476</v>
      </c>
      <c r="B416" s="14" t="s">
        <v>64</v>
      </c>
      <c r="C416" s="14"/>
      <c r="D416" s="33"/>
      <c r="E416" s="33"/>
      <c r="F416" s="33"/>
      <c r="G416" s="33"/>
      <c r="H416" s="33"/>
    </row>
    <row r="417" spans="1:8" ht="15" hidden="1" customHeight="1" x14ac:dyDescent="0.2">
      <c r="A417" s="13" t="s">
        <v>476</v>
      </c>
    </row>
    <row r="418" spans="1:8" ht="15" hidden="1" customHeight="1" x14ac:dyDescent="0.2">
      <c r="A418" s="13" t="s">
        <v>476</v>
      </c>
      <c r="B418" s="14" t="s">
        <v>36</v>
      </c>
      <c r="C418" s="14"/>
      <c r="D418" s="33"/>
      <c r="E418" s="14" t="s">
        <v>59</v>
      </c>
      <c r="F418" s="33" t="s">
        <v>91</v>
      </c>
    </row>
    <row r="419" spans="1:8" ht="15" hidden="1" customHeight="1" x14ac:dyDescent="0.2">
      <c r="A419" s="13" t="s">
        <v>476</v>
      </c>
      <c r="B419" s="14" t="s">
        <v>62</v>
      </c>
      <c r="C419" s="14"/>
      <c r="D419" s="21"/>
    </row>
    <row r="420" spans="1:8" ht="15" hidden="1" customHeight="1" x14ac:dyDescent="0.2">
      <c r="A420" s="13" t="s">
        <v>476</v>
      </c>
    </row>
    <row r="421" spans="1:8" ht="75.75" hidden="1" customHeight="1" x14ac:dyDescent="0.2">
      <c r="A421" s="13" t="s">
        <v>476</v>
      </c>
      <c r="B421" s="14"/>
      <c r="C421" s="15" t="s">
        <v>463</v>
      </c>
      <c r="D421" s="33"/>
      <c r="E421" s="16" t="s">
        <v>460</v>
      </c>
      <c r="F421" s="64" t="str">
        <f>IF(OR(D404=AA!$A$17, D404=AA!$A$18), "Möchtest Du nach Abschluss der Kampagne ein Reporting?", "")</f>
        <v/>
      </c>
      <c r="G421" s="48" t="s">
        <v>9</v>
      </c>
    </row>
    <row r="422" spans="1:8" ht="15" hidden="1" customHeight="1" x14ac:dyDescent="0.2">
      <c r="A422" s="13" t="s">
        <v>476</v>
      </c>
      <c r="B422" s="14"/>
      <c r="C422" s="14" t="s">
        <v>453</v>
      </c>
      <c r="D422" s="44"/>
      <c r="E422" s="35"/>
      <c r="F422" s="78" t="str">
        <f>IF(AND(D405=AA!$A$75,D423&lt;&gt;""),"OBACHT! Hinweis für Dispo: Der TKP für den Adserver (AllMediaDesk) beträgt 15 Euro. Bedeutet es muss ein Invest von "&amp;TEXT((D423*15)/1000,"#,##0 €")&amp;" angegeben werden","")</f>
        <v/>
      </c>
      <c r="G422" s="78"/>
      <c r="H422" s="78"/>
    </row>
    <row r="423" spans="1:8" ht="15" hidden="1" customHeight="1" x14ac:dyDescent="0.2">
      <c r="A423" s="13" t="s">
        <v>476</v>
      </c>
      <c r="B423" s="14"/>
      <c r="C423" s="14" t="s">
        <v>555</v>
      </c>
      <c r="D423" s="44"/>
      <c r="E423" s="35"/>
      <c r="F423" s="78"/>
      <c r="G423" s="78"/>
      <c r="H423" s="78"/>
    </row>
    <row r="424" spans="1:8" ht="15" hidden="1" customHeight="1" x14ac:dyDescent="0.2">
      <c r="A424" s="13" t="s">
        <v>476</v>
      </c>
      <c r="B424" s="14"/>
      <c r="C424" s="14" t="s">
        <v>60</v>
      </c>
      <c r="D424" s="46">
        <f>D422+D423</f>
        <v>0</v>
      </c>
      <c r="F424" s="79"/>
      <c r="G424" s="79"/>
      <c r="H424" s="79"/>
    </row>
    <row r="425" spans="1:8" ht="30" hidden="1" customHeight="1" x14ac:dyDescent="0.2">
      <c r="A425" s="13" t="s">
        <v>476</v>
      </c>
      <c r="B425" s="14"/>
      <c r="C425" s="17" t="s">
        <v>61</v>
      </c>
      <c r="D425" s="80"/>
      <c r="E425" s="80"/>
      <c r="F425" s="80"/>
      <c r="G425" s="80"/>
      <c r="H425" s="80"/>
    </row>
    <row r="426" spans="1:8" ht="20" hidden="1" x14ac:dyDescent="0.2">
      <c r="A426" s="13" t="s">
        <v>476</v>
      </c>
      <c r="C426" s="73" t="str">
        <f>IF(OR(IFERROR(ISNUMBER(SEARCH(" RMS "," "&amp;$D$5&amp;" ")),FALSE),IFERROR(ISNUMBER(SEARCH(" RMS "," "&amp;$D$6&amp;" ")),FALSE),ISNUMBER(MATCH(D405,AA!$A$64:$A$65,0))),IF(OR(IFERROR(ISNUMBER(SEARCH(" RMS "," "&amp;$D$5&amp;" ")),FALSE),IFERROR(ISNUMBER(SEARCH(" RMS "," "&amp;$D$6&amp;" ")),FALSE)),"Obacht! Produktionen, Influencer und Social-Media dürfen NICHT an die RMS verprovisioniert werden. ","")&amp;IF(ISNUMBER(MATCH(D405,AA!$A$64:$A$65,0)),"Beachte, dass die Summe inkl. Boosterbudget ist.",""),"")</f>
        <v/>
      </c>
    </row>
    <row r="427" spans="1:8" ht="15.75" hidden="1" customHeight="1" x14ac:dyDescent="0.2">
      <c r="A427" s="13" t="s">
        <v>476</v>
      </c>
      <c r="B427" s="18" t="s">
        <v>37</v>
      </c>
      <c r="C427" s="18"/>
      <c r="D427" s="18" t="s">
        <v>467</v>
      </c>
      <c r="E427" s="18" t="s">
        <v>418</v>
      </c>
      <c r="F427" s="18" t="s">
        <v>90</v>
      </c>
      <c r="G427" s="18" t="s">
        <v>115</v>
      </c>
      <c r="H427" s="18" t="s">
        <v>38</v>
      </c>
    </row>
    <row r="428" spans="1:8" ht="15" hidden="1" customHeight="1" x14ac:dyDescent="0.2">
      <c r="A428" s="13" t="s">
        <v>476</v>
      </c>
      <c r="B428" s="14" t="str">
        <f>IFERROR(
  INDEX('Buchungskenn durch Kombitabelle'!$A$2:$O$47,
        MATCH(D405,'Buchungskenn durch Kombitabelle'!$A$2:$A$47,0),
        MATCH(D404,'Buchungskenn durch Kombitabelle'!$A$1:$O$1,0)
  ),
  "Fehler"
)</f>
        <v>Fehler</v>
      </c>
      <c r="C428" s="14"/>
      <c r="D428" s="35"/>
      <c r="E428" s="74"/>
      <c r="F428" s="21"/>
      <c r="G428" s="24" t="str">
        <f>IF(F428="ja", (D428-(D428*E428))*0.85, IF(F428="nein", D428-(D428*E428), ""))</f>
        <v/>
      </c>
      <c r="H428" s="21"/>
    </row>
    <row r="429" spans="1:8" ht="15" hidden="1" customHeight="1" x14ac:dyDescent="0.2">
      <c r="A429" s="13" t="s">
        <v>476</v>
      </c>
      <c r="B429" s="14" t="s">
        <v>104</v>
      </c>
      <c r="C429" s="14"/>
      <c r="D429" s="35"/>
      <c r="E429" s="74"/>
      <c r="F429" s="21"/>
      <c r="G429" s="24" t="str">
        <f>IF(F429="ja", (D429-(D429*E429))*0.85, IF(F429="nein", D429-(D429*E429), ""))</f>
        <v/>
      </c>
      <c r="H429" s="21"/>
    </row>
    <row r="430" spans="1:8" ht="15" hidden="1" customHeight="1" x14ac:dyDescent="0.2">
      <c r="A430" s="13" t="s">
        <v>476</v>
      </c>
      <c r="B430" s="14"/>
      <c r="C430" s="14"/>
      <c r="D430" s="35"/>
      <c r="E430" s="74"/>
      <c r="F430" s="21"/>
      <c r="G430" s="24" t="str">
        <f>IF(F430="ja", (D430-(D430*E430))*0.85, IF(F430="nein", D430-(D430*E430), ""))</f>
        <v/>
      </c>
      <c r="H430" s="21"/>
    </row>
    <row r="431" spans="1:8" ht="15" hidden="1" customHeight="1" x14ac:dyDescent="0.2">
      <c r="A431" s="13" t="s">
        <v>476</v>
      </c>
      <c r="F431" s="25">
        <f>IF(F428="ja", (D428-(D428*E428)) * 0.15, 0)
+IF(F429="ja", (D429-(D429*E429)) * 0.15, 0)
+IF(F430="ja", (D430-(D430*E430)) * 0.15, 0)</f>
        <v>0</v>
      </c>
      <c r="G431" s="25">
        <f>SUM(G428:G430)</f>
        <v>0</v>
      </c>
    </row>
    <row r="432" spans="1:8" ht="15.75" hidden="1" customHeight="1" x14ac:dyDescent="0.2">
      <c r="A432" s="13" t="s">
        <v>477</v>
      </c>
      <c r="B432" s="7" t="s">
        <v>523</v>
      </c>
      <c r="C432" s="7"/>
    </row>
    <row r="433" spans="1:8" ht="15" hidden="1" customHeight="1" x14ac:dyDescent="0.2">
      <c r="A433" s="13" t="s">
        <v>477</v>
      </c>
      <c r="E433" s="37" t="s">
        <v>435</v>
      </c>
    </row>
    <row r="434" spans="1:8" hidden="1" x14ac:dyDescent="0.2">
      <c r="A434" s="13" t="s">
        <v>477</v>
      </c>
      <c r="B434" s="14" t="s">
        <v>30</v>
      </c>
      <c r="C434" s="14"/>
      <c r="D434" s="41"/>
      <c r="E434" s="51" t="str">
        <f>IF(D434=AA!$A$18,"WerbemittelPodcast",
    IF(COUNTIF(AA!$A$21:$A$24,D434)&gt;0,"WerbemittelEvents",
        IF(OR(D434=AA!$A$17,D434=AA!$A$11,D434=AA!$A$12),
            IF(D434=AA!$A$17,"WerbemittelOA","WerbemittelKombi"),
            "WerbemittelUKW")))</f>
        <v>WerbemittelUKW</v>
      </c>
      <c r="F434" s="55" t="str">
        <f>IF(OR(AA!$A$21=D434, AA!$A$22=D434, AA!$A$23=D434, AA!$A$24=D434), "Bitte gib die Event- Kostenstelle ein", "")</f>
        <v/>
      </c>
      <c r="G434" s="72"/>
    </row>
    <row r="435" spans="1:8" ht="33.75" hidden="1" customHeight="1" x14ac:dyDescent="0.2">
      <c r="A435" s="13" t="s">
        <v>477</v>
      </c>
      <c r="B435" s="14" t="s">
        <v>31</v>
      </c>
      <c r="C435" s="14"/>
      <c r="D435" s="40"/>
      <c r="E435" s="55" t="str">
        <f>IF(OR(ISNUMBER(MATCH(D435,AA!$A$33:$A$41,0)),ISNUMBER(MATCH(D435,AA!$A$48,0)),ISNUMBER(MATCH(D435,AA!$A$55:$A$59,0)),ISNUMBER(MATCH(D435,AA!$A$69:$A$78,0))),"Liegen die Nutzungsrechte vor? (nur bei über Krane&amp;Raabe produzierte Spots)","")</f>
        <v/>
      </c>
      <c r="F435" s="48"/>
    </row>
    <row r="436" spans="1:8" ht="22.5" hidden="1" customHeight="1" x14ac:dyDescent="0.2">
      <c r="A436" s="13" t="s">
        <v>477</v>
      </c>
      <c r="B436" s="14" t="s">
        <v>494</v>
      </c>
      <c r="C436" s="14"/>
      <c r="D436" s="40"/>
      <c r="E436" s="55" t="str">
        <f>IF(D436="ja","Soll eine Verpackung eingeplant werden?","")</f>
        <v/>
      </c>
      <c r="F436" s="48" t="s">
        <v>9</v>
      </c>
    </row>
    <row r="437" spans="1:8" ht="24" hidden="1" customHeight="1" x14ac:dyDescent="0.2">
      <c r="A437" s="13" t="s">
        <v>477</v>
      </c>
      <c r="B437" s="14" t="s">
        <v>32</v>
      </c>
      <c r="C437" s="14"/>
      <c r="D437" s="39"/>
      <c r="E437" s="77" t="str">
        <f>IF(OR(ISNUMBER(MATCH(D435,AA!$A$64:$A$65,0)),),"Gib hier ggf. den Boosterbetrag ein.","")</f>
        <v/>
      </c>
      <c r="F437" s="76"/>
    </row>
    <row r="438" spans="1:8" ht="15" hidden="1" customHeight="1" x14ac:dyDescent="0.2">
      <c r="A438" s="13" t="s">
        <v>477</v>
      </c>
      <c r="B438" s="14" t="s">
        <v>42</v>
      </c>
      <c r="C438" s="14"/>
      <c r="D438" s="40"/>
    </row>
    <row r="439" spans="1:8" ht="15" hidden="1" customHeight="1" x14ac:dyDescent="0.2">
      <c r="A439" s="13" t="s">
        <v>477</v>
      </c>
      <c r="B439" s="14" t="s">
        <v>114</v>
      </c>
      <c r="C439" s="14"/>
      <c r="D439" s="40"/>
    </row>
    <row r="440" spans="1:8" ht="15" hidden="1" customHeight="1" x14ac:dyDescent="0.2">
      <c r="A440" s="13" t="s">
        <v>477</v>
      </c>
      <c r="B440" s="14" t="s">
        <v>113</v>
      </c>
      <c r="C440" s="14"/>
      <c r="D440" s="42"/>
      <c r="E440" s="47" t="str">
        <f>IF(OR(D435=AA!$A$42,D435=AA!$A$44,D435=AA!$A$46,D435=AA!$A$47,D435=AA!$A$48,D435=AA!$A$49,D435=AA!$A$50,D435=AA!$A$51,D435=AA!$A$52,D435=AA!$A$53,D435=AA!$A$54,D435=AA!$A$55,D435=AA!$A$56,D435=AA!$A$57,D435=AA!$A$58,D435=AA!$A$59),
"Überprüfe die Einsatzpläne und Uhrzeiten im Hinblick auf Sinnhaftigkeit. (Bspw. keine Promo nach PayOff)",
"")</f>
        <v/>
      </c>
    </row>
    <row r="441" spans="1:8" ht="15" hidden="1" customHeight="1" x14ac:dyDescent="0.2">
      <c r="A441" s="13" t="s">
        <v>477</v>
      </c>
      <c r="B441" s="14" t="s">
        <v>33</v>
      </c>
      <c r="C441" s="14"/>
      <c r="D441" s="43" t="str">
        <f t="array" ref="D441">IFERROR(
  INDEX('Einplanung durch Kombitabelle'!$C$2:$C$411,
        MATCH(1,
          (D434='Einplanung durch Kombitabelle'!$A$2:$A$411)*
          (D435='Einplanung durch Kombitabelle'!$B$2:$B$411),
        0)
  ),
  "Sender/Werbemittel nicht vollständig ausgefüllt"
)</f>
        <v>Sender/Werbemittel nicht vollständig ausgefüllt</v>
      </c>
      <c r="E441" s="81" t="str">
        <f>IF(AND(D434=AA!$A$14,D435=AA!$A$47),"Handelt es sich um einen St. Pauli Backstage Abbinder, Einplanung durch OAP",
IF(AND(D434=AA!$A$13,D435=AA!$A$52),"Handelt es sich um die Radio Hamburg Chartshow, Einplanung durch Dispo",
IF(AND(D434=AA!$A$13,D435=AA!$A$50),"Handelt es sich um ein Radio Hamburg Wettersponsoring oder Citylife, Einplanung durch Dispo",
IF(AND(D434=AA!$A$13,D435=AA!$A$51),"Handelt es sich um ein Radio Hamburg Wettersponsoring oder Citylife, Einplanung durch Dispo",""))))</f>
        <v/>
      </c>
      <c r="F441" s="82"/>
      <c r="G441" s="82"/>
      <c r="H441" s="82"/>
    </row>
    <row r="442" spans="1:8" hidden="1" x14ac:dyDescent="0.2">
      <c r="A442" s="13" t="s">
        <v>477</v>
      </c>
      <c r="B442" s="14" t="s">
        <v>436</v>
      </c>
      <c r="C442" s="14"/>
      <c r="D442" s="45"/>
      <c r="E442" s="83"/>
      <c r="F442" s="84"/>
      <c r="G442" s="84"/>
      <c r="H442" s="84"/>
    </row>
    <row r="443" spans="1:8" ht="15" hidden="1" customHeight="1" x14ac:dyDescent="0.2">
      <c r="A443" s="13" t="s">
        <v>477</v>
      </c>
      <c r="D443" s="30" t="s">
        <v>439</v>
      </c>
      <c r="E443" s="29" t="s">
        <v>417</v>
      </c>
      <c r="F443" s="30" t="s">
        <v>411</v>
      </c>
      <c r="G443" s="29" t="s">
        <v>439</v>
      </c>
      <c r="H443" s="29" t="s">
        <v>417</v>
      </c>
    </row>
    <row r="444" spans="1:8" ht="15" hidden="1" customHeight="1" x14ac:dyDescent="0.2">
      <c r="A444" s="13" t="s">
        <v>477</v>
      </c>
      <c r="B444" s="14" t="s">
        <v>63</v>
      </c>
      <c r="C444" s="14"/>
      <c r="D444" s="33"/>
      <c r="E444" s="33"/>
      <c r="F444" s="33"/>
      <c r="G444" s="33"/>
      <c r="H444" s="34"/>
    </row>
    <row r="445" spans="1:8" ht="15" hidden="1" customHeight="1" x14ac:dyDescent="0.2">
      <c r="A445" s="13" t="s">
        <v>477</v>
      </c>
      <c r="D445" s="30" t="s">
        <v>439</v>
      </c>
      <c r="E445" s="30" t="s">
        <v>411</v>
      </c>
      <c r="F445" s="30" t="s">
        <v>439</v>
      </c>
      <c r="G445" s="30" t="s">
        <v>411</v>
      </c>
      <c r="H445" s="30" t="s">
        <v>439</v>
      </c>
    </row>
    <row r="446" spans="1:8" ht="15" hidden="1" customHeight="1" x14ac:dyDescent="0.2">
      <c r="A446" s="13" t="s">
        <v>477</v>
      </c>
      <c r="B446" s="14" t="s">
        <v>64</v>
      </c>
      <c r="C446" s="14"/>
      <c r="D446" s="33"/>
      <c r="E446" s="33"/>
      <c r="F446" s="33"/>
      <c r="G446" s="33"/>
      <c r="H446" s="33"/>
    </row>
    <row r="447" spans="1:8" ht="15" hidden="1" customHeight="1" x14ac:dyDescent="0.2">
      <c r="A447" s="13" t="s">
        <v>477</v>
      </c>
    </row>
    <row r="448" spans="1:8" ht="15" hidden="1" customHeight="1" x14ac:dyDescent="0.2">
      <c r="A448" s="13" t="s">
        <v>477</v>
      </c>
      <c r="B448" s="14" t="s">
        <v>36</v>
      </c>
      <c r="C448" s="14"/>
      <c r="D448" s="33"/>
      <c r="E448" s="14" t="s">
        <v>59</v>
      </c>
      <c r="F448" s="33" t="s">
        <v>91</v>
      </c>
    </row>
    <row r="449" spans="1:8" ht="15" hidden="1" customHeight="1" x14ac:dyDescent="0.2">
      <c r="A449" s="13" t="s">
        <v>477</v>
      </c>
      <c r="B449" s="14" t="s">
        <v>62</v>
      </c>
      <c r="C449" s="14"/>
      <c r="D449" s="21"/>
    </row>
    <row r="450" spans="1:8" ht="15" hidden="1" customHeight="1" x14ac:dyDescent="0.2">
      <c r="A450" s="13" t="s">
        <v>477</v>
      </c>
    </row>
    <row r="451" spans="1:8" ht="75.75" hidden="1" customHeight="1" x14ac:dyDescent="0.2">
      <c r="A451" s="13" t="s">
        <v>477</v>
      </c>
      <c r="B451" s="14"/>
      <c r="C451" s="15" t="s">
        <v>463</v>
      </c>
      <c r="D451" s="33"/>
      <c r="E451" s="16" t="s">
        <v>460</v>
      </c>
      <c r="F451" s="64" t="str">
        <f>IF(OR(D434=AA!$A$17, D434=AA!$A$18), "Möchtest Du nach Abschluss der Kampagne ein Reporting?", "")</f>
        <v/>
      </c>
      <c r="G451" s="48" t="s">
        <v>9</v>
      </c>
    </row>
    <row r="452" spans="1:8" ht="15" hidden="1" customHeight="1" x14ac:dyDescent="0.2">
      <c r="A452" s="13" t="s">
        <v>477</v>
      </c>
      <c r="B452" s="14"/>
      <c r="C452" s="14" t="s">
        <v>453</v>
      </c>
      <c r="D452" s="44"/>
      <c r="E452" s="35"/>
      <c r="F452" s="78" t="str">
        <f>IF(AND(D435=AA!$A$75,D453&lt;&gt;""),"OBACHT! Hinweis für Dispo: Der TKP für den Adserver (AllMediaDesk) beträgt 15 Euro. Bedeutet es muss ein Invest von "&amp;TEXT((D453*15)/1000,"#,##0 €")&amp;" angegeben werden","")</f>
        <v/>
      </c>
      <c r="G452" s="78"/>
      <c r="H452" s="78"/>
    </row>
    <row r="453" spans="1:8" ht="15" hidden="1" customHeight="1" x14ac:dyDescent="0.2">
      <c r="A453" s="13" t="s">
        <v>477</v>
      </c>
      <c r="B453" s="14"/>
      <c r="C453" s="14" t="s">
        <v>555</v>
      </c>
      <c r="D453" s="44"/>
      <c r="E453" s="35"/>
      <c r="F453" s="78"/>
      <c r="G453" s="78"/>
      <c r="H453" s="78"/>
    </row>
    <row r="454" spans="1:8" ht="15" hidden="1" customHeight="1" x14ac:dyDescent="0.2">
      <c r="A454" s="13" t="s">
        <v>477</v>
      </c>
      <c r="B454" s="14"/>
      <c r="C454" s="14" t="s">
        <v>60</v>
      </c>
      <c r="D454" s="46">
        <f>D452+D453</f>
        <v>0</v>
      </c>
      <c r="F454" s="79"/>
      <c r="G454" s="79"/>
      <c r="H454" s="79"/>
    </row>
    <row r="455" spans="1:8" ht="30" hidden="1" customHeight="1" x14ac:dyDescent="0.2">
      <c r="A455" s="13" t="s">
        <v>477</v>
      </c>
      <c r="B455" s="14"/>
      <c r="C455" s="17" t="s">
        <v>61</v>
      </c>
      <c r="D455" s="80"/>
      <c r="E455" s="80"/>
      <c r="F455" s="80"/>
      <c r="G455" s="80"/>
      <c r="H455" s="80"/>
    </row>
    <row r="456" spans="1:8" ht="20" hidden="1" x14ac:dyDescent="0.2">
      <c r="A456" s="13" t="s">
        <v>477</v>
      </c>
      <c r="C456" s="73" t="str">
        <f>IF(OR(IFERROR(ISNUMBER(SEARCH(" RMS "," "&amp;$D$5&amp;" ")),FALSE),IFERROR(ISNUMBER(SEARCH(" RMS "," "&amp;$D$6&amp;" ")),FALSE),ISNUMBER(MATCH(D435,AA!$A$64:$A$65,0))),IF(OR(IFERROR(ISNUMBER(SEARCH(" RMS "," "&amp;$D$5&amp;" ")),FALSE),IFERROR(ISNUMBER(SEARCH(" RMS "," "&amp;$D$6&amp;" ")),FALSE)),"Obacht! Produktionen, Influencer und Social-Media dürfen NICHT an die RMS verprovisioniert werden. ","")&amp;IF(ISNUMBER(MATCH(D435,AA!$A$64:$A$65,0)),"Beachte, dass die Summe inkl. Boosterbudget ist.",""),"")</f>
        <v/>
      </c>
    </row>
    <row r="457" spans="1:8" ht="15.75" hidden="1" customHeight="1" x14ac:dyDescent="0.2">
      <c r="A457" s="13" t="s">
        <v>477</v>
      </c>
      <c r="B457" s="18" t="s">
        <v>37</v>
      </c>
      <c r="C457" s="18"/>
      <c r="D457" s="18" t="s">
        <v>467</v>
      </c>
      <c r="E457" s="18" t="s">
        <v>418</v>
      </c>
      <c r="F457" s="18" t="s">
        <v>90</v>
      </c>
      <c r="G457" s="18" t="s">
        <v>115</v>
      </c>
      <c r="H457" s="18" t="s">
        <v>38</v>
      </c>
    </row>
    <row r="458" spans="1:8" ht="15" hidden="1" customHeight="1" x14ac:dyDescent="0.2">
      <c r="A458" s="13" t="s">
        <v>477</v>
      </c>
      <c r="B458" s="14" t="str">
        <f>IFERROR(
  INDEX('Buchungskenn durch Kombitabelle'!$A$2:$O$47,
        MATCH(D435,'Buchungskenn durch Kombitabelle'!$A$2:$A$47,0),
        MATCH(D434,'Buchungskenn durch Kombitabelle'!$A$1:$O$1,0)
  ),
  "Fehler"
)</f>
        <v>Fehler</v>
      </c>
      <c r="C458" s="14"/>
      <c r="D458" s="35"/>
      <c r="E458" s="74"/>
      <c r="F458" s="21"/>
      <c r="G458" s="24" t="str">
        <f>IF(F458="ja", (D458-(D458*E458))*0.85, IF(F458="nein", D458-(D458*E458), ""))</f>
        <v/>
      </c>
      <c r="H458" s="21"/>
    </row>
    <row r="459" spans="1:8" ht="15" hidden="1" customHeight="1" x14ac:dyDescent="0.2">
      <c r="A459" s="13" t="s">
        <v>477</v>
      </c>
      <c r="B459" s="14" t="s">
        <v>104</v>
      </c>
      <c r="C459" s="14"/>
      <c r="D459" s="35"/>
      <c r="E459" s="74"/>
      <c r="F459" s="21"/>
      <c r="G459" s="24" t="str">
        <f>IF(F459="ja", (D459-(D459*E459))*0.85, IF(F459="nein", D459-(D459*E459), ""))</f>
        <v/>
      </c>
      <c r="H459" s="21"/>
    </row>
    <row r="460" spans="1:8" ht="15" hidden="1" customHeight="1" x14ac:dyDescent="0.2">
      <c r="A460" s="13" t="s">
        <v>477</v>
      </c>
      <c r="B460" s="14"/>
      <c r="C460" s="14"/>
      <c r="D460" s="35"/>
      <c r="E460" s="74"/>
      <c r="F460" s="21"/>
      <c r="G460" s="24" t="str">
        <f>IF(F460="ja", (D460-(D460*E460))*0.85, IF(F460="nein", D460-(D460*E460), ""))</f>
        <v/>
      </c>
      <c r="H460" s="21"/>
    </row>
    <row r="461" spans="1:8" ht="15" hidden="1" customHeight="1" x14ac:dyDescent="0.2">
      <c r="A461" s="13" t="s">
        <v>477</v>
      </c>
      <c r="F461" s="25">
        <f>IF(F458="ja", (D458-(D458*E458)) * 0.15, 0)
+IF(F459="ja", (D459-(D459*E459)) * 0.15, 0)
+IF(F460="ja", (D460-(D460*E460)) * 0.15, 0)</f>
        <v>0</v>
      </c>
      <c r="G461" s="25">
        <f>SUM(G458:G460)</f>
        <v>0</v>
      </c>
    </row>
    <row r="462" spans="1:8" ht="15.75" hidden="1" customHeight="1" x14ac:dyDescent="0.2">
      <c r="A462" s="13" t="s">
        <v>478</v>
      </c>
      <c r="B462" s="7" t="s">
        <v>523</v>
      </c>
      <c r="C462" s="7"/>
    </row>
    <row r="463" spans="1:8" ht="15" hidden="1" customHeight="1" x14ac:dyDescent="0.2">
      <c r="A463" s="13" t="s">
        <v>478</v>
      </c>
      <c r="E463" s="37" t="s">
        <v>435</v>
      </c>
    </row>
    <row r="464" spans="1:8" hidden="1" x14ac:dyDescent="0.2">
      <c r="A464" s="13" t="s">
        <v>478</v>
      </c>
      <c r="B464" s="14" t="s">
        <v>30</v>
      </c>
      <c r="C464" s="14"/>
      <c r="D464" s="41"/>
      <c r="E464" s="51" t="str">
        <f>IF(D464=AA!$A$18,"WerbemittelPodcast",
    IF(COUNTIF(AA!$A$21:$A$24,D464)&gt;0,"WerbemittelEvents",
        IF(OR(D464=AA!$A$17,D464=AA!$A$11,D464=AA!$A$12),
            IF(D464=AA!$A$17,"WerbemittelOA","WerbemittelKombi"),
            "WerbemittelUKW")))</f>
        <v>WerbemittelUKW</v>
      </c>
      <c r="F464" s="55" t="str">
        <f>IF(OR(AA!$A$21=D464, AA!$A$22=D464, AA!$A$23=D464, AA!$A$24=D464), "Bitte gib die Event- Kostenstelle ein", "")</f>
        <v/>
      </c>
      <c r="G464" s="72"/>
    </row>
    <row r="465" spans="1:8" ht="33.75" hidden="1" customHeight="1" x14ac:dyDescent="0.2">
      <c r="A465" s="13" t="s">
        <v>478</v>
      </c>
      <c r="B465" s="14" t="s">
        <v>31</v>
      </c>
      <c r="C465" s="14"/>
      <c r="D465" s="40"/>
      <c r="E465" s="55" t="str">
        <f>IF(OR(ISNUMBER(MATCH(D465,AA!$A$33:$A$41,0)),ISNUMBER(MATCH(D465,AA!$A$48,0)),ISNUMBER(MATCH(D465,AA!$A$55:$A$59,0)),ISNUMBER(MATCH(D465,AA!$A$69:$A$78,0))),"Liegen die Nutzungsrechte vor? (nur bei über Krane&amp;Raabe produzierte Spots)","")</f>
        <v/>
      </c>
      <c r="F465" s="48"/>
    </row>
    <row r="466" spans="1:8" ht="22.5" hidden="1" customHeight="1" x14ac:dyDescent="0.2">
      <c r="A466" s="13" t="s">
        <v>478</v>
      </c>
      <c r="B466" s="14" t="s">
        <v>494</v>
      </c>
      <c r="C466" s="14"/>
      <c r="D466" s="40"/>
      <c r="E466" s="55" t="str">
        <f>IF(D466="ja","Soll eine Verpackung eingeplant werden?","")</f>
        <v/>
      </c>
      <c r="F466" s="48" t="s">
        <v>9</v>
      </c>
    </row>
    <row r="467" spans="1:8" ht="24" hidden="1" customHeight="1" x14ac:dyDescent="0.2">
      <c r="A467" s="13" t="s">
        <v>478</v>
      </c>
      <c r="B467" s="14" t="s">
        <v>32</v>
      </c>
      <c r="C467" s="14"/>
      <c r="D467" s="39"/>
      <c r="E467" s="77" t="str">
        <f>IF(OR(ISNUMBER(MATCH(D465,AA!$A$64:$A$65,0)),),"Gib hier ggf. den Boosterbetrag ein.","")</f>
        <v/>
      </c>
      <c r="F467" s="76"/>
    </row>
    <row r="468" spans="1:8" ht="15" hidden="1" customHeight="1" x14ac:dyDescent="0.2">
      <c r="A468" s="13" t="s">
        <v>478</v>
      </c>
      <c r="B468" s="14" t="s">
        <v>42</v>
      </c>
      <c r="C468" s="14"/>
      <c r="D468" s="40"/>
    </row>
    <row r="469" spans="1:8" ht="15" hidden="1" customHeight="1" x14ac:dyDescent="0.2">
      <c r="A469" s="13" t="s">
        <v>478</v>
      </c>
      <c r="B469" s="14" t="s">
        <v>114</v>
      </c>
      <c r="C469" s="14"/>
      <c r="D469" s="40"/>
    </row>
    <row r="470" spans="1:8" ht="15" hidden="1" customHeight="1" x14ac:dyDescent="0.2">
      <c r="A470" s="13" t="s">
        <v>478</v>
      </c>
      <c r="B470" s="14" t="s">
        <v>113</v>
      </c>
      <c r="C470" s="14"/>
      <c r="D470" s="42"/>
      <c r="E470" s="47" t="str">
        <f>IF(OR(D465=AA!$A$42,D465=AA!$A$44,D465=AA!$A$46,D465=AA!$A$47,D465=AA!$A$48,D465=AA!$A$49,D465=AA!$A$50,D465=AA!$A$51,D465=AA!$A$52,D465=AA!$A$53,D465=AA!$A$54,D465=AA!$A$55,D465=AA!$A$56,D465=AA!$A$57,D465=AA!$A$58,D465=AA!$A$59),
"Überprüfe die Einsatzpläne und Uhrzeiten im Hinblick auf Sinnhaftigkeit. (Bspw. keine Promo nach PayOff)",
"")</f>
        <v/>
      </c>
    </row>
    <row r="471" spans="1:8" ht="15" hidden="1" customHeight="1" x14ac:dyDescent="0.2">
      <c r="A471" s="13" t="s">
        <v>478</v>
      </c>
      <c r="B471" s="14" t="s">
        <v>33</v>
      </c>
      <c r="C471" s="14"/>
      <c r="D471" s="43" t="str">
        <f t="array" ref="D471">IFERROR(
  INDEX('Einplanung durch Kombitabelle'!$C$2:$C$411,
        MATCH(1,
          (D464='Einplanung durch Kombitabelle'!$A$2:$A$411)*
          (D465='Einplanung durch Kombitabelle'!$B$2:$B$411),
        0)
  ),
  "Sender/Werbemittel nicht vollständig ausgefüllt"
)</f>
        <v>Sender/Werbemittel nicht vollständig ausgefüllt</v>
      </c>
      <c r="E471" s="81" t="str">
        <f>IF(AND(D464=AA!$A$14,D465=AA!$A$47),"Handelt es sich um einen St. Pauli Backstage Abbinder, Einplanung durch OAP",
IF(AND(D464=AA!$A$13,D465=AA!$A$52),"Handelt es sich um die Radio Hamburg Chartshow, Einplanung durch Dispo",
IF(AND(D464=AA!$A$13,D465=AA!$A$50),"Handelt es sich um ein Radio Hamburg Wettersponsoring oder Citylife, Einplanung durch Dispo",
IF(AND(D464=AA!$A$13,D465=AA!$A$51),"Handelt es sich um ein Radio Hamburg Wettersponsoring oder Citylife, Einplanung durch Dispo",""))))</f>
        <v/>
      </c>
      <c r="F471" s="82"/>
      <c r="G471" s="82"/>
      <c r="H471" s="82"/>
    </row>
    <row r="472" spans="1:8" hidden="1" x14ac:dyDescent="0.2">
      <c r="A472" s="13" t="s">
        <v>478</v>
      </c>
      <c r="B472" s="14" t="s">
        <v>436</v>
      </c>
      <c r="C472" s="14"/>
      <c r="D472" s="45"/>
      <c r="E472" s="83"/>
      <c r="F472" s="84"/>
      <c r="G472" s="84"/>
      <c r="H472" s="84"/>
    </row>
    <row r="473" spans="1:8" ht="15" hidden="1" customHeight="1" x14ac:dyDescent="0.2">
      <c r="A473" s="13" t="s">
        <v>478</v>
      </c>
      <c r="D473" s="30" t="s">
        <v>439</v>
      </c>
      <c r="E473" s="29" t="s">
        <v>417</v>
      </c>
      <c r="F473" s="30" t="s">
        <v>411</v>
      </c>
      <c r="G473" s="29" t="s">
        <v>439</v>
      </c>
      <c r="H473" s="29" t="s">
        <v>417</v>
      </c>
    </row>
    <row r="474" spans="1:8" ht="15" hidden="1" customHeight="1" x14ac:dyDescent="0.2">
      <c r="A474" s="13" t="s">
        <v>478</v>
      </c>
      <c r="B474" s="14" t="s">
        <v>63</v>
      </c>
      <c r="C474" s="14"/>
      <c r="D474" s="33"/>
      <c r="E474" s="33"/>
      <c r="F474" s="33"/>
      <c r="G474" s="33"/>
      <c r="H474" s="34"/>
    </row>
    <row r="475" spans="1:8" ht="15" hidden="1" customHeight="1" x14ac:dyDescent="0.2">
      <c r="A475" s="13" t="s">
        <v>478</v>
      </c>
      <c r="D475" s="30" t="s">
        <v>439</v>
      </c>
      <c r="E475" s="30" t="s">
        <v>411</v>
      </c>
      <c r="F475" s="30" t="s">
        <v>439</v>
      </c>
      <c r="G475" s="30" t="s">
        <v>411</v>
      </c>
      <c r="H475" s="30" t="s">
        <v>439</v>
      </c>
    </row>
    <row r="476" spans="1:8" ht="15" hidden="1" customHeight="1" x14ac:dyDescent="0.2">
      <c r="A476" s="13" t="s">
        <v>478</v>
      </c>
      <c r="B476" s="14" t="s">
        <v>64</v>
      </c>
      <c r="C476" s="14"/>
      <c r="D476" s="33"/>
      <c r="E476" s="33"/>
      <c r="F476" s="33"/>
      <c r="G476" s="33"/>
      <c r="H476" s="33"/>
    </row>
    <row r="477" spans="1:8" ht="15" hidden="1" customHeight="1" x14ac:dyDescent="0.2">
      <c r="A477" s="13" t="s">
        <v>478</v>
      </c>
    </row>
    <row r="478" spans="1:8" ht="15" hidden="1" customHeight="1" x14ac:dyDescent="0.2">
      <c r="A478" s="13" t="s">
        <v>478</v>
      </c>
      <c r="B478" s="14" t="s">
        <v>36</v>
      </c>
      <c r="C478" s="14"/>
      <c r="D478" s="33"/>
      <c r="E478" s="14" t="s">
        <v>59</v>
      </c>
      <c r="F478" s="33" t="s">
        <v>91</v>
      </c>
    </row>
    <row r="479" spans="1:8" ht="15" hidden="1" customHeight="1" x14ac:dyDescent="0.2">
      <c r="A479" s="13" t="s">
        <v>478</v>
      </c>
      <c r="B479" s="14" t="s">
        <v>62</v>
      </c>
      <c r="C479" s="14"/>
      <c r="D479" s="21"/>
    </row>
    <row r="480" spans="1:8" ht="15" hidden="1" customHeight="1" x14ac:dyDescent="0.2">
      <c r="A480" s="13" t="s">
        <v>478</v>
      </c>
    </row>
    <row r="481" spans="1:8" ht="75.75" hidden="1" customHeight="1" x14ac:dyDescent="0.2">
      <c r="A481" s="13" t="s">
        <v>478</v>
      </c>
      <c r="B481" s="14"/>
      <c r="C481" s="15" t="s">
        <v>463</v>
      </c>
      <c r="D481" s="33"/>
      <c r="E481" s="16" t="s">
        <v>460</v>
      </c>
      <c r="F481" s="64" t="str">
        <f>IF(OR(D464=AA!$A$17, D464=AA!$A$18), "Möchtest Du nach Abschluss der Kampagne ein Reporting?", "")</f>
        <v/>
      </c>
      <c r="G481" s="48" t="s">
        <v>9</v>
      </c>
    </row>
    <row r="482" spans="1:8" ht="15" hidden="1" customHeight="1" x14ac:dyDescent="0.2">
      <c r="A482" s="13" t="s">
        <v>478</v>
      </c>
      <c r="B482" s="14"/>
      <c r="C482" s="14" t="s">
        <v>453</v>
      </c>
      <c r="D482" s="44"/>
      <c r="E482" s="35"/>
      <c r="F482" s="78" t="str">
        <f>IF(AND(D465=AA!$A$75,D483&lt;&gt;""),"OBACHT! Hinweis für Dispo: Der TKP für den Adserver (AllMediaDesk) beträgt 15 Euro. Bedeutet es muss ein Invest von "&amp;TEXT((D483*15)/1000,"#,##0 €")&amp;" angegeben werden","")</f>
        <v/>
      </c>
      <c r="G482" s="78"/>
      <c r="H482" s="78"/>
    </row>
    <row r="483" spans="1:8" ht="15" hidden="1" customHeight="1" x14ac:dyDescent="0.2">
      <c r="A483" s="13" t="s">
        <v>478</v>
      </c>
      <c r="B483" s="14"/>
      <c r="C483" s="14" t="s">
        <v>555</v>
      </c>
      <c r="D483" s="44"/>
      <c r="E483" s="35"/>
      <c r="F483" s="78"/>
      <c r="G483" s="78"/>
      <c r="H483" s="78"/>
    </row>
    <row r="484" spans="1:8" ht="15" hidden="1" customHeight="1" x14ac:dyDescent="0.2">
      <c r="A484" s="13" t="s">
        <v>478</v>
      </c>
      <c r="B484" s="14"/>
      <c r="C484" s="14" t="s">
        <v>60</v>
      </c>
      <c r="D484" s="46">
        <f>D482+D483</f>
        <v>0</v>
      </c>
      <c r="F484" s="79"/>
      <c r="G484" s="79"/>
      <c r="H484" s="79"/>
    </row>
    <row r="485" spans="1:8" ht="30" hidden="1" customHeight="1" x14ac:dyDescent="0.2">
      <c r="A485" s="13" t="s">
        <v>478</v>
      </c>
      <c r="B485" s="14"/>
      <c r="C485" s="17" t="s">
        <v>61</v>
      </c>
      <c r="D485" s="80"/>
      <c r="E485" s="80"/>
      <c r="F485" s="80"/>
      <c r="G485" s="80"/>
      <c r="H485" s="80"/>
    </row>
    <row r="486" spans="1:8" ht="20" hidden="1" x14ac:dyDescent="0.2">
      <c r="A486" s="13" t="s">
        <v>478</v>
      </c>
      <c r="C486" s="73" t="str">
        <f>IF(OR(IFERROR(ISNUMBER(SEARCH(" RMS "," "&amp;$D$5&amp;" ")),FALSE),IFERROR(ISNUMBER(SEARCH(" RMS "," "&amp;$D$6&amp;" ")),FALSE),ISNUMBER(MATCH(D465,AA!$A$64:$A$65,0))),IF(OR(IFERROR(ISNUMBER(SEARCH(" RMS "," "&amp;$D$5&amp;" ")),FALSE),IFERROR(ISNUMBER(SEARCH(" RMS "," "&amp;$D$6&amp;" ")),FALSE)),"Obacht! Produktionen, Influencer und Social-Media dürfen NICHT an die RMS verprovisioniert werden. ","")&amp;IF(ISNUMBER(MATCH(D465,AA!$A$64:$A$65,0)),"Beachte, dass die Summe inkl. Boosterbudget ist.",""),"")</f>
        <v/>
      </c>
    </row>
    <row r="487" spans="1:8" ht="15.75" hidden="1" customHeight="1" x14ac:dyDescent="0.2">
      <c r="A487" s="13" t="s">
        <v>478</v>
      </c>
      <c r="B487" s="18" t="s">
        <v>37</v>
      </c>
      <c r="C487" s="18"/>
      <c r="D487" s="18" t="s">
        <v>467</v>
      </c>
      <c r="E487" s="18" t="s">
        <v>418</v>
      </c>
      <c r="F487" s="18" t="s">
        <v>90</v>
      </c>
      <c r="G487" s="18" t="s">
        <v>115</v>
      </c>
      <c r="H487" s="18" t="s">
        <v>38</v>
      </c>
    </row>
    <row r="488" spans="1:8" ht="15" hidden="1" customHeight="1" x14ac:dyDescent="0.2">
      <c r="A488" s="13" t="s">
        <v>478</v>
      </c>
      <c r="B488" s="14" t="str">
        <f>IFERROR(
  INDEX('Buchungskenn durch Kombitabelle'!$A$2:$O$47,
        MATCH(D465,'Buchungskenn durch Kombitabelle'!$A$2:$A$47,0),
        MATCH(D464,'Buchungskenn durch Kombitabelle'!$A$1:$O$1,0)
  ),
  "Fehler"
)</f>
        <v>Fehler</v>
      </c>
      <c r="C488" s="14"/>
      <c r="D488" s="35"/>
      <c r="E488" s="74"/>
      <c r="F488" s="21"/>
      <c r="G488" s="24" t="str">
        <f>IF(F488="ja", (D488-(D488*E488))*0.85, IF(F488="nein", D488-(D488*E488), ""))</f>
        <v/>
      </c>
      <c r="H488" s="21"/>
    </row>
    <row r="489" spans="1:8" ht="15" hidden="1" customHeight="1" x14ac:dyDescent="0.2">
      <c r="A489" s="13" t="s">
        <v>478</v>
      </c>
      <c r="B489" s="14" t="s">
        <v>104</v>
      </c>
      <c r="C489" s="14"/>
      <c r="D489" s="35"/>
      <c r="E489" s="74"/>
      <c r="F489" s="21"/>
      <c r="G489" s="24" t="str">
        <f>IF(F489="ja", (D489-(D489*E489))*0.85, IF(F489="nein", D489-(D489*E489), ""))</f>
        <v/>
      </c>
      <c r="H489" s="21"/>
    </row>
    <row r="490" spans="1:8" ht="15" hidden="1" customHeight="1" x14ac:dyDescent="0.2">
      <c r="A490" s="13" t="s">
        <v>478</v>
      </c>
      <c r="B490" s="14"/>
      <c r="C490" s="14"/>
      <c r="D490" s="35"/>
      <c r="E490" s="74"/>
      <c r="F490" s="21"/>
      <c r="G490" s="24" t="str">
        <f>IF(F490="ja", (D490-(D490*E490))*0.85, IF(F490="nein", D490-(D490*E490), ""))</f>
        <v/>
      </c>
      <c r="H490" s="21"/>
    </row>
    <row r="491" spans="1:8" ht="15" hidden="1" customHeight="1" x14ac:dyDescent="0.2">
      <c r="A491" s="13" t="s">
        <v>478</v>
      </c>
      <c r="F491" s="25">
        <f>IF(F488="ja", (D488-(D488*E488)) * 0.15, 0)
+IF(F489="ja", (D489-(D489*E489)) * 0.15, 0)
+IF(F490="ja", (D490-(D490*E490)) * 0.15, 0)</f>
        <v>0</v>
      </c>
      <c r="G491" s="25">
        <f>SUM(G488:G490)</f>
        <v>0</v>
      </c>
    </row>
    <row r="492" spans="1:8" ht="15.75" hidden="1" customHeight="1" x14ac:dyDescent="0.2">
      <c r="A492" s="13" t="s">
        <v>479</v>
      </c>
      <c r="B492" s="7" t="s">
        <v>523</v>
      </c>
      <c r="C492" s="7"/>
    </row>
    <row r="493" spans="1:8" ht="15" hidden="1" customHeight="1" x14ac:dyDescent="0.2">
      <c r="A493" s="13" t="s">
        <v>479</v>
      </c>
      <c r="E493" s="37" t="s">
        <v>435</v>
      </c>
    </row>
    <row r="494" spans="1:8" hidden="1" x14ac:dyDescent="0.2">
      <c r="A494" s="13" t="s">
        <v>479</v>
      </c>
      <c r="B494" s="14" t="s">
        <v>30</v>
      </c>
      <c r="C494" s="14"/>
      <c r="D494" s="41"/>
      <c r="E494" s="51" t="str">
        <f>IF(D494=AA!$A$18,"WerbemittelPodcast",
    IF(COUNTIF(AA!$A$21:$A$24,D494)&gt;0,"WerbemittelEvents",
        IF(OR(D494=AA!$A$17,D494=AA!$A$11,D494=AA!$A$12),
            IF(D494=AA!$A$17,"WerbemittelOA","WerbemittelKombi"),
            "WerbemittelUKW")))</f>
        <v>WerbemittelUKW</v>
      </c>
      <c r="F494" s="55" t="str">
        <f>IF(OR(AA!$A$21=D494, AA!$A$22=D494, AA!$A$23=D494, AA!$A$24=D494), "Bitte gib die Event- Kostenstelle ein", "")</f>
        <v/>
      </c>
      <c r="G494" s="72"/>
    </row>
    <row r="495" spans="1:8" ht="33.75" hidden="1" customHeight="1" x14ac:dyDescent="0.2">
      <c r="A495" s="13" t="s">
        <v>479</v>
      </c>
      <c r="B495" s="14" t="s">
        <v>31</v>
      </c>
      <c r="C495" s="14"/>
      <c r="D495" s="40"/>
      <c r="E495" s="55" t="str">
        <f>IF(OR(ISNUMBER(MATCH(D495,AA!$A$33:$A$41,0)),ISNUMBER(MATCH(D495,AA!$A$48,0)),ISNUMBER(MATCH(D495,AA!$A$55:$A$59,0)),ISNUMBER(MATCH(D495,AA!$A$69:$A$78,0))),"Liegen die Nutzungsrechte vor? (nur bei über Krane&amp;Raabe produzierte Spots)","")</f>
        <v/>
      </c>
      <c r="F495" s="48"/>
    </row>
    <row r="496" spans="1:8" ht="22.5" hidden="1" customHeight="1" x14ac:dyDescent="0.2">
      <c r="A496" s="13" t="s">
        <v>479</v>
      </c>
      <c r="B496" s="14" t="s">
        <v>494</v>
      </c>
      <c r="C496" s="14"/>
      <c r="D496" s="40"/>
      <c r="E496" s="55" t="str">
        <f>IF(D496="ja","Soll eine Verpackung eingeplant werden?","")</f>
        <v/>
      </c>
      <c r="F496" s="48" t="s">
        <v>9</v>
      </c>
    </row>
    <row r="497" spans="1:8" ht="24" hidden="1" customHeight="1" x14ac:dyDescent="0.2">
      <c r="A497" s="13" t="s">
        <v>479</v>
      </c>
      <c r="B497" s="14" t="s">
        <v>32</v>
      </c>
      <c r="C497" s="14"/>
      <c r="D497" s="39"/>
      <c r="E497" s="77" t="str">
        <f>IF(OR(ISNUMBER(MATCH(D495,AA!$A$64:$A$65,0)),),"Gib hier ggf. den Boosterbetrag ein.","")</f>
        <v/>
      </c>
      <c r="F497" s="76"/>
    </row>
    <row r="498" spans="1:8" ht="15" hidden="1" customHeight="1" x14ac:dyDescent="0.2">
      <c r="A498" s="13" t="s">
        <v>479</v>
      </c>
      <c r="B498" s="14" t="s">
        <v>42</v>
      </c>
      <c r="C498" s="14"/>
      <c r="D498" s="40"/>
    </row>
    <row r="499" spans="1:8" ht="15" hidden="1" customHeight="1" x14ac:dyDescent="0.2">
      <c r="A499" s="13" t="s">
        <v>479</v>
      </c>
      <c r="B499" s="14" t="s">
        <v>114</v>
      </c>
      <c r="C499" s="14"/>
      <c r="D499" s="40"/>
    </row>
    <row r="500" spans="1:8" ht="15" hidden="1" customHeight="1" x14ac:dyDescent="0.2">
      <c r="A500" s="13" t="s">
        <v>479</v>
      </c>
      <c r="B500" s="14" t="s">
        <v>113</v>
      </c>
      <c r="C500" s="14"/>
      <c r="D500" s="42"/>
      <c r="E500" s="47" t="str">
        <f>IF(OR(D495=AA!$A$42,D495=AA!$A$44,D495=AA!$A$46,D495=AA!$A$47,D495=AA!$A$48,D495=AA!$A$49,D495=AA!$A$50,D495=AA!$A$51,D495=AA!$A$52,D495=AA!$A$53,D495=AA!$A$54,D495=AA!$A$55,D495=AA!$A$56,D495=AA!$A$57,D495=AA!$A$58,D495=AA!$A$59),
"Überprüfe die Einsatzpläne und Uhrzeiten im Hinblick auf Sinnhaftigkeit. (Bspw. keine Promo nach PayOff)",
"")</f>
        <v/>
      </c>
    </row>
    <row r="501" spans="1:8" ht="15" hidden="1" customHeight="1" x14ac:dyDescent="0.2">
      <c r="A501" s="13" t="s">
        <v>479</v>
      </c>
      <c r="B501" s="14" t="s">
        <v>33</v>
      </c>
      <c r="C501" s="14"/>
      <c r="D501" s="43" t="str">
        <f t="array" ref="D501">IFERROR(
  INDEX('Einplanung durch Kombitabelle'!$C$2:$C$411,
        MATCH(1,
          (D494='Einplanung durch Kombitabelle'!$A$2:$A$411)*
          (D495='Einplanung durch Kombitabelle'!$B$2:$B$411),
        0)
  ),
  "Sender/Werbemittel nicht vollständig ausgefüllt"
)</f>
        <v>Sender/Werbemittel nicht vollständig ausgefüllt</v>
      </c>
      <c r="E501" s="81" t="str">
        <f>IF(AND(D494=AA!$A$14,D495=AA!$A$47),"Handelt es sich um einen St. Pauli Backstage Abbinder, Einplanung durch OAP",
IF(AND(D494=AA!$A$13,D495=AA!$A$52),"Handelt es sich um die Radio Hamburg Chartshow, Einplanung durch Dispo",
IF(AND(D494=AA!$A$13,D495=AA!$A$50),"Handelt es sich um ein Radio Hamburg Wettersponsoring oder Citylife, Einplanung durch Dispo",
IF(AND(D494=AA!$A$13,D495=AA!$A$51),"Handelt es sich um ein Radio Hamburg Wettersponsoring oder Citylife, Einplanung durch Dispo",""))))</f>
        <v/>
      </c>
      <c r="F501" s="82"/>
      <c r="G501" s="82"/>
      <c r="H501" s="82"/>
    </row>
    <row r="502" spans="1:8" hidden="1" x14ac:dyDescent="0.2">
      <c r="A502" s="13" t="s">
        <v>479</v>
      </c>
      <c r="B502" s="14" t="s">
        <v>436</v>
      </c>
      <c r="C502" s="14"/>
      <c r="D502" s="45"/>
      <c r="E502" s="83"/>
      <c r="F502" s="84"/>
      <c r="G502" s="84"/>
      <c r="H502" s="84"/>
    </row>
    <row r="503" spans="1:8" ht="15" hidden="1" customHeight="1" x14ac:dyDescent="0.2">
      <c r="A503" s="13" t="s">
        <v>479</v>
      </c>
      <c r="D503" s="30" t="s">
        <v>439</v>
      </c>
      <c r="E503" s="29" t="s">
        <v>417</v>
      </c>
      <c r="F503" s="30" t="s">
        <v>411</v>
      </c>
      <c r="G503" s="29" t="s">
        <v>439</v>
      </c>
      <c r="H503" s="29" t="s">
        <v>417</v>
      </c>
    </row>
    <row r="504" spans="1:8" ht="15" hidden="1" customHeight="1" x14ac:dyDescent="0.2">
      <c r="A504" s="13" t="s">
        <v>479</v>
      </c>
      <c r="B504" s="14" t="s">
        <v>63</v>
      </c>
      <c r="C504" s="14"/>
      <c r="D504" s="33"/>
      <c r="E504" s="33"/>
      <c r="F504" s="33"/>
      <c r="G504" s="33"/>
      <c r="H504" s="34"/>
    </row>
    <row r="505" spans="1:8" ht="15" hidden="1" customHeight="1" x14ac:dyDescent="0.2">
      <c r="A505" s="13" t="s">
        <v>479</v>
      </c>
      <c r="D505" s="30" t="s">
        <v>439</v>
      </c>
      <c r="E505" s="30" t="s">
        <v>411</v>
      </c>
      <c r="F505" s="30" t="s">
        <v>439</v>
      </c>
      <c r="G505" s="30" t="s">
        <v>411</v>
      </c>
      <c r="H505" s="30" t="s">
        <v>439</v>
      </c>
    </row>
    <row r="506" spans="1:8" ht="15" hidden="1" customHeight="1" x14ac:dyDescent="0.2">
      <c r="A506" s="13" t="s">
        <v>479</v>
      </c>
      <c r="B506" s="14" t="s">
        <v>64</v>
      </c>
      <c r="C506" s="14"/>
      <c r="D506" s="33"/>
      <c r="E506" s="33"/>
      <c r="F506" s="33"/>
      <c r="G506" s="33"/>
      <c r="H506" s="33"/>
    </row>
    <row r="507" spans="1:8" ht="15" hidden="1" customHeight="1" x14ac:dyDescent="0.2">
      <c r="A507" s="13" t="s">
        <v>479</v>
      </c>
    </row>
    <row r="508" spans="1:8" ht="15" hidden="1" customHeight="1" x14ac:dyDescent="0.2">
      <c r="A508" s="13" t="s">
        <v>479</v>
      </c>
      <c r="B508" s="14" t="s">
        <v>36</v>
      </c>
      <c r="C508" s="14"/>
      <c r="D508" s="33"/>
      <c r="E508" s="14" t="s">
        <v>59</v>
      </c>
      <c r="F508" s="33" t="s">
        <v>91</v>
      </c>
    </row>
    <row r="509" spans="1:8" ht="15" hidden="1" customHeight="1" x14ac:dyDescent="0.2">
      <c r="A509" s="13" t="s">
        <v>479</v>
      </c>
      <c r="B509" s="14" t="s">
        <v>62</v>
      </c>
      <c r="C509" s="14"/>
      <c r="D509" s="21"/>
    </row>
    <row r="510" spans="1:8" ht="15" hidden="1" customHeight="1" x14ac:dyDescent="0.2">
      <c r="A510" s="13" t="s">
        <v>479</v>
      </c>
    </row>
    <row r="511" spans="1:8" ht="75.75" hidden="1" customHeight="1" x14ac:dyDescent="0.2">
      <c r="A511" s="13" t="s">
        <v>479</v>
      </c>
      <c r="B511" s="14"/>
      <c r="C511" s="15" t="s">
        <v>463</v>
      </c>
      <c r="D511" s="33"/>
      <c r="E511" s="16" t="s">
        <v>460</v>
      </c>
      <c r="F511" s="64" t="str">
        <f>IF(OR(D494=AA!$A$17, D494=AA!$A$18), "Möchtest Du nach Abschluss der Kampagne ein Reporting?", "")</f>
        <v/>
      </c>
      <c r="G511" s="48" t="s">
        <v>9</v>
      </c>
    </row>
    <row r="512" spans="1:8" ht="15" hidden="1" customHeight="1" x14ac:dyDescent="0.2">
      <c r="A512" s="13" t="s">
        <v>479</v>
      </c>
      <c r="B512" s="14"/>
      <c r="C512" s="14" t="s">
        <v>453</v>
      </c>
      <c r="D512" s="44"/>
      <c r="E512" s="35"/>
      <c r="F512" s="78" t="str">
        <f>IF(AND(D495=AA!$A$75,D513&lt;&gt;""),"OBACHT! Hinweis für Dispo: Der TKP für den Adserver (AllMediaDesk) beträgt 15 Euro. Bedeutet es muss ein Invest von "&amp;TEXT((D513*15)/1000,"#,##0 €")&amp;" angegeben werden","")</f>
        <v/>
      </c>
      <c r="G512" s="78"/>
      <c r="H512" s="78"/>
    </row>
    <row r="513" spans="1:8" ht="15" hidden="1" customHeight="1" x14ac:dyDescent="0.2">
      <c r="A513" s="13" t="s">
        <v>479</v>
      </c>
      <c r="B513" s="14"/>
      <c r="C513" s="14" t="s">
        <v>555</v>
      </c>
      <c r="D513" s="44"/>
      <c r="E513" s="35"/>
      <c r="F513" s="78"/>
      <c r="G513" s="78"/>
      <c r="H513" s="78"/>
    </row>
    <row r="514" spans="1:8" ht="15" hidden="1" customHeight="1" x14ac:dyDescent="0.2">
      <c r="A514" s="13" t="s">
        <v>479</v>
      </c>
      <c r="B514" s="14"/>
      <c r="C514" s="14" t="s">
        <v>60</v>
      </c>
      <c r="D514" s="46">
        <f>D512+D513</f>
        <v>0</v>
      </c>
      <c r="F514" s="79"/>
      <c r="G514" s="79"/>
      <c r="H514" s="79"/>
    </row>
    <row r="515" spans="1:8" ht="30" hidden="1" customHeight="1" x14ac:dyDescent="0.2">
      <c r="A515" s="13" t="s">
        <v>479</v>
      </c>
      <c r="B515" s="14"/>
      <c r="C515" s="17" t="s">
        <v>61</v>
      </c>
      <c r="D515" s="80"/>
      <c r="E515" s="80"/>
      <c r="F515" s="80"/>
      <c r="G515" s="80"/>
      <c r="H515" s="80"/>
    </row>
    <row r="516" spans="1:8" ht="20" hidden="1" x14ac:dyDescent="0.2">
      <c r="A516" s="13" t="s">
        <v>479</v>
      </c>
      <c r="C516" s="73" t="str">
        <f>IF(OR(IFERROR(ISNUMBER(SEARCH(" RMS "," "&amp;$D$5&amp;" ")),FALSE),IFERROR(ISNUMBER(SEARCH(" RMS "," "&amp;$D$6&amp;" ")),FALSE),ISNUMBER(MATCH(D495,AA!$A$64:$A$65,0))),IF(OR(IFERROR(ISNUMBER(SEARCH(" RMS "," "&amp;$D$5&amp;" ")),FALSE),IFERROR(ISNUMBER(SEARCH(" RMS "," "&amp;$D$6&amp;" ")),FALSE)),"Obacht! Produktionen, Influencer und Social-Media dürfen NICHT an die RMS verprovisioniert werden. ","")&amp;IF(ISNUMBER(MATCH(D495,AA!$A$64:$A$65,0)),"Beachte, dass die Summe inkl. Boosterbudget ist.",""),"")</f>
        <v/>
      </c>
    </row>
    <row r="517" spans="1:8" ht="15.75" hidden="1" customHeight="1" x14ac:dyDescent="0.2">
      <c r="A517" s="13" t="s">
        <v>479</v>
      </c>
      <c r="B517" s="18" t="s">
        <v>37</v>
      </c>
      <c r="C517" s="18"/>
      <c r="D517" s="18" t="s">
        <v>467</v>
      </c>
      <c r="E517" s="18" t="s">
        <v>418</v>
      </c>
      <c r="F517" s="18" t="s">
        <v>90</v>
      </c>
      <c r="G517" s="18" t="s">
        <v>115</v>
      </c>
      <c r="H517" s="18" t="s">
        <v>38</v>
      </c>
    </row>
    <row r="518" spans="1:8" ht="15" hidden="1" customHeight="1" x14ac:dyDescent="0.2">
      <c r="A518" s="13" t="s">
        <v>479</v>
      </c>
      <c r="B518" s="14" t="str">
        <f>IFERROR(
  INDEX('Buchungskenn durch Kombitabelle'!$A$2:$O$47,
        MATCH(D495,'Buchungskenn durch Kombitabelle'!$A$2:$A$47,0),
        MATCH(D494,'Buchungskenn durch Kombitabelle'!$A$1:$O$1,0)
  ),
  "Fehler"
)</f>
        <v>Fehler</v>
      </c>
      <c r="C518" s="14"/>
      <c r="D518" s="35"/>
      <c r="E518" s="74"/>
      <c r="F518" s="21"/>
      <c r="G518" s="24" t="str">
        <f>IF(F518="ja", (D518-(D518*E518))*0.85, IF(F518="nein", D518-(D518*E518), ""))</f>
        <v/>
      </c>
      <c r="H518" s="21"/>
    </row>
    <row r="519" spans="1:8" ht="15" hidden="1" customHeight="1" x14ac:dyDescent="0.2">
      <c r="A519" s="13" t="s">
        <v>479</v>
      </c>
      <c r="B519" s="14" t="s">
        <v>104</v>
      </c>
      <c r="C519" s="14"/>
      <c r="D519" s="35"/>
      <c r="E519" s="74"/>
      <c r="F519" s="21"/>
      <c r="G519" s="24" t="str">
        <f>IF(F519="ja", (D519-(D519*E519))*0.85, IF(F519="nein", D519-(D519*E519), ""))</f>
        <v/>
      </c>
      <c r="H519" s="21"/>
    </row>
    <row r="520" spans="1:8" ht="15" hidden="1" customHeight="1" x14ac:dyDescent="0.2">
      <c r="A520" s="13" t="s">
        <v>479</v>
      </c>
      <c r="B520" s="14"/>
      <c r="C520" s="14"/>
      <c r="D520" s="35"/>
      <c r="E520" s="74"/>
      <c r="F520" s="21"/>
      <c r="G520" s="24" t="str">
        <f>IF(F520="ja", (D520-(D520*E520))*0.85, IF(F520="nein", D520-(D520*E520), ""))</f>
        <v/>
      </c>
      <c r="H520" s="21"/>
    </row>
    <row r="521" spans="1:8" ht="15" hidden="1" customHeight="1" x14ac:dyDescent="0.2">
      <c r="A521" s="13" t="s">
        <v>479</v>
      </c>
      <c r="F521" s="25">
        <f>IF(F518="ja", (D518-(D518*E518)) * 0.15, 0)
+IF(F519="ja", (D519-(D519*E519)) * 0.15, 0)
+IF(F520="ja", (D520-(D520*E520)) * 0.15, 0)</f>
        <v>0</v>
      </c>
      <c r="G521" s="25">
        <f>SUM(G518:G520)</f>
        <v>0</v>
      </c>
    </row>
    <row r="522" spans="1:8" ht="15.75" hidden="1" customHeight="1" x14ac:dyDescent="0.2">
      <c r="A522" s="13" t="s">
        <v>480</v>
      </c>
      <c r="B522" s="7" t="s">
        <v>523</v>
      </c>
      <c r="C522" s="7"/>
    </row>
    <row r="523" spans="1:8" ht="15" hidden="1" customHeight="1" x14ac:dyDescent="0.2">
      <c r="A523" s="13" t="s">
        <v>480</v>
      </c>
      <c r="E523" s="37" t="s">
        <v>435</v>
      </c>
    </row>
    <row r="524" spans="1:8" hidden="1" x14ac:dyDescent="0.2">
      <c r="A524" s="13" t="s">
        <v>480</v>
      </c>
      <c r="B524" s="14" t="s">
        <v>30</v>
      </c>
      <c r="C524" s="14"/>
      <c r="D524" s="41"/>
      <c r="E524" s="51" t="str">
        <f>IF(D524=AA!$A$18,"WerbemittelPodcast",
    IF(COUNTIF(AA!$A$21:$A$24,D524)&gt;0,"WerbemittelEvents",
        IF(OR(D524=AA!$A$17,D524=AA!$A$11,D524=AA!$A$12),
            IF(D524=AA!$A$17,"WerbemittelOA","WerbemittelKombi"),
            "WerbemittelUKW")))</f>
        <v>WerbemittelUKW</v>
      </c>
      <c r="F524" s="55" t="str">
        <f>IF(OR(AA!$A$21=D524, AA!$A$22=D524, AA!$A$23=D524, AA!$A$24=D524), "Bitte gib die Event- Kostenstelle ein", "")</f>
        <v/>
      </c>
      <c r="G524" s="72"/>
    </row>
    <row r="525" spans="1:8" ht="33.75" hidden="1" customHeight="1" x14ac:dyDescent="0.2">
      <c r="A525" s="13" t="s">
        <v>480</v>
      </c>
      <c r="B525" s="14" t="s">
        <v>31</v>
      </c>
      <c r="C525" s="14"/>
      <c r="D525" s="40"/>
      <c r="E525" s="55" t="str">
        <f>IF(OR(ISNUMBER(MATCH(D525,AA!$A$33:$A$41,0)),ISNUMBER(MATCH(D525,AA!$A$48,0)),ISNUMBER(MATCH(D525,AA!$A$55:$A$59,0)),ISNUMBER(MATCH(D525,AA!$A$69:$A$78,0))),"Liegen die Nutzungsrechte vor? (nur bei über Krane&amp;Raabe produzierte Spots)","")</f>
        <v/>
      </c>
      <c r="F525" s="48"/>
    </row>
    <row r="526" spans="1:8" ht="22.5" hidden="1" customHeight="1" x14ac:dyDescent="0.2">
      <c r="A526" s="13" t="s">
        <v>480</v>
      </c>
      <c r="B526" s="14" t="s">
        <v>494</v>
      </c>
      <c r="C526" s="14"/>
      <c r="D526" s="40"/>
      <c r="E526" s="55" t="str">
        <f>IF(D526="ja","Soll eine Verpackung eingeplant werden?","")</f>
        <v/>
      </c>
      <c r="F526" s="48" t="s">
        <v>9</v>
      </c>
    </row>
    <row r="527" spans="1:8" ht="24" hidden="1" customHeight="1" x14ac:dyDescent="0.2">
      <c r="A527" s="13" t="s">
        <v>480</v>
      </c>
      <c r="B527" s="14" t="s">
        <v>32</v>
      </c>
      <c r="C527" s="14"/>
      <c r="D527" s="39"/>
      <c r="E527" s="77" t="str">
        <f>IF(OR(ISNUMBER(MATCH(D525,AA!$A$64:$A$65,0)),),"Gib hier ggf. den Boosterbetrag ein.","")</f>
        <v/>
      </c>
      <c r="F527" s="76"/>
    </row>
    <row r="528" spans="1:8" ht="15" hidden="1" customHeight="1" x14ac:dyDescent="0.2">
      <c r="A528" s="13" t="s">
        <v>480</v>
      </c>
      <c r="B528" s="14" t="s">
        <v>42</v>
      </c>
      <c r="C528" s="14"/>
      <c r="D528" s="40"/>
    </row>
    <row r="529" spans="1:8" ht="15" hidden="1" customHeight="1" x14ac:dyDescent="0.2">
      <c r="A529" s="13" t="s">
        <v>480</v>
      </c>
      <c r="B529" s="14" t="s">
        <v>114</v>
      </c>
      <c r="C529" s="14"/>
      <c r="D529" s="40"/>
    </row>
    <row r="530" spans="1:8" ht="15" hidden="1" customHeight="1" x14ac:dyDescent="0.2">
      <c r="A530" s="13" t="s">
        <v>480</v>
      </c>
      <c r="B530" s="14" t="s">
        <v>113</v>
      </c>
      <c r="C530" s="14"/>
      <c r="D530" s="42"/>
      <c r="E530" s="47" t="str">
        <f>IF(OR(D525=AA!$A$42,D525=AA!$A$44,D525=AA!$A$46,D525=AA!$A$47,D525=AA!$A$48,D525=AA!$A$49,D525=AA!$A$50,D525=AA!$A$51,D525=AA!$A$52,D525=AA!$A$53,D525=AA!$A$54,D525=AA!$A$55,D525=AA!$A$56,D525=AA!$A$57,D525=AA!$A$58,D525=AA!$A$59),
"Überprüfe die Einsatzpläne und Uhrzeiten im Hinblick auf Sinnhaftigkeit. (Bspw. keine Promo nach PayOff)",
"")</f>
        <v/>
      </c>
    </row>
    <row r="531" spans="1:8" ht="15" hidden="1" customHeight="1" x14ac:dyDescent="0.2">
      <c r="A531" s="13" t="s">
        <v>480</v>
      </c>
      <c r="B531" s="14" t="s">
        <v>33</v>
      </c>
      <c r="C531" s="14"/>
      <c r="D531" s="43" t="str">
        <f t="array" ref="D531">IFERROR(
  INDEX('Einplanung durch Kombitabelle'!$C$2:$C$411,
        MATCH(1,
          (D524='Einplanung durch Kombitabelle'!$A$2:$A$411)*
          (D525='Einplanung durch Kombitabelle'!$B$2:$B$411),
        0)
  ),
  "Sender/Werbemittel nicht vollständig ausgefüllt"
)</f>
        <v>Sender/Werbemittel nicht vollständig ausgefüllt</v>
      </c>
      <c r="E531" s="81" t="str">
        <f>IF(AND(D524=AA!$A$14,D525=AA!$A$47),"Handelt es sich um einen St. Pauli Backstage Abbinder, Einplanung durch OAP",
IF(AND(D524=AA!$A$13,D525=AA!$A$52),"Handelt es sich um die Radio Hamburg Chartshow, Einplanung durch Dispo",
IF(AND(D524=AA!$A$13,D525=AA!$A$50),"Handelt es sich um ein Radio Hamburg Wettersponsoring oder Citylife, Einplanung durch Dispo",
IF(AND(D524=AA!$A$13,D525=AA!$A$51),"Handelt es sich um ein Radio Hamburg Wettersponsoring oder Citylife, Einplanung durch Dispo",""))))</f>
        <v/>
      </c>
      <c r="F531" s="82"/>
      <c r="G531" s="82"/>
      <c r="H531" s="82"/>
    </row>
    <row r="532" spans="1:8" hidden="1" x14ac:dyDescent="0.2">
      <c r="A532" s="13" t="s">
        <v>480</v>
      </c>
      <c r="B532" s="14" t="s">
        <v>436</v>
      </c>
      <c r="C532" s="14"/>
      <c r="D532" s="45"/>
      <c r="E532" s="83"/>
      <c r="F532" s="84"/>
      <c r="G532" s="84"/>
      <c r="H532" s="84"/>
    </row>
    <row r="533" spans="1:8" ht="15" hidden="1" customHeight="1" x14ac:dyDescent="0.2">
      <c r="A533" s="13" t="s">
        <v>480</v>
      </c>
      <c r="D533" s="30" t="s">
        <v>439</v>
      </c>
      <c r="E533" s="29" t="s">
        <v>417</v>
      </c>
      <c r="F533" s="30" t="s">
        <v>411</v>
      </c>
      <c r="G533" s="29" t="s">
        <v>439</v>
      </c>
      <c r="H533" s="29" t="s">
        <v>417</v>
      </c>
    </row>
    <row r="534" spans="1:8" ht="15" hidden="1" customHeight="1" x14ac:dyDescent="0.2">
      <c r="A534" s="13" t="s">
        <v>480</v>
      </c>
      <c r="B534" s="14" t="s">
        <v>63</v>
      </c>
      <c r="C534" s="14"/>
      <c r="D534" s="33"/>
      <c r="E534" s="33"/>
      <c r="F534" s="33"/>
      <c r="G534" s="33"/>
      <c r="H534" s="34"/>
    </row>
    <row r="535" spans="1:8" ht="15" hidden="1" customHeight="1" x14ac:dyDescent="0.2">
      <c r="A535" s="13" t="s">
        <v>480</v>
      </c>
      <c r="D535" s="30" t="s">
        <v>439</v>
      </c>
      <c r="E535" s="30" t="s">
        <v>411</v>
      </c>
      <c r="F535" s="30" t="s">
        <v>439</v>
      </c>
      <c r="G535" s="30" t="s">
        <v>411</v>
      </c>
      <c r="H535" s="30" t="s">
        <v>439</v>
      </c>
    </row>
    <row r="536" spans="1:8" ht="15" hidden="1" customHeight="1" x14ac:dyDescent="0.2">
      <c r="A536" s="13" t="s">
        <v>480</v>
      </c>
      <c r="B536" s="14" t="s">
        <v>64</v>
      </c>
      <c r="C536" s="14"/>
      <c r="D536" s="33"/>
      <c r="E536" s="33"/>
      <c r="F536" s="33"/>
      <c r="G536" s="33"/>
      <c r="H536" s="33"/>
    </row>
    <row r="537" spans="1:8" ht="15" hidden="1" customHeight="1" x14ac:dyDescent="0.2">
      <c r="A537" s="13" t="s">
        <v>480</v>
      </c>
    </row>
    <row r="538" spans="1:8" ht="15" hidden="1" customHeight="1" x14ac:dyDescent="0.2">
      <c r="A538" s="13" t="s">
        <v>480</v>
      </c>
      <c r="B538" s="14" t="s">
        <v>36</v>
      </c>
      <c r="C538" s="14"/>
      <c r="D538" s="33"/>
      <c r="E538" s="14" t="s">
        <v>59</v>
      </c>
      <c r="F538" s="33" t="s">
        <v>91</v>
      </c>
    </row>
    <row r="539" spans="1:8" ht="15" hidden="1" customHeight="1" x14ac:dyDescent="0.2">
      <c r="A539" s="13" t="s">
        <v>480</v>
      </c>
      <c r="B539" s="14" t="s">
        <v>62</v>
      </c>
      <c r="C539" s="14"/>
      <c r="D539" s="21"/>
    </row>
    <row r="540" spans="1:8" ht="15" hidden="1" customHeight="1" x14ac:dyDescent="0.2">
      <c r="A540" s="13" t="s">
        <v>480</v>
      </c>
    </row>
    <row r="541" spans="1:8" ht="75.75" hidden="1" customHeight="1" x14ac:dyDescent="0.2">
      <c r="A541" s="13" t="s">
        <v>480</v>
      </c>
      <c r="B541" s="14"/>
      <c r="C541" s="15" t="s">
        <v>463</v>
      </c>
      <c r="D541" s="33"/>
      <c r="E541" s="16" t="s">
        <v>460</v>
      </c>
      <c r="F541" s="64" t="str">
        <f>IF(OR(D524=AA!$A$17, D524=AA!$A$18), "Möchtest Du nach Abschluss der Kampagne ein Reporting?", "")</f>
        <v/>
      </c>
      <c r="G541" s="48" t="s">
        <v>9</v>
      </c>
    </row>
    <row r="542" spans="1:8" ht="15" hidden="1" customHeight="1" x14ac:dyDescent="0.2">
      <c r="A542" s="13" t="s">
        <v>480</v>
      </c>
      <c r="B542" s="14"/>
      <c r="C542" s="14" t="s">
        <v>453</v>
      </c>
      <c r="D542" s="44"/>
      <c r="E542" s="35"/>
      <c r="F542" s="78" t="str">
        <f>IF(AND(D525=AA!$A$75,D543&lt;&gt;""),"OBACHT! Hinweis für Dispo: Der TKP für den Adserver (AllMediaDesk) beträgt 15 Euro. Bedeutet es muss ein Invest von "&amp;TEXT((D543*15)/1000,"#,##0 €")&amp;" angegeben werden","")</f>
        <v/>
      </c>
      <c r="G542" s="78"/>
      <c r="H542" s="78"/>
    </row>
    <row r="543" spans="1:8" ht="15" hidden="1" customHeight="1" x14ac:dyDescent="0.2">
      <c r="A543" s="13" t="s">
        <v>480</v>
      </c>
      <c r="B543" s="14"/>
      <c r="C543" s="14" t="s">
        <v>555</v>
      </c>
      <c r="D543" s="44"/>
      <c r="E543" s="35"/>
      <c r="F543" s="78"/>
      <c r="G543" s="78"/>
      <c r="H543" s="78"/>
    </row>
    <row r="544" spans="1:8" ht="15" hidden="1" customHeight="1" x14ac:dyDescent="0.2">
      <c r="A544" s="13" t="s">
        <v>480</v>
      </c>
      <c r="B544" s="14"/>
      <c r="C544" s="14" t="s">
        <v>60</v>
      </c>
      <c r="D544" s="46">
        <f>D542+D543</f>
        <v>0</v>
      </c>
      <c r="F544" s="79"/>
      <c r="G544" s="79"/>
      <c r="H544" s="79"/>
    </row>
    <row r="545" spans="1:8" ht="30" hidden="1" customHeight="1" x14ac:dyDescent="0.2">
      <c r="A545" s="13" t="s">
        <v>480</v>
      </c>
      <c r="B545" s="14"/>
      <c r="C545" s="17" t="s">
        <v>61</v>
      </c>
      <c r="D545" s="80"/>
      <c r="E545" s="80"/>
      <c r="F545" s="80"/>
      <c r="G545" s="80"/>
      <c r="H545" s="80"/>
    </row>
    <row r="546" spans="1:8" ht="20" hidden="1" x14ac:dyDescent="0.2">
      <c r="A546" s="13" t="s">
        <v>480</v>
      </c>
      <c r="C546" s="73" t="str">
        <f>IF(OR(IFERROR(ISNUMBER(SEARCH(" RMS "," "&amp;$D$5&amp;" ")),FALSE),IFERROR(ISNUMBER(SEARCH(" RMS "," "&amp;$D$6&amp;" ")),FALSE),ISNUMBER(MATCH(D525,AA!$A$64:$A$65,0))),IF(OR(IFERROR(ISNUMBER(SEARCH(" RMS "," "&amp;$D$5&amp;" ")),FALSE),IFERROR(ISNUMBER(SEARCH(" RMS "," "&amp;$D$6&amp;" ")),FALSE)),"Obacht! Produktionen, Influencer und Social-Media dürfen NICHT an die RMS verprovisioniert werden. ","")&amp;IF(ISNUMBER(MATCH(D525,AA!$A$64:$A$65,0)),"Beachte, dass die Summe inkl. Boosterbudget ist.",""),"")</f>
        <v/>
      </c>
    </row>
    <row r="547" spans="1:8" ht="15.75" hidden="1" customHeight="1" x14ac:dyDescent="0.2">
      <c r="A547" s="13" t="s">
        <v>480</v>
      </c>
      <c r="B547" s="18" t="s">
        <v>37</v>
      </c>
      <c r="C547" s="18"/>
      <c r="D547" s="18" t="s">
        <v>467</v>
      </c>
      <c r="E547" s="18" t="s">
        <v>418</v>
      </c>
      <c r="F547" s="18" t="s">
        <v>90</v>
      </c>
      <c r="G547" s="18" t="s">
        <v>115</v>
      </c>
      <c r="H547" s="18" t="s">
        <v>38</v>
      </c>
    </row>
    <row r="548" spans="1:8" ht="15" hidden="1" customHeight="1" x14ac:dyDescent="0.2">
      <c r="A548" s="13" t="s">
        <v>480</v>
      </c>
      <c r="B548" s="14" t="str">
        <f>IFERROR(
  INDEX('Buchungskenn durch Kombitabelle'!$A$2:$O$47,
        MATCH(D525,'Buchungskenn durch Kombitabelle'!$A$2:$A$47,0),
        MATCH(D524,'Buchungskenn durch Kombitabelle'!$A$1:$O$1,0)
  ),
  "Fehler"
)</f>
        <v>Fehler</v>
      </c>
      <c r="C548" s="14"/>
      <c r="D548" s="35"/>
      <c r="E548" s="74"/>
      <c r="F548" s="21"/>
      <c r="G548" s="24" t="str">
        <f>IF(F548="ja", (D548-(D548*E548))*0.85, IF(F548="nein", D548-(D548*E548), ""))</f>
        <v/>
      </c>
      <c r="H548" s="21"/>
    </row>
    <row r="549" spans="1:8" ht="15" hidden="1" customHeight="1" x14ac:dyDescent="0.2">
      <c r="A549" s="13" t="s">
        <v>480</v>
      </c>
      <c r="B549" s="14" t="s">
        <v>104</v>
      </c>
      <c r="C549" s="14"/>
      <c r="D549" s="35"/>
      <c r="E549" s="74"/>
      <c r="F549" s="21"/>
      <c r="G549" s="24" t="str">
        <f>IF(F549="ja", (D549-(D549*E549))*0.85, IF(F549="nein", D549-(D549*E549), ""))</f>
        <v/>
      </c>
      <c r="H549" s="21"/>
    </row>
    <row r="550" spans="1:8" ht="15" hidden="1" customHeight="1" x14ac:dyDescent="0.2">
      <c r="A550" s="13" t="s">
        <v>480</v>
      </c>
      <c r="B550" s="14"/>
      <c r="C550" s="14"/>
      <c r="D550" s="35"/>
      <c r="E550" s="74"/>
      <c r="F550" s="21"/>
      <c r="G550" s="24" t="str">
        <f>IF(F550="ja", (D550-(D550*E550))*0.85, IF(F550="nein", D550-(D550*E550), ""))</f>
        <v/>
      </c>
      <c r="H550" s="21"/>
    </row>
    <row r="551" spans="1:8" ht="15" hidden="1" customHeight="1" x14ac:dyDescent="0.2">
      <c r="A551" s="13" t="s">
        <v>480</v>
      </c>
      <c r="F551" s="25">
        <f>IF(F548="ja", (D548-(D548*E548)) * 0.15, 0)
+IF(F549="ja", (D549-(D549*E549)) * 0.15, 0)
+IF(F550="ja", (D550-(D550*E550)) * 0.15, 0)</f>
        <v>0</v>
      </c>
      <c r="G551" s="25">
        <f>SUM(G548:G550)</f>
        <v>0</v>
      </c>
    </row>
    <row r="552" spans="1:8" ht="15.75" hidden="1" customHeight="1" x14ac:dyDescent="0.2">
      <c r="A552" s="13" t="s">
        <v>481</v>
      </c>
      <c r="B552" s="7" t="s">
        <v>523</v>
      </c>
      <c r="C552" s="7"/>
    </row>
    <row r="553" spans="1:8" ht="15" hidden="1" customHeight="1" x14ac:dyDescent="0.2">
      <c r="A553" s="13" t="s">
        <v>481</v>
      </c>
      <c r="E553" s="37" t="s">
        <v>435</v>
      </c>
    </row>
    <row r="554" spans="1:8" hidden="1" x14ac:dyDescent="0.2">
      <c r="A554" s="13" t="s">
        <v>481</v>
      </c>
      <c r="B554" s="14" t="s">
        <v>30</v>
      </c>
      <c r="C554" s="14"/>
      <c r="D554" s="41"/>
      <c r="E554" s="51" t="str">
        <f>IF(D554=AA!$A$18,"WerbemittelPodcast",
    IF(COUNTIF(AA!$A$21:$A$24,D554)&gt;0,"WerbemittelEvents",
        IF(OR(D554=AA!$A$17,D554=AA!$A$11,D554=AA!$A$12),
            IF(D554=AA!$A$17,"WerbemittelOA","WerbemittelKombi"),
            "WerbemittelUKW")))</f>
        <v>WerbemittelUKW</v>
      </c>
      <c r="F554" s="55" t="str">
        <f>IF(OR(AA!$A$21=D554, AA!$A$22=D554, AA!$A$23=D554, AA!$A$24=D554), "Bitte gib die Event- Kostenstelle ein", "")</f>
        <v/>
      </c>
      <c r="G554" s="72"/>
    </row>
    <row r="555" spans="1:8" ht="33.75" hidden="1" customHeight="1" x14ac:dyDescent="0.2">
      <c r="A555" s="13" t="s">
        <v>481</v>
      </c>
      <c r="B555" s="14" t="s">
        <v>31</v>
      </c>
      <c r="C555" s="14"/>
      <c r="D555" s="40"/>
      <c r="E555" s="55" t="str">
        <f>IF(OR(ISNUMBER(MATCH(D555,AA!$A$33:$A$41,0)),ISNUMBER(MATCH(D555,AA!$A$48,0)),ISNUMBER(MATCH(D555,AA!$A$55:$A$59,0)),ISNUMBER(MATCH(D555,AA!$A$69:$A$78,0))),"Liegen die Nutzungsrechte vor? (nur bei über Krane&amp;Raabe produzierte Spots)","")</f>
        <v/>
      </c>
      <c r="F555" s="48"/>
    </row>
    <row r="556" spans="1:8" ht="22.5" hidden="1" customHeight="1" x14ac:dyDescent="0.2">
      <c r="A556" s="13" t="s">
        <v>481</v>
      </c>
      <c r="B556" s="14" t="s">
        <v>494</v>
      </c>
      <c r="C556" s="14"/>
      <c r="D556" s="40"/>
      <c r="E556" s="55" t="str">
        <f>IF(D556="ja","Soll eine Verpackung eingeplant werden?","")</f>
        <v/>
      </c>
      <c r="F556" s="48" t="s">
        <v>9</v>
      </c>
    </row>
    <row r="557" spans="1:8" ht="24" hidden="1" customHeight="1" x14ac:dyDescent="0.2">
      <c r="A557" s="13" t="s">
        <v>481</v>
      </c>
      <c r="B557" s="14" t="s">
        <v>32</v>
      </c>
      <c r="C557" s="14"/>
      <c r="D557" s="39"/>
      <c r="E557" s="77" t="str">
        <f>IF(OR(ISNUMBER(MATCH(D555,AA!$A$64:$A$65,0)),),"Gib hier ggf. den Boosterbetrag ein.","")</f>
        <v/>
      </c>
      <c r="F557" s="76"/>
    </row>
    <row r="558" spans="1:8" ht="15" hidden="1" customHeight="1" x14ac:dyDescent="0.2">
      <c r="A558" s="13" t="s">
        <v>481</v>
      </c>
      <c r="B558" s="14" t="s">
        <v>42</v>
      </c>
      <c r="C558" s="14"/>
      <c r="D558" s="40"/>
    </row>
    <row r="559" spans="1:8" ht="15" hidden="1" customHeight="1" x14ac:dyDescent="0.2">
      <c r="A559" s="13" t="s">
        <v>481</v>
      </c>
      <c r="B559" s="14" t="s">
        <v>114</v>
      </c>
      <c r="C559" s="14"/>
      <c r="D559" s="40"/>
    </row>
    <row r="560" spans="1:8" ht="15" hidden="1" customHeight="1" x14ac:dyDescent="0.2">
      <c r="A560" s="13" t="s">
        <v>481</v>
      </c>
      <c r="B560" s="14" t="s">
        <v>113</v>
      </c>
      <c r="C560" s="14"/>
      <c r="D560" s="42"/>
      <c r="E560" s="47" t="str">
        <f>IF(OR(D555=AA!$A$42,D555=AA!$A$44,D555=AA!$A$46,D555=AA!$A$47,D555=AA!$A$48,D555=AA!$A$49,D555=AA!$A$50,D555=AA!$A$51,D555=AA!$A$52,D555=AA!$A$53,D555=AA!$A$54,D555=AA!$A$55,D555=AA!$A$56,D555=AA!$A$57,D555=AA!$A$58,D555=AA!$A$59),
"Überprüfe die Einsatzpläne und Uhrzeiten im Hinblick auf Sinnhaftigkeit. (Bspw. keine Promo nach PayOff)",
"")</f>
        <v/>
      </c>
    </row>
    <row r="561" spans="1:8" ht="15" hidden="1" customHeight="1" x14ac:dyDescent="0.2">
      <c r="A561" s="13" t="s">
        <v>481</v>
      </c>
      <c r="B561" s="14" t="s">
        <v>33</v>
      </c>
      <c r="C561" s="14"/>
      <c r="D561" s="43" t="str">
        <f t="array" ref="D561">IFERROR(
  INDEX('Einplanung durch Kombitabelle'!$C$2:$C$411,
        MATCH(1,
          (D554='Einplanung durch Kombitabelle'!$A$2:$A$411)*
          (D555='Einplanung durch Kombitabelle'!$B$2:$B$411),
        0)
  ),
  "Sender/Werbemittel nicht vollständig ausgefüllt"
)</f>
        <v>Sender/Werbemittel nicht vollständig ausgefüllt</v>
      </c>
      <c r="E561" s="81" t="str">
        <f>IF(AND(D554=AA!$A$14,D555=AA!$A$47),"Handelt es sich um einen St. Pauli Backstage Abbinder, Einplanung durch OAP",
IF(AND(D554=AA!$A$13,D555=AA!$A$52),"Handelt es sich um die Radio Hamburg Chartshow, Einplanung durch Dispo",
IF(AND(D554=AA!$A$13,D555=AA!$A$50),"Handelt es sich um ein Radio Hamburg Wettersponsoring oder Citylife, Einplanung durch Dispo",
IF(AND(D554=AA!$A$13,D555=AA!$A$51),"Handelt es sich um ein Radio Hamburg Wettersponsoring oder Citylife, Einplanung durch Dispo",""))))</f>
        <v/>
      </c>
      <c r="F561" s="82"/>
      <c r="G561" s="82"/>
      <c r="H561" s="82"/>
    </row>
    <row r="562" spans="1:8" hidden="1" x14ac:dyDescent="0.2">
      <c r="A562" s="13" t="s">
        <v>481</v>
      </c>
      <c r="B562" s="14" t="s">
        <v>436</v>
      </c>
      <c r="C562" s="14"/>
      <c r="D562" s="45"/>
      <c r="E562" s="83"/>
      <c r="F562" s="84"/>
      <c r="G562" s="84"/>
      <c r="H562" s="84"/>
    </row>
    <row r="563" spans="1:8" ht="15" hidden="1" customHeight="1" x14ac:dyDescent="0.2">
      <c r="A563" s="13" t="s">
        <v>481</v>
      </c>
      <c r="D563" s="30" t="s">
        <v>439</v>
      </c>
      <c r="E563" s="29" t="s">
        <v>417</v>
      </c>
      <c r="F563" s="30" t="s">
        <v>411</v>
      </c>
      <c r="G563" s="29" t="s">
        <v>439</v>
      </c>
      <c r="H563" s="29" t="s">
        <v>417</v>
      </c>
    </row>
    <row r="564" spans="1:8" ht="15" hidden="1" customHeight="1" x14ac:dyDescent="0.2">
      <c r="A564" s="13" t="s">
        <v>481</v>
      </c>
      <c r="B564" s="14" t="s">
        <v>63</v>
      </c>
      <c r="C564" s="14"/>
      <c r="D564" s="33"/>
      <c r="E564" s="33"/>
      <c r="F564" s="33"/>
      <c r="G564" s="33"/>
      <c r="H564" s="34"/>
    </row>
    <row r="565" spans="1:8" ht="15" hidden="1" customHeight="1" x14ac:dyDescent="0.2">
      <c r="A565" s="13" t="s">
        <v>481</v>
      </c>
      <c r="D565" s="30" t="s">
        <v>439</v>
      </c>
      <c r="E565" s="30" t="s">
        <v>411</v>
      </c>
      <c r="F565" s="30" t="s">
        <v>439</v>
      </c>
      <c r="G565" s="30" t="s">
        <v>411</v>
      </c>
      <c r="H565" s="30" t="s">
        <v>439</v>
      </c>
    </row>
    <row r="566" spans="1:8" ht="15" hidden="1" customHeight="1" x14ac:dyDescent="0.2">
      <c r="A566" s="13" t="s">
        <v>481</v>
      </c>
      <c r="B566" s="14" t="s">
        <v>64</v>
      </c>
      <c r="C566" s="14"/>
      <c r="D566" s="33"/>
      <c r="E566" s="33"/>
      <c r="F566" s="33"/>
      <c r="G566" s="33"/>
      <c r="H566" s="33"/>
    </row>
    <row r="567" spans="1:8" ht="15" hidden="1" customHeight="1" x14ac:dyDescent="0.2">
      <c r="A567" s="13" t="s">
        <v>481</v>
      </c>
    </row>
    <row r="568" spans="1:8" ht="15" hidden="1" customHeight="1" x14ac:dyDescent="0.2">
      <c r="A568" s="13" t="s">
        <v>481</v>
      </c>
      <c r="B568" s="14" t="s">
        <v>36</v>
      </c>
      <c r="C568" s="14"/>
      <c r="D568" s="33"/>
      <c r="E568" s="14" t="s">
        <v>59</v>
      </c>
      <c r="F568" s="33" t="s">
        <v>91</v>
      </c>
    </row>
    <row r="569" spans="1:8" ht="15" hidden="1" customHeight="1" x14ac:dyDescent="0.2">
      <c r="A569" s="13" t="s">
        <v>481</v>
      </c>
      <c r="B569" s="14" t="s">
        <v>62</v>
      </c>
      <c r="C569" s="14"/>
      <c r="D569" s="21"/>
    </row>
    <row r="570" spans="1:8" ht="15" hidden="1" customHeight="1" x14ac:dyDescent="0.2">
      <c r="A570" s="13" t="s">
        <v>481</v>
      </c>
    </row>
    <row r="571" spans="1:8" ht="75.75" hidden="1" customHeight="1" x14ac:dyDescent="0.2">
      <c r="A571" s="13" t="s">
        <v>481</v>
      </c>
      <c r="B571" s="14"/>
      <c r="C571" s="15" t="s">
        <v>463</v>
      </c>
      <c r="D571" s="33"/>
      <c r="E571" s="16" t="s">
        <v>460</v>
      </c>
      <c r="F571" s="64" t="str">
        <f>IF(OR(D554=AA!$A$17, D554=AA!$A$18), "Möchtest Du nach Abschluss der Kampagne ein Reporting?", "")</f>
        <v/>
      </c>
      <c r="G571" s="48" t="s">
        <v>9</v>
      </c>
    </row>
    <row r="572" spans="1:8" ht="15" hidden="1" customHeight="1" x14ac:dyDescent="0.2">
      <c r="A572" s="13" t="s">
        <v>481</v>
      </c>
      <c r="B572" s="14"/>
      <c r="C572" s="14" t="s">
        <v>453</v>
      </c>
      <c r="D572" s="44"/>
      <c r="E572" s="35"/>
      <c r="F572" s="78" t="str">
        <f>IF(AND(D555=AA!$A$75,D573&lt;&gt;""),"OBACHT! Hinweis für Dispo: Der TKP für den Adserver (AllMediaDesk) beträgt 15 Euro. Bedeutet es muss ein Invest von "&amp;TEXT((D573*15)/1000,"#,##0 €")&amp;" angegeben werden","")</f>
        <v/>
      </c>
      <c r="G572" s="78"/>
      <c r="H572" s="78"/>
    </row>
    <row r="573" spans="1:8" ht="15" hidden="1" customHeight="1" x14ac:dyDescent="0.2">
      <c r="A573" s="13" t="s">
        <v>481</v>
      </c>
      <c r="B573" s="14"/>
      <c r="C573" s="14" t="s">
        <v>555</v>
      </c>
      <c r="D573" s="44"/>
      <c r="E573" s="35"/>
      <c r="F573" s="78"/>
      <c r="G573" s="78"/>
      <c r="H573" s="78"/>
    </row>
    <row r="574" spans="1:8" ht="15" hidden="1" customHeight="1" x14ac:dyDescent="0.2">
      <c r="A574" s="13" t="s">
        <v>481</v>
      </c>
      <c r="B574" s="14"/>
      <c r="C574" s="14" t="s">
        <v>60</v>
      </c>
      <c r="D574" s="46">
        <f>D572+D573</f>
        <v>0</v>
      </c>
      <c r="F574" s="79"/>
      <c r="G574" s="79"/>
      <c r="H574" s="79"/>
    </row>
    <row r="575" spans="1:8" ht="30" hidden="1" customHeight="1" x14ac:dyDescent="0.2">
      <c r="A575" s="13" t="s">
        <v>481</v>
      </c>
      <c r="B575" s="14"/>
      <c r="C575" s="17" t="s">
        <v>61</v>
      </c>
      <c r="D575" s="80"/>
      <c r="E575" s="80"/>
      <c r="F575" s="80"/>
      <c r="G575" s="80"/>
      <c r="H575" s="80"/>
    </row>
    <row r="576" spans="1:8" ht="20" hidden="1" x14ac:dyDescent="0.2">
      <c r="A576" s="13" t="s">
        <v>481</v>
      </c>
      <c r="C576" s="73" t="str">
        <f>IF(OR(IFERROR(ISNUMBER(SEARCH(" RMS "," "&amp;$D$5&amp;" ")),FALSE),IFERROR(ISNUMBER(SEARCH(" RMS "," "&amp;$D$6&amp;" ")),FALSE),ISNUMBER(MATCH(D555,AA!$A$64:$A$65,0))),IF(OR(IFERROR(ISNUMBER(SEARCH(" RMS "," "&amp;$D$5&amp;" ")),FALSE),IFERROR(ISNUMBER(SEARCH(" RMS "," "&amp;$D$6&amp;" ")),FALSE)),"Obacht! Produktionen, Influencer und Social-Media dürfen NICHT an die RMS verprovisioniert werden. ","")&amp;IF(ISNUMBER(MATCH(D555,AA!$A$64:$A$65,0)),"Beachte, dass die Summe inkl. Boosterbudget ist.",""),"")</f>
        <v/>
      </c>
    </row>
    <row r="577" spans="1:8" ht="15.75" hidden="1" customHeight="1" x14ac:dyDescent="0.2">
      <c r="A577" s="13" t="s">
        <v>481</v>
      </c>
      <c r="B577" s="18" t="s">
        <v>37</v>
      </c>
      <c r="C577" s="18"/>
      <c r="D577" s="18" t="s">
        <v>467</v>
      </c>
      <c r="E577" s="18" t="s">
        <v>418</v>
      </c>
      <c r="F577" s="18" t="s">
        <v>90</v>
      </c>
      <c r="G577" s="18" t="s">
        <v>115</v>
      </c>
      <c r="H577" s="18" t="s">
        <v>38</v>
      </c>
    </row>
    <row r="578" spans="1:8" ht="15" hidden="1" customHeight="1" x14ac:dyDescent="0.2">
      <c r="A578" s="13" t="s">
        <v>481</v>
      </c>
      <c r="B578" s="14" t="str">
        <f>IFERROR(
  INDEX('Buchungskenn durch Kombitabelle'!$A$2:$O$47,
        MATCH(D555,'Buchungskenn durch Kombitabelle'!$A$2:$A$47,0),
        MATCH(D554,'Buchungskenn durch Kombitabelle'!$A$1:$O$1,0)
  ),
  "Fehler"
)</f>
        <v>Fehler</v>
      </c>
      <c r="C578" s="14"/>
      <c r="D578" s="35"/>
      <c r="E578" s="74"/>
      <c r="F578" s="21"/>
      <c r="G578" s="24" t="str">
        <f>IF(F578="ja", (D578-(D578*E578))*0.85, IF(F578="nein", D578-(D578*E578), ""))</f>
        <v/>
      </c>
      <c r="H578" s="21"/>
    </row>
    <row r="579" spans="1:8" ht="15" hidden="1" customHeight="1" x14ac:dyDescent="0.2">
      <c r="A579" s="13" t="s">
        <v>481</v>
      </c>
      <c r="B579" s="14" t="s">
        <v>104</v>
      </c>
      <c r="C579" s="14"/>
      <c r="D579" s="35"/>
      <c r="E579" s="74"/>
      <c r="F579" s="21"/>
      <c r="G579" s="24" t="str">
        <f>IF(F579="ja", (D579-(D579*E579))*0.85, IF(F579="nein", D579-(D579*E579), ""))</f>
        <v/>
      </c>
      <c r="H579" s="21"/>
    </row>
    <row r="580" spans="1:8" ht="15" hidden="1" customHeight="1" x14ac:dyDescent="0.2">
      <c r="A580" s="13" t="s">
        <v>481</v>
      </c>
      <c r="B580" s="14"/>
      <c r="C580" s="14"/>
      <c r="D580" s="35"/>
      <c r="E580" s="74"/>
      <c r="F580" s="21"/>
      <c r="G580" s="24" t="str">
        <f>IF(F580="ja", (D580-(D580*E580))*0.85, IF(F580="nein", D580-(D580*E580), ""))</f>
        <v/>
      </c>
      <c r="H580" s="21"/>
    </row>
    <row r="581" spans="1:8" ht="15" hidden="1" customHeight="1" x14ac:dyDescent="0.2">
      <c r="A581" s="13" t="s">
        <v>481</v>
      </c>
      <c r="F581" s="25">
        <f>IF(F578="ja", (D578-(D578*E578)) * 0.15, 0)
+IF(F579="ja", (D579-(D579*E579)) * 0.15, 0)
+IF(F580="ja", (D580-(D580*E580)) * 0.15, 0)</f>
        <v>0</v>
      </c>
      <c r="G581" s="25">
        <f>SUM(G578:G580)</f>
        <v>0</v>
      </c>
    </row>
    <row r="582" spans="1:8" ht="15.75" hidden="1" customHeight="1" x14ac:dyDescent="0.2">
      <c r="A582" s="13" t="s">
        <v>482</v>
      </c>
      <c r="B582" s="7" t="s">
        <v>523</v>
      </c>
      <c r="C582" s="7"/>
    </row>
    <row r="583" spans="1:8" ht="15" hidden="1" customHeight="1" x14ac:dyDescent="0.2">
      <c r="A583" s="13" t="s">
        <v>482</v>
      </c>
      <c r="E583" s="37" t="s">
        <v>435</v>
      </c>
    </row>
    <row r="584" spans="1:8" hidden="1" x14ac:dyDescent="0.2">
      <c r="A584" s="13" t="s">
        <v>482</v>
      </c>
      <c r="B584" s="14" t="s">
        <v>30</v>
      </c>
      <c r="C584" s="14"/>
      <c r="D584" s="41"/>
      <c r="E584" s="51" t="str">
        <f>IF(D584=AA!$A$18,"WerbemittelPodcast",
    IF(COUNTIF(AA!$A$21:$A$24,D584)&gt;0,"WerbemittelEvents",
        IF(OR(D584=AA!$A$17,D584=AA!$A$11,D584=AA!$A$12),
            IF(D584=AA!$A$17,"WerbemittelOA","WerbemittelKombi"),
            "WerbemittelUKW")))</f>
        <v>WerbemittelUKW</v>
      </c>
      <c r="F584" s="55" t="str">
        <f>IF(OR(AA!$A$21=D584, AA!$A$22=D584, AA!$A$23=D584, AA!$A$24=D584), "Bitte gib die Event- Kostenstelle ein", "")</f>
        <v/>
      </c>
      <c r="G584" s="72"/>
    </row>
    <row r="585" spans="1:8" ht="33.75" hidden="1" customHeight="1" x14ac:dyDescent="0.2">
      <c r="A585" s="13" t="s">
        <v>482</v>
      </c>
      <c r="B585" s="14" t="s">
        <v>31</v>
      </c>
      <c r="C585" s="14"/>
      <c r="D585" s="40"/>
      <c r="E585" s="55" t="str">
        <f>IF(OR(ISNUMBER(MATCH(D585,AA!$A$33:$A$41,0)),ISNUMBER(MATCH(D585,AA!$A$48,0)),ISNUMBER(MATCH(D585,AA!$A$55:$A$59,0)),ISNUMBER(MATCH(D585,AA!$A$69:$A$78,0))),"Liegen die Nutzungsrechte vor? (nur bei über Krane&amp;Raabe produzierte Spots)","")</f>
        <v/>
      </c>
      <c r="F585" s="48"/>
    </row>
    <row r="586" spans="1:8" ht="22.5" hidden="1" customHeight="1" x14ac:dyDescent="0.2">
      <c r="A586" s="13" t="s">
        <v>482</v>
      </c>
      <c r="B586" s="14" t="s">
        <v>494</v>
      </c>
      <c r="C586" s="14"/>
      <c r="D586" s="40"/>
      <c r="E586" s="55" t="str">
        <f>IF(D586="ja","Soll eine Verpackung eingeplant werden?","")</f>
        <v/>
      </c>
      <c r="F586" s="48" t="s">
        <v>9</v>
      </c>
    </row>
    <row r="587" spans="1:8" ht="24" hidden="1" customHeight="1" x14ac:dyDescent="0.2">
      <c r="A587" s="13" t="s">
        <v>482</v>
      </c>
      <c r="B587" s="14" t="s">
        <v>32</v>
      </c>
      <c r="C587" s="14"/>
      <c r="D587" s="39"/>
      <c r="E587" s="77" t="str">
        <f>IF(OR(ISNUMBER(MATCH(D585,AA!$A$64:$A$65,0)),),"Gib hier ggf. den Boosterbetrag ein.","")</f>
        <v/>
      </c>
      <c r="F587" s="76"/>
    </row>
    <row r="588" spans="1:8" ht="15" hidden="1" customHeight="1" x14ac:dyDescent="0.2">
      <c r="A588" s="13" t="s">
        <v>482</v>
      </c>
      <c r="B588" s="14" t="s">
        <v>42</v>
      </c>
      <c r="C588" s="14"/>
      <c r="D588" s="40"/>
    </row>
    <row r="589" spans="1:8" ht="15" hidden="1" customHeight="1" x14ac:dyDescent="0.2">
      <c r="A589" s="13" t="s">
        <v>482</v>
      </c>
      <c r="B589" s="14" t="s">
        <v>114</v>
      </c>
      <c r="C589" s="14"/>
      <c r="D589" s="40"/>
    </row>
    <row r="590" spans="1:8" ht="15" hidden="1" customHeight="1" x14ac:dyDescent="0.2">
      <c r="A590" s="13" t="s">
        <v>482</v>
      </c>
      <c r="B590" s="14" t="s">
        <v>113</v>
      </c>
      <c r="C590" s="14"/>
      <c r="D590" s="42"/>
      <c r="E590" s="47" t="str">
        <f>IF(OR(D585=AA!$A$42,D585=AA!$A$44,D585=AA!$A$46,D585=AA!$A$47,D585=AA!$A$48,D585=AA!$A$49,D585=AA!$A$50,D585=AA!$A$51,D585=AA!$A$52,D585=AA!$A$53,D585=AA!$A$54,D585=AA!$A$55,D585=AA!$A$56,D585=AA!$A$57,D585=AA!$A$58,D585=AA!$A$59),
"Überprüfe die Einsatzpläne und Uhrzeiten im Hinblick auf Sinnhaftigkeit. (Bspw. keine Promo nach PayOff)",
"")</f>
        <v/>
      </c>
    </row>
    <row r="591" spans="1:8" ht="15" hidden="1" customHeight="1" x14ac:dyDescent="0.2">
      <c r="A591" s="13" t="s">
        <v>482</v>
      </c>
      <c r="B591" s="14" t="s">
        <v>33</v>
      </c>
      <c r="C591" s="14"/>
      <c r="D591" s="43" t="str">
        <f t="array" ref="D591">IFERROR(
  INDEX('Einplanung durch Kombitabelle'!$C$2:$C$411,
        MATCH(1,
          (D584='Einplanung durch Kombitabelle'!$A$2:$A$411)*
          (D585='Einplanung durch Kombitabelle'!$B$2:$B$411),
        0)
  ),
  "Sender/Werbemittel nicht vollständig ausgefüllt"
)</f>
        <v>Sender/Werbemittel nicht vollständig ausgefüllt</v>
      </c>
      <c r="E591" s="81" t="str">
        <f>IF(AND(D584=AA!$A$14,D585=AA!$A$47),"Handelt es sich um einen St. Pauli Backstage Abbinder, Einplanung durch OAP",
IF(AND(D584=AA!$A$13,D585=AA!$A$52),"Handelt es sich um die Radio Hamburg Chartshow, Einplanung durch Dispo",
IF(AND(D584=AA!$A$13,D585=AA!$A$50),"Handelt es sich um ein Radio Hamburg Wettersponsoring oder Citylife, Einplanung durch Dispo",
IF(AND(D584=AA!$A$13,D585=AA!$A$51),"Handelt es sich um ein Radio Hamburg Wettersponsoring oder Citylife, Einplanung durch Dispo",""))))</f>
        <v/>
      </c>
      <c r="F591" s="82"/>
      <c r="G591" s="82"/>
      <c r="H591" s="82"/>
    </row>
    <row r="592" spans="1:8" hidden="1" x14ac:dyDescent="0.2">
      <c r="A592" s="13" t="s">
        <v>482</v>
      </c>
      <c r="B592" s="14" t="s">
        <v>436</v>
      </c>
      <c r="C592" s="14"/>
      <c r="D592" s="45"/>
      <c r="E592" s="83"/>
      <c r="F592" s="84"/>
      <c r="G592" s="84"/>
      <c r="H592" s="84"/>
    </row>
    <row r="593" spans="1:8" ht="15" hidden="1" customHeight="1" x14ac:dyDescent="0.2">
      <c r="A593" s="13" t="s">
        <v>482</v>
      </c>
      <c r="D593" s="30" t="s">
        <v>439</v>
      </c>
      <c r="E593" s="29" t="s">
        <v>417</v>
      </c>
      <c r="F593" s="30" t="s">
        <v>411</v>
      </c>
      <c r="G593" s="29" t="s">
        <v>439</v>
      </c>
      <c r="H593" s="29" t="s">
        <v>417</v>
      </c>
    </row>
    <row r="594" spans="1:8" ht="15" hidden="1" customHeight="1" x14ac:dyDescent="0.2">
      <c r="A594" s="13" t="s">
        <v>482</v>
      </c>
      <c r="B594" s="14" t="s">
        <v>63</v>
      </c>
      <c r="C594" s="14"/>
      <c r="D594" s="33"/>
      <c r="E594" s="33"/>
      <c r="F594" s="33"/>
      <c r="G594" s="33"/>
      <c r="H594" s="34"/>
    </row>
    <row r="595" spans="1:8" ht="15" hidden="1" customHeight="1" x14ac:dyDescent="0.2">
      <c r="A595" s="13" t="s">
        <v>482</v>
      </c>
      <c r="D595" s="30" t="s">
        <v>439</v>
      </c>
      <c r="E595" s="30" t="s">
        <v>411</v>
      </c>
      <c r="F595" s="30" t="s">
        <v>439</v>
      </c>
      <c r="G595" s="30" t="s">
        <v>411</v>
      </c>
      <c r="H595" s="30" t="s">
        <v>439</v>
      </c>
    </row>
    <row r="596" spans="1:8" ht="15" hidden="1" customHeight="1" x14ac:dyDescent="0.2">
      <c r="A596" s="13" t="s">
        <v>482</v>
      </c>
      <c r="B596" s="14" t="s">
        <v>64</v>
      </c>
      <c r="C596" s="14"/>
      <c r="D596" s="33"/>
      <c r="E596" s="33"/>
      <c r="F596" s="33"/>
      <c r="G596" s="33"/>
      <c r="H596" s="33"/>
    </row>
    <row r="597" spans="1:8" ht="15" hidden="1" customHeight="1" x14ac:dyDescent="0.2">
      <c r="A597" s="13" t="s">
        <v>482</v>
      </c>
    </row>
    <row r="598" spans="1:8" ht="15" hidden="1" customHeight="1" x14ac:dyDescent="0.2">
      <c r="A598" s="13" t="s">
        <v>482</v>
      </c>
      <c r="B598" s="14" t="s">
        <v>36</v>
      </c>
      <c r="C598" s="14"/>
      <c r="D598" s="33"/>
      <c r="E598" s="14" t="s">
        <v>59</v>
      </c>
      <c r="F598" s="33" t="s">
        <v>91</v>
      </c>
    </row>
    <row r="599" spans="1:8" ht="15" hidden="1" customHeight="1" x14ac:dyDescent="0.2">
      <c r="A599" s="13" t="s">
        <v>482</v>
      </c>
      <c r="B599" s="14" t="s">
        <v>62</v>
      </c>
      <c r="C599" s="14"/>
      <c r="D599" s="21"/>
    </row>
    <row r="600" spans="1:8" ht="15" hidden="1" customHeight="1" x14ac:dyDescent="0.2">
      <c r="A600" s="13" t="s">
        <v>482</v>
      </c>
    </row>
    <row r="601" spans="1:8" ht="75.75" hidden="1" customHeight="1" x14ac:dyDescent="0.2">
      <c r="A601" s="13" t="s">
        <v>482</v>
      </c>
      <c r="B601" s="14"/>
      <c r="C601" s="15" t="s">
        <v>463</v>
      </c>
      <c r="D601" s="33"/>
      <c r="E601" s="16" t="s">
        <v>460</v>
      </c>
      <c r="F601" s="64" t="str">
        <f>IF(OR(D584=AA!$A$17, D584=AA!$A$18), "Möchtest Du nach Abschluss der Kampagne ein Reporting?", "")</f>
        <v/>
      </c>
      <c r="G601" s="48" t="s">
        <v>9</v>
      </c>
    </row>
    <row r="602" spans="1:8" ht="15" hidden="1" customHeight="1" x14ac:dyDescent="0.2">
      <c r="A602" s="13" t="s">
        <v>482</v>
      </c>
      <c r="B602" s="14"/>
      <c r="C602" s="14" t="s">
        <v>453</v>
      </c>
      <c r="D602" s="44"/>
      <c r="E602" s="35"/>
      <c r="F602" s="78" t="str">
        <f>IF(AND(D585=AA!$A$75,D603&lt;&gt;""),"OBACHT! Hinweis für Dispo: Der TKP für den Adserver (AllMediaDesk) beträgt 15 Euro. Bedeutet es muss ein Invest von "&amp;TEXT((D603*15)/1000,"#,##0 €")&amp;" angegeben werden","")</f>
        <v/>
      </c>
      <c r="G602" s="78"/>
      <c r="H602" s="78"/>
    </row>
    <row r="603" spans="1:8" ht="15" hidden="1" customHeight="1" x14ac:dyDescent="0.2">
      <c r="A603" s="13" t="s">
        <v>482</v>
      </c>
      <c r="B603" s="14"/>
      <c r="C603" s="14" t="s">
        <v>555</v>
      </c>
      <c r="D603" s="44"/>
      <c r="E603" s="35"/>
      <c r="F603" s="78"/>
      <c r="G603" s="78"/>
      <c r="H603" s="78"/>
    </row>
    <row r="604" spans="1:8" ht="15" hidden="1" customHeight="1" x14ac:dyDescent="0.2">
      <c r="A604" s="13" t="s">
        <v>482</v>
      </c>
      <c r="B604" s="14"/>
      <c r="C604" s="14" t="s">
        <v>60</v>
      </c>
      <c r="D604" s="46">
        <f>D602+D603</f>
        <v>0</v>
      </c>
      <c r="F604" s="79"/>
      <c r="G604" s="79"/>
      <c r="H604" s="79"/>
    </row>
    <row r="605" spans="1:8" ht="30" hidden="1" customHeight="1" x14ac:dyDescent="0.2">
      <c r="A605" s="13" t="s">
        <v>482</v>
      </c>
      <c r="B605" s="14"/>
      <c r="C605" s="17" t="s">
        <v>61</v>
      </c>
      <c r="D605" s="80"/>
      <c r="E605" s="80"/>
      <c r="F605" s="80"/>
      <c r="G605" s="80"/>
      <c r="H605" s="80"/>
    </row>
    <row r="606" spans="1:8" ht="20" hidden="1" x14ac:dyDescent="0.2">
      <c r="A606" s="13" t="s">
        <v>482</v>
      </c>
      <c r="C606" s="73" t="str">
        <f>IF(OR(IFERROR(ISNUMBER(SEARCH(" RMS "," "&amp;$D$5&amp;" ")),FALSE),IFERROR(ISNUMBER(SEARCH(" RMS "," "&amp;$D$6&amp;" ")),FALSE),ISNUMBER(MATCH(D585,AA!$A$64:$A$65,0))),IF(OR(IFERROR(ISNUMBER(SEARCH(" RMS "," "&amp;$D$5&amp;" ")),FALSE),IFERROR(ISNUMBER(SEARCH(" RMS "," "&amp;$D$6&amp;" ")),FALSE)),"Obacht! Produktionen, Influencer und Social-Media dürfen NICHT an die RMS verprovisioniert werden. ","")&amp;IF(ISNUMBER(MATCH(D585,AA!$A$64:$A$65,0)),"Beachte, dass die Summe inkl. Boosterbudget ist.",""),"")</f>
        <v/>
      </c>
    </row>
    <row r="607" spans="1:8" ht="15.75" hidden="1" customHeight="1" x14ac:dyDescent="0.2">
      <c r="A607" s="13" t="s">
        <v>482</v>
      </c>
      <c r="B607" s="18" t="s">
        <v>37</v>
      </c>
      <c r="C607" s="18"/>
      <c r="D607" s="18" t="s">
        <v>467</v>
      </c>
      <c r="E607" s="18" t="s">
        <v>418</v>
      </c>
      <c r="F607" s="18" t="s">
        <v>90</v>
      </c>
      <c r="G607" s="18" t="s">
        <v>115</v>
      </c>
      <c r="H607" s="18" t="s">
        <v>38</v>
      </c>
    </row>
    <row r="608" spans="1:8" ht="15" hidden="1" customHeight="1" x14ac:dyDescent="0.2">
      <c r="A608" s="13" t="s">
        <v>482</v>
      </c>
      <c r="B608" s="14" t="str">
        <f>IFERROR(
  INDEX('Buchungskenn durch Kombitabelle'!$A$2:$O$47,
        MATCH(D585,'Buchungskenn durch Kombitabelle'!$A$2:$A$47,0),
        MATCH(D584,'Buchungskenn durch Kombitabelle'!$A$1:$O$1,0)
  ),
  "Fehler"
)</f>
        <v>Fehler</v>
      </c>
      <c r="C608" s="14"/>
      <c r="D608" s="35"/>
      <c r="E608" s="74"/>
      <c r="F608" s="21"/>
      <c r="G608" s="24" t="str">
        <f>IF(F608="ja", (D608-(D608*E608))*0.85, IF(F608="nein", D608-(D608*E608), ""))</f>
        <v/>
      </c>
      <c r="H608" s="21"/>
    </row>
    <row r="609" spans="1:8" ht="15" hidden="1" customHeight="1" x14ac:dyDescent="0.2">
      <c r="A609" s="13" t="s">
        <v>482</v>
      </c>
      <c r="B609" s="14" t="s">
        <v>104</v>
      </c>
      <c r="C609" s="14"/>
      <c r="D609" s="35"/>
      <c r="E609" s="74"/>
      <c r="F609" s="21"/>
      <c r="G609" s="24" t="str">
        <f>IF(F609="ja", (D609-(D609*E609))*0.85, IF(F609="nein", D609-(D609*E609), ""))</f>
        <v/>
      </c>
      <c r="H609" s="21"/>
    </row>
    <row r="610" spans="1:8" ht="15" hidden="1" customHeight="1" x14ac:dyDescent="0.2">
      <c r="A610" s="13" t="s">
        <v>482</v>
      </c>
      <c r="B610" s="14"/>
      <c r="C610" s="14"/>
      <c r="D610" s="35"/>
      <c r="E610" s="74"/>
      <c r="F610" s="21"/>
      <c r="G610" s="24" t="str">
        <f>IF(F610="ja", (D610-(D610*E610))*0.85, IF(F610="nein", D610-(D610*E610), ""))</f>
        <v/>
      </c>
      <c r="H610" s="21"/>
    </row>
    <row r="611" spans="1:8" ht="15" hidden="1" customHeight="1" x14ac:dyDescent="0.2">
      <c r="A611" s="13" t="s">
        <v>482</v>
      </c>
      <c r="F611" s="25">
        <f>IF(F608="ja", (D608-(D608*E608)) * 0.15, 0)
+IF(F609="ja", (D609-(D609*E609)) * 0.15, 0)
+IF(F610="ja", (D610-(D610*E610)) * 0.15, 0)</f>
        <v>0</v>
      </c>
      <c r="G611" s="25">
        <f>SUM(G608:G610)</f>
        <v>0</v>
      </c>
    </row>
    <row r="612" spans="1:8" ht="15.75" hidden="1" customHeight="1" x14ac:dyDescent="0.2">
      <c r="A612" s="13" t="s">
        <v>483</v>
      </c>
      <c r="B612" s="7" t="s">
        <v>523</v>
      </c>
      <c r="C612" s="7"/>
    </row>
    <row r="613" spans="1:8" ht="15" hidden="1" customHeight="1" x14ac:dyDescent="0.2">
      <c r="A613" s="13" t="s">
        <v>483</v>
      </c>
      <c r="E613" s="37" t="s">
        <v>435</v>
      </c>
    </row>
    <row r="614" spans="1:8" hidden="1" x14ac:dyDescent="0.2">
      <c r="A614" s="13" t="s">
        <v>483</v>
      </c>
      <c r="B614" s="14" t="s">
        <v>30</v>
      </c>
      <c r="C614" s="14"/>
      <c r="D614" s="41"/>
      <c r="E614" s="51" t="str">
        <f>IF(D614=AA!$A$18,"WerbemittelPodcast",
    IF(COUNTIF(AA!$A$21:$A$24,D614)&gt;0,"WerbemittelEvents",
        IF(OR(D614=AA!$A$17,D614=AA!$A$11,D614=AA!$A$12),
            IF(D614=AA!$A$17,"WerbemittelOA","WerbemittelKombi"),
            "WerbemittelUKW")))</f>
        <v>WerbemittelUKW</v>
      </c>
      <c r="F614" s="55" t="str">
        <f>IF(OR(AA!$A$21=D614, AA!$A$22=D614, AA!$A$23=D614, AA!$A$24=D614), "Bitte gib die Event- Kostenstelle ein", "")</f>
        <v/>
      </c>
      <c r="G614" s="72"/>
    </row>
    <row r="615" spans="1:8" ht="33.75" hidden="1" customHeight="1" x14ac:dyDescent="0.2">
      <c r="A615" s="13" t="s">
        <v>483</v>
      </c>
      <c r="B615" s="14" t="s">
        <v>31</v>
      </c>
      <c r="C615" s="14"/>
      <c r="D615" s="40"/>
      <c r="E615" s="55" t="str">
        <f>IF(OR(ISNUMBER(MATCH(D615,AA!$A$33:$A$41,0)),ISNUMBER(MATCH(D615,AA!$A$48,0)),ISNUMBER(MATCH(D615,AA!$A$55:$A$59,0)),ISNUMBER(MATCH(D615,AA!$A$69:$A$78,0))),"Liegen die Nutzungsrechte vor? (nur bei über Krane&amp;Raabe produzierte Spots)","")</f>
        <v/>
      </c>
      <c r="F615" s="48"/>
    </row>
    <row r="616" spans="1:8" ht="22.5" hidden="1" customHeight="1" x14ac:dyDescent="0.2">
      <c r="A616" s="13" t="s">
        <v>483</v>
      </c>
      <c r="B616" s="14" t="s">
        <v>494</v>
      </c>
      <c r="C616" s="14"/>
      <c r="D616" s="40"/>
      <c r="E616" s="55" t="str">
        <f>IF(D616="ja","Soll eine Verpackung eingeplant werden?","")</f>
        <v/>
      </c>
      <c r="F616" s="48" t="s">
        <v>9</v>
      </c>
    </row>
    <row r="617" spans="1:8" ht="24" hidden="1" customHeight="1" x14ac:dyDescent="0.2">
      <c r="A617" s="13" t="s">
        <v>483</v>
      </c>
      <c r="B617" s="14" t="s">
        <v>32</v>
      </c>
      <c r="C617" s="14"/>
      <c r="D617" s="39"/>
      <c r="E617" s="77" t="str">
        <f>IF(OR(ISNUMBER(MATCH(D615,AA!$A$64:$A$65,0)),),"Gib hier ggf. den Boosterbetrag ein.","")</f>
        <v/>
      </c>
      <c r="F617" s="76"/>
    </row>
    <row r="618" spans="1:8" ht="15" hidden="1" customHeight="1" x14ac:dyDescent="0.2">
      <c r="A618" s="13" t="s">
        <v>483</v>
      </c>
      <c r="B618" s="14" t="s">
        <v>42</v>
      </c>
      <c r="C618" s="14"/>
      <c r="D618" s="40"/>
    </row>
    <row r="619" spans="1:8" ht="15" hidden="1" customHeight="1" x14ac:dyDescent="0.2">
      <c r="A619" s="13" t="s">
        <v>483</v>
      </c>
      <c r="B619" s="14" t="s">
        <v>114</v>
      </c>
      <c r="C619" s="14"/>
      <c r="D619" s="40"/>
    </row>
    <row r="620" spans="1:8" ht="15" hidden="1" customHeight="1" x14ac:dyDescent="0.2">
      <c r="A620" s="13" t="s">
        <v>483</v>
      </c>
      <c r="B620" s="14" t="s">
        <v>113</v>
      </c>
      <c r="C620" s="14"/>
      <c r="D620" s="42"/>
      <c r="E620" s="47" t="str">
        <f>IF(OR(D615=AA!$A$42,D615=AA!$A$44,D615=AA!$A$46,D615=AA!$A$47,D615=AA!$A$48,D615=AA!$A$49,D615=AA!$A$50,D615=AA!$A$51,D615=AA!$A$52,D615=AA!$A$53,D615=AA!$A$54,D615=AA!$A$55,D615=AA!$A$56,D615=AA!$A$57,D615=AA!$A$58,D615=AA!$A$59),
"Überprüfe die Einsatzpläne und Uhrzeiten im Hinblick auf Sinnhaftigkeit. (Bspw. keine Promo nach PayOff)",
"")</f>
        <v/>
      </c>
    </row>
    <row r="621" spans="1:8" ht="15" hidden="1" customHeight="1" x14ac:dyDescent="0.2">
      <c r="A621" s="13" t="s">
        <v>483</v>
      </c>
      <c r="B621" s="14" t="s">
        <v>33</v>
      </c>
      <c r="C621" s="14"/>
      <c r="D621" s="43" t="str">
        <f t="array" ref="D621">IFERROR(
  INDEX('Einplanung durch Kombitabelle'!$C$2:$C$411,
        MATCH(1,
          (D614='Einplanung durch Kombitabelle'!$A$2:$A$411)*
          (D615='Einplanung durch Kombitabelle'!$B$2:$B$411),
        0)
  ),
  "Sender/Werbemittel nicht vollständig ausgefüllt"
)</f>
        <v>Sender/Werbemittel nicht vollständig ausgefüllt</v>
      </c>
      <c r="E621" s="81" t="str">
        <f>IF(AND(D614=AA!$A$14,D615=AA!$A$47),"Handelt es sich um einen St. Pauli Backstage Abbinder, Einplanung durch OAP",
IF(AND(D614=AA!$A$13,D615=AA!$A$52),"Handelt es sich um die Radio Hamburg Chartshow, Einplanung durch Dispo",
IF(AND(D614=AA!$A$13,D615=AA!$A$50),"Handelt es sich um ein Radio Hamburg Wettersponsoring oder Citylife, Einplanung durch Dispo",
IF(AND(D614=AA!$A$13,D615=AA!$A$51),"Handelt es sich um ein Radio Hamburg Wettersponsoring oder Citylife, Einplanung durch Dispo",""))))</f>
        <v/>
      </c>
      <c r="F621" s="82"/>
      <c r="G621" s="82"/>
      <c r="H621" s="82"/>
    </row>
    <row r="622" spans="1:8" hidden="1" x14ac:dyDescent="0.2">
      <c r="A622" s="13" t="s">
        <v>483</v>
      </c>
      <c r="B622" s="14" t="s">
        <v>436</v>
      </c>
      <c r="C622" s="14"/>
      <c r="D622" s="45"/>
      <c r="E622" s="83"/>
      <c r="F622" s="84"/>
      <c r="G622" s="84"/>
      <c r="H622" s="84"/>
    </row>
    <row r="623" spans="1:8" ht="15" hidden="1" customHeight="1" x14ac:dyDescent="0.2">
      <c r="A623" s="13" t="s">
        <v>483</v>
      </c>
      <c r="D623" s="30" t="s">
        <v>439</v>
      </c>
      <c r="E623" s="29" t="s">
        <v>417</v>
      </c>
      <c r="F623" s="30" t="s">
        <v>411</v>
      </c>
      <c r="G623" s="29" t="s">
        <v>439</v>
      </c>
      <c r="H623" s="29" t="s">
        <v>417</v>
      </c>
    </row>
    <row r="624" spans="1:8" ht="15" hidden="1" customHeight="1" x14ac:dyDescent="0.2">
      <c r="A624" s="13" t="s">
        <v>483</v>
      </c>
      <c r="B624" s="14" t="s">
        <v>63</v>
      </c>
      <c r="C624" s="14"/>
      <c r="D624" s="33"/>
      <c r="E624" s="33"/>
      <c r="F624" s="33"/>
      <c r="G624" s="33"/>
      <c r="H624" s="34"/>
    </row>
    <row r="625" spans="1:8" ht="15" hidden="1" customHeight="1" x14ac:dyDescent="0.2">
      <c r="A625" s="13" t="s">
        <v>483</v>
      </c>
      <c r="D625" s="30" t="s">
        <v>439</v>
      </c>
      <c r="E625" s="30" t="s">
        <v>411</v>
      </c>
      <c r="F625" s="30" t="s">
        <v>439</v>
      </c>
      <c r="G625" s="30" t="s">
        <v>411</v>
      </c>
      <c r="H625" s="30" t="s">
        <v>439</v>
      </c>
    </row>
    <row r="626" spans="1:8" ht="15" hidden="1" customHeight="1" x14ac:dyDescent="0.2">
      <c r="A626" s="13" t="s">
        <v>483</v>
      </c>
      <c r="B626" s="14" t="s">
        <v>64</v>
      </c>
      <c r="C626" s="14"/>
      <c r="D626" s="33"/>
      <c r="E626" s="33"/>
      <c r="F626" s="33"/>
      <c r="G626" s="33"/>
      <c r="H626" s="33"/>
    </row>
    <row r="627" spans="1:8" ht="15" hidden="1" customHeight="1" x14ac:dyDescent="0.2">
      <c r="A627" s="13" t="s">
        <v>483</v>
      </c>
    </row>
    <row r="628" spans="1:8" ht="15" hidden="1" customHeight="1" x14ac:dyDescent="0.2">
      <c r="A628" s="13" t="s">
        <v>483</v>
      </c>
      <c r="B628" s="14" t="s">
        <v>36</v>
      </c>
      <c r="C628" s="14"/>
      <c r="D628" s="33"/>
      <c r="E628" s="14" t="s">
        <v>59</v>
      </c>
      <c r="F628" s="33" t="s">
        <v>91</v>
      </c>
    </row>
    <row r="629" spans="1:8" ht="15" hidden="1" customHeight="1" x14ac:dyDescent="0.2">
      <c r="A629" s="13" t="s">
        <v>483</v>
      </c>
      <c r="B629" s="14" t="s">
        <v>62</v>
      </c>
      <c r="C629" s="14"/>
      <c r="D629" s="21"/>
    </row>
    <row r="630" spans="1:8" ht="15" hidden="1" customHeight="1" x14ac:dyDescent="0.2">
      <c r="A630" s="13" t="s">
        <v>483</v>
      </c>
    </row>
    <row r="631" spans="1:8" ht="75.75" hidden="1" customHeight="1" x14ac:dyDescent="0.2">
      <c r="A631" s="13" t="s">
        <v>483</v>
      </c>
      <c r="B631" s="14"/>
      <c r="C631" s="15" t="s">
        <v>463</v>
      </c>
      <c r="D631" s="33"/>
      <c r="E631" s="16" t="s">
        <v>460</v>
      </c>
      <c r="F631" s="64" t="str">
        <f>IF(OR(D614=AA!$A$17, D614=AA!$A$18), "Möchtest Du nach Abschluss der Kampagne ein Reporting?", "")</f>
        <v/>
      </c>
      <c r="G631" s="48" t="s">
        <v>9</v>
      </c>
    </row>
    <row r="632" spans="1:8" ht="15" hidden="1" customHeight="1" x14ac:dyDescent="0.2">
      <c r="A632" s="13" t="s">
        <v>483</v>
      </c>
      <c r="B632" s="14"/>
      <c r="C632" s="14" t="s">
        <v>453</v>
      </c>
      <c r="D632" s="44"/>
      <c r="E632" s="35"/>
      <c r="F632" s="78" t="str">
        <f>IF(AND(D615=AA!$A$75,D633&lt;&gt;""),"OBACHT! Hinweis für Dispo: Der TKP für den Adserver (AllMediaDesk) beträgt 15 Euro. Bedeutet es muss ein Invest von "&amp;TEXT((D633*15)/1000,"#,##0 €")&amp;" angegeben werden","")</f>
        <v/>
      </c>
      <c r="G632" s="78"/>
      <c r="H632" s="78"/>
    </row>
    <row r="633" spans="1:8" ht="15" hidden="1" customHeight="1" x14ac:dyDescent="0.2">
      <c r="A633" s="13" t="s">
        <v>483</v>
      </c>
      <c r="B633" s="14"/>
      <c r="C633" s="14" t="s">
        <v>555</v>
      </c>
      <c r="D633" s="44"/>
      <c r="E633" s="35"/>
      <c r="F633" s="78"/>
      <c r="G633" s="78"/>
      <c r="H633" s="78"/>
    </row>
    <row r="634" spans="1:8" ht="15" hidden="1" customHeight="1" x14ac:dyDescent="0.2">
      <c r="A634" s="13" t="s">
        <v>483</v>
      </c>
      <c r="B634" s="14"/>
      <c r="C634" s="14" t="s">
        <v>60</v>
      </c>
      <c r="D634" s="46">
        <f>D632+D633</f>
        <v>0</v>
      </c>
      <c r="F634" s="79"/>
      <c r="G634" s="79"/>
      <c r="H634" s="79"/>
    </row>
    <row r="635" spans="1:8" ht="30" hidden="1" customHeight="1" x14ac:dyDescent="0.2">
      <c r="A635" s="13" t="s">
        <v>483</v>
      </c>
      <c r="B635" s="14"/>
      <c r="C635" s="17" t="s">
        <v>61</v>
      </c>
      <c r="D635" s="80"/>
      <c r="E635" s="80"/>
      <c r="F635" s="80"/>
      <c r="G635" s="80"/>
      <c r="H635" s="80"/>
    </row>
    <row r="636" spans="1:8" ht="20" hidden="1" x14ac:dyDescent="0.2">
      <c r="A636" s="13" t="s">
        <v>483</v>
      </c>
      <c r="C636" s="73" t="str">
        <f>IF(OR(IFERROR(ISNUMBER(SEARCH(" RMS "," "&amp;$D$5&amp;" ")),FALSE),IFERROR(ISNUMBER(SEARCH(" RMS "," "&amp;$D$6&amp;" ")),FALSE),ISNUMBER(MATCH(D615,AA!$A$64:$A$65,0))),IF(OR(IFERROR(ISNUMBER(SEARCH(" RMS "," "&amp;$D$5&amp;" ")),FALSE),IFERROR(ISNUMBER(SEARCH(" RMS "," "&amp;$D$6&amp;" ")),FALSE)),"Obacht! Produktionen, Influencer und Social-Media dürfen NICHT an die RMS verprovisioniert werden. ","")&amp;IF(ISNUMBER(MATCH(D615,AA!$A$64:$A$65,0)),"Beachte, dass die Summe inkl. Boosterbudget ist.",""),"")</f>
        <v/>
      </c>
    </row>
    <row r="637" spans="1:8" ht="15.75" hidden="1" customHeight="1" x14ac:dyDescent="0.2">
      <c r="A637" s="13" t="s">
        <v>483</v>
      </c>
      <c r="B637" s="18" t="s">
        <v>37</v>
      </c>
      <c r="C637" s="18"/>
      <c r="D637" s="18" t="s">
        <v>467</v>
      </c>
      <c r="E637" s="18" t="s">
        <v>418</v>
      </c>
      <c r="F637" s="18" t="s">
        <v>90</v>
      </c>
      <c r="G637" s="18" t="s">
        <v>115</v>
      </c>
      <c r="H637" s="18" t="s">
        <v>38</v>
      </c>
    </row>
    <row r="638" spans="1:8" ht="15" hidden="1" customHeight="1" x14ac:dyDescent="0.2">
      <c r="A638" s="13" t="s">
        <v>483</v>
      </c>
      <c r="B638" s="14" t="str">
        <f>IFERROR(
  INDEX('Buchungskenn durch Kombitabelle'!$A$2:$O$47,
        MATCH(D615,'Buchungskenn durch Kombitabelle'!$A$2:$A$47,0),
        MATCH(D614,'Buchungskenn durch Kombitabelle'!$A$1:$O$1,0)
  ),
  "Fehler"
)</f>
        <v>Fehler</v>
      </c>
      <c r="C638" s="14"/>
      <c r="D638" s="35"/>
      <c r="E638" s="74"/>
      <c r="F638" s="21"/>
      <c r="G638" s="24" t="str">
        <f>IF(F638="ja", (D638-(D638*E638))*0.85, IF(F638="nein", D638-(D638*E638), ""))</f>
        <v/>
      </c>
      <c r="H638" s="21"/>
    </row>
    <row r="639" spans="1:8" ht="15" hidden="1" customHeight="1" x14ac:dyDescent="0.2">
      <c r="A639" s="13" t="s">
        <v>483</v>
      </c>
      <c r="B639" s="14" t="s">
        <v>104</v>
      </c>
      <c r="C639" s="14"/>
      <c r="D639" s="35"/>
      <c r="E639" s="74"/>
      <c r="F639" s="21"/>
      <c r="G639" s="24" t="str">
        <f>IF(F639="ja", (D639-(D639*E639))*0.85, IF(F639="nein", D639-(D639*E639), ""))</f>
        <v/>
      </c>
      <c r="H639" s="21"/>
    </row>
    <row r="640" spans="1:8" ht="15" hidden="1" customHeight="1" x14ac:dyDescent="0.2">
      <c r="A640" s="13" t="s">
        <v>483</v>
      </c>
      <c r="B640" s="14"/>
      <c r="C640" s="14"/>
      <c r="D640" s="35"/>
      <c r="E640" s="74"/>
      <c r="F640" s="21"/>
      <c r="G640" s="24" t="str">
        <f>IF(F640="ja", (D640-(D640*E640))*0.85, IF(F640="nein", D640-(D640*E640), ""))</f>
        <v/>
      </c>
      <c r="H640" s="21"/>
    </row>
    <row r="641" spans="1:7" ht="15" hidden="1" customHeight="1" x14ac:dyDescent="0.2">
      <c r="A641" s="13" t="s">
        <v>483</v>
      </c>
      <c r="F641" s="25">
        <f>IF(F638="ja", (D638-(D638*E638)) * 0.15, 0)
+IF(F639="ja", (D639-(D639*E639)) * 0.15, 0)
+IF(F640="ja", (D640-(D640*E640)) * 0.15, 0)</f>
        <v>0</v>
      </c>
      <c r="G641" s="25">
        <f>SUM(G638:G640)</f>
        <v>0</v>
      </c>
    </row>
    <row r="642" spans="1:7" ht="15" hidden="1" customHeight="1" x14ac:dyDescent="0.2">
      <c r="A642" s="13" t="s">
        <v>483</v>
      </c>
    </row>
  </sheetData>
  <sheetProtection algorithmName="SHA-512" hashValue="UNqOC3mILcscl9I/5iIlcxACIiAcDN/zkbe16qhNnfJZ+KJQfj5BvyXz7jPG39jula4IeEPtUGbU8GWgO0eQwQ==" saltValue="bTF3uql876Cgv3MmbQdEtg==" spinCount="100000" sheet="1" selectLockedCells="1" autoFilter="0"/>
  <dataConsolidate/>
  <mergeCells count="67">
    <mergeCell ref="E591:H592"/>
    <mergeCell ref="D605:H605"/>
    <mergeCell ref="E621:H622"/>
    <mergeCell ref="D635:H635"/>
    <mergeCell ref="E531:H532"/>
    <mergeCell ref="D545:H545"/>
    <mergeCell ref="E561:H562"/>
    <mergeCell ref="D575:H575"/>
    <mergeCell ref="F602:H604"/>
    <mergeCell ref="F632:H634"/>
    <mergeCell ref="D395:H395"/>
    <mergeCell ref="E381:H382"/>
    <mergeCell ref="E411:H412"/>
    <mergeCell ref="D425:H425"/>
    <mergeCell ref="E441:H442"/>
    <mergeCell ref="F392:H394"/>
    <mergeCell ref="F422:H424"/>
    <mergeCell ref="E321:H322"/>
    <mergeCell ref="D335:H335"/>
    <mergeCell ref="E351:H352"/>
    <mergeCell ref="D365:H365"/>
    <mergeCell ref="D155:H155"/>
    <mergeCell ref="D305:H305"/>
    <mergeCell ref="D275:H275"/>
    <mergeCell ref="D245:H245"/>
    <mergeCell ref="E291:H292"/>
    <mergeCell ref="E261:H262"/>
    <mergeCell ref="F272:H274"/>
    <mergeCell ref="F302:H304"/>
    <mergeCell ref="F332:H334"/>
    <mergeCell ref="F362:H364"/>
    <mergeCell ref="E2:F3"/>
    <mergeCell ref="D125:H125"/>
    <mergeCell ref="D95:H95"/>
    <mergeCell ref="B10:C10"/>
    <mergeCell ref="D65:H65"/>
    <mergeCell ref="B33:C33"/>
    <mergeCell ref="B19:H19"/>
    <mergeCell ref="B22:H22"/>
    <mergeCell ref="E51:H52"/>
    <mergeCell ref="E81:H82"/>
    <mergeCell ref="E111:H112"/>
    <mergeCell ref="F28:H29"/>
    <mergeCell ref="B34:C34"/>
    <mergeCell ref="F62:H64"/>
    <mergeCell ref="F92:H94"/>
    <mergeCell ref="F122:H124"/>
    <mergeCell ref="F152:H154"/>
    <mergeCell ref="F182:H184"/>
    <mergeCell ref="F212:H214"/>
    <mergeCell ref="F242:H244"/>
    <mergeCell ref="E141:H142"/>
    <mergeCell ref="E171:H172"/>
    <mergeCell ref="E201:H202"/>
    <mergeCell ref="E231:H232"/>
    <mergeCell ref="D215:H215"/>
    <mergeCell ref="D185:H185"/>
    <mergeCell ref="F452:H454"/>
    <mergeCell ref="F482:H484"/>
    <mergeCell ref="F512:H514"/>
    <mergeCell ref="F542:H544"/>
    <mergeCell ref="F572:H574"/>
    <mergeCell ref="D455:H455"/>
    <mergeCell ref="E471:H472"/>
    <mergeCell ref="D485:H485"/>
    <mergeCell ref="E501:H502"/>
    <mergeCell ref="D515:H515"/>
  </mergeCells>
  <conditionalFormatting sqref="F45">
    <cfRule type="expression" dxfId="99" priority="303">
      <formula>E45="Liegen die Nutzungsrechte vor? (nur bei über Krane&amp;Raabe produzierte Spots)"</formula>
    </cfRule>
  </conditionalFormatting>
  <conditionalFormatting sqref="F46">
    <cfRule type="expression" dxfId="98" priority="395">
      <formula>D46="ja"</formula>
    </cfRule>
  </conditionalFormatting>
  <conditionalFormatting sqref="F47">
    <cfRule type="expression" dxfId="97" priority="22">
      <formula>E47="Gib hier ggf. den Boosterbetrag ein."</formula>
    </cfRule>
  </conditionalFormatting>
  <conditionalFormatting sqref="F75">
    <cfRule type="expression" dxfId="96" priority="140">
      <formula>E75="Liegen die Nutzungsrechte vor? (nur bei über Krane&amp;Raabe produzierte Spots)"</formula>
    </cfRule>
  </conditionalFormatting>
  <conditionalFormatting sqref="F76">
    <cfRule type="expression" dxfId="95" priority="141">
      <formula>D76="ja"</formula>
    </cfRule>
  </conditionalFormatting>
  <conditionalFormatting sqref="F77">
    <cfRule type="expression" dxfId="94" priority="20">
      <formula>E77="Gib hier ggf. den Boosterbetrag ein."</formula>
    </cfRule>
  </conditionalFormatting>
  <conditionalFormatting sqref="F105">
    <cfRule type="expression" dxfId="93" priority="137">
      <formula>E105="Liegen die Nutzungsrechte vor? (nur bei über Krane&amp;Raabe produzierte Spots)"</formula>
    </cfRule>
  </conditionalFormatting>
  <conditionalFormatting sqref="F106">
    <cfRule type="expression" dxfId="92" priority="138">
      <formula>D106="ja"</formula>
    </cfRule>
  </conditionalFormatting>
  <conditionalFormatting sqref="F107">
    <cfRule type="expression" dxfId="91" priority="18">
      <formula>E107="Gib hier ggf. den Boosterbetrag ein."</formula>
    </cfRule>
  </conditionalFormatting>
  <conditionalFormatting sqref="F135">
    <cfRule type="expression" dxfId="90" priority="134">
      <formula>E135="Liegen die Nutzungsrechte vor? (nur bei über Krane&amp;Raabe produzierte Spots)"</formula>
    </cfRule>
  </conditionalFormatting>
  <conditionalFormatting sqref="F136">
    <cfRule type="expression" dxfId="89" priority="135">
      <formula>D136="ja"</formula>
    </cfRule>
  </conditionalFormatting>
  <conditionalFormatting sqref="F137">
    <cfRule type="expression" dxfId="88" priority="17">
      <formula>E137="Gib hier ggf. den Boosterbetrag ein."</formula>
    </cfRule>
  </conditionalFormatting>
  <conditionalFormatting sqref="F165">
    <cfRule type="expression" dxfId="87" priority="131">
      <formula>E165="Liegen die Nutzungsrechte vor? (nur bei über Krane&amp;Raabe produzierte Spots)"</formula>
    </cfRule>
  </conditionalFormatting>
  <conditionalFormatting sqref="F166">
    <cfRule type="expression" dxfId="86" priority="132">
      <formula>D166="ja"</formula>
    </cfRule>
  </conditionalFormatting>
  <conditionalFormatting sqref="F167">
    <cfRule type="expression" dxfId="85" priority="16">
      <formula>E167="Gib hier ggf. den Boosterbetrag ein."</formula>
    </cfRule>
  </conditionalFormatting>
  <conditionalFormatting sqref="F195">
    <cfRule type="expression" dxfId="84" priority="128">
      <formula>E195="Liegen die Nutzungsrechte vor? (nur bei über Krane&amp;Raabe produzierte Spots)"</formula>
    </cfRule>
  </conditionalFormatting>
  <conditionalFormatting sqref="F196">
    <cfRule type="expression" dxfId="83" priority="129">
      <formula>D196="ja"</formula>
    </cfRule>
  </conditionalFormatting>
  <conditionalFormatting sqref="F197">
    <cfRule type="expression" dxfId="82" priority="15">
      <formula>E197="Gib hier ggf. den Boosterbetrag ein."</formula>
    </cfRule>
  </conditionalFormatting>
  <conditionalFormatting sqref="F225">
    <cfRule type="expression" dxfId="81" priority="125">
      <formula>E225="Liegen die Nutzungsrechte vor? (nur bei über Krane&amp;Raabe produzierte Spots)"</formula>
    </cfRule>
  </conditionalFormatting>
  <conditionalFormatting sqref="F226">
    <cfRule type="expression" dxfId="80" priority="126">
      <formula>D226="ja"</formula>
    </cfRule>
  </conditionalFormatting>
  <conditionalFormatting sqref="F227">
    <cfRule type="expression" dxfId="79" priority="14">
      <formula>E227="Gib hier ggf. den Boosterbetrag ein."</formula>
    </cfRule>
  </conditionalFormatting>
  <conditionalFormatting sqref="F255">
    <cfRule type="expression" dxfId="78" priority="122">
      <formula>E255="Liegen die Nutzungsrechte vor? (nur bei über Krane&amp;Raabe produzierte Spots)"</formula>
    </cfRule>
  </conditionalFormatting>
  <conditionalFormatting sqref="F256">
    <cfRule type="expression" dxfId="77" priority="123">
      <formula>D256="ja"</formula>
    </cfRule>
  </conditionalFormatting>
  <conditionalFormatting sqref="F257">
    <cfRule type="expression" dxfId="76" priority="13">
      <formula>E257="Gib hier ggf. den Boosterbetrag ein."</formula>
    </cfRule>
  </conditionalFormatting>
  <conditionalFormatting sqref="F285">
    <cfRule type="expression" dxfId="75" priority="119">
      <formula>E285="Liegen die Nutzungsrechte vor? (nur bei über Krane&amp;Raabe produzierte Spots)"</formula>
    </cfRule>
  </conditionalFormatting>
  <conditionalFormatting sqref="F286">
    <cfRule type="expression" dxfId="74" priority="120">
      <formula>D286="ja"</formula>
    </cfRule>
  </conditionalFormatting>
  <conditionalFormatting sqref="F287">
    <cfRule type="expression" dxfId="73" priority="12">
      <formula>E287="Gib hier ggf. den Boosterbetrag ein."</formula>
    </cfRule>
  </conditionalFormatting>
  <conditionalFormatting sqref="F315">
    <cfRule type="expression" dxfId="72" priority="116">
      <formula>E315="Liegen die Nutzungsrechte vor? (nur bei über Krane&amp;Raabe produzierte Spots)"</formula>
    </cfRule>
  </conditionalFormatting>
  <conditionalFormatting sqref="F316">
    <cfRule type="expression" dxfId="71" priority="117">
      <formula>D316="ja"</formula>
    </cfRule>
  </conditionalFormatting>
  <conditionalFormatting sqref="F317">
    <cfRule type="expression" dxfId="70" priority="11">
      <formula>E317="Gib hier ggf. den Boosterbetrag ein."</formula>
    </cfRule>
  </conditionalFormatting>
  <conditionalFormatting sqref="F345">
    <cfRule type="expression" dxfId="69" priority="113">
      <formula>E345="Liegen die Nutzungsrechte vor? (nur bei über Krane&amp;Raabe produzierte Spots)"</formula>
    </cfRule>
  </conditionalFormatting>
  <conditionalFormatting sqref="F346">
    <cfRule type="expression" dxfId="68" priority="114">
      <formula>D346="ja"</formula>
    </cfRule>
  </conditionalFormatting>
  <conditionalFormatting sqref="F347">
    <cfRule type="expression" dxfId="67" priority="10">
      <formula>E347="Gib hier ggf. den Boosterbetrag ein."</formula>
    </cfRule>
  </conditionalFormatting>
  <conditionalFormatting sqref="F375">
    <cfRule type="expression" dxfId="66" priority="110">
      <formula>E375="Liegen die Nutzungsrechte vor? (nur bei über Krane&amp;Raabe produzierte Spots)"</formula>
    </cfRule>
  </conditionalFormatting>
  <conditionalFormatting sqref="F376">
    <cfRule type="expression" dxfId="65" priority="111">
      <formula>D376="ja"</formula>
    </cfRule>
  </conditionalFormatting>
  <conditionalFormatting sqref="F377">
    <cfRule type="expression" dxfId="64" priority="9">
      <formula>E377="Gib hier ggf. den Boosterbetrag ein."</formula>
    </cfRule>
  </conditionalFormatting>
  <conditionalFormatting sqref="F405">
    <cfRule type="expression" dxfId="63" priority="107">
      <formula>E405="Liegen die Nutzungsrechte vor? (nur bei über Krane&amp;Raabe produzierte Spots)"</formula>
    </cfRule>
  </conditionalFormatting>
  <conditionalFormatting sqref="F406">
    <cfRule type="expression" dxfId="62" priority="108">
      <formula>D406="ja"</formula>
    </cfRule>
  </conditionalFormatting>
  <conditionalFormatting sqref="F407">
    <cfRule type="expression" dxfId="61" priority="8">
      <formula>E407="Gib hier ggf. den Boosterbetrag ein."</formula>
    </cfRule>
  </conditionalFormatting>
  <conditionalFormatting sqref="F435">
    <cfRule type="expression" dxfId="60" priority="104">
      <formula>E435="Liegen die Nutzungsrechte vor? (nur bei über Krane&amp;Raabe produzierte Spots)"</formula>
    </cfRule>
  </conditionalFormatting>
  <conditionalFormatting sqref="F436">
    <cfRule type="expression" dxfId="59" priority="105">
      <formula>D436="ja"</formula>
    </cfRule>
  </conditionalFormatting>
  <conditionalFormatting sqref="F437">
    <cfRule type="expression" dxfId="58" priority="7">
      <formula>E437="Gib hier ggf. den Boosterbetrag ein."</formula>
    </cfRule>
  </conditionalFormatting>
  <conditionalFormatting sqref="F465">
    <cfRule type="expression" dxfId="57" priority="101">
      <formula>E465="Liegen die Nutzungsrechte vor? (nur bei über Krane&amp;Raabe produzierte Spots)"</formula>
    </cfRule>
  </conditionalFormatting>
  <conditionalFormatting sqref="F466">
    <cfRule type="expression" dxfId="56" priority="102">
      <formula>D466="ja"</formula>
    </cfRule>
  </conditionalFormatting>
  <conditionalFormatting sqref="F467">
    <cfRule type="expression" dxfId="55" priority="6">
      <formula>E467="Gib hier ggf. den Boosterbetrag ein."</formula>
    </cfRule>
  </conditionalFormatting>
  <conditionalFormatting sqref="F495">
    <cfRule type="expression" dxfId="54" priority="98">
      <formula>E495="Liegen die Nutzungsrechte vor? (nur bei über Krane&amp;Raabe produzierte Spots)"</formula>
    </cfRule>
  </conditionalFormatting>
  <conditionalFormatting sqref="F496">
    <cfRule type="expression" dxfId="53" priority="99">
      <formula>D496="ja"</formula>
    </cfRule>
  </conditionalFormatting>
  <conditionalFormatting sqref="F497">
    <cfRule type="expression" dxfId="52" priority="5">
      <formula>E497="Gib hier ggf. den Boosterbetrag ein."</formula>
    </cfRule>
  </conditionalFormatting>
  <conditionalFormatting sqref="F525">
    <cfRule type="expression" dxfId="51" priority="95">
      <formula>E525="Liegen die Nutzungsrechte vor? (nur bei über Krane&amp;Raabe produzierte Spots)"</formula>
    </cfRule>
  </conditionalFormatting>
  <conditionalFormatting sqref="F526">
    <cfRule type="expression" dxfId="50" priority="96">
      <formula>D526="ja"</formula>
    </cfRule>
  </conditionalFormatting>
  <conditionalFormatting sqref="F527">
    <cfRule type="expression" dxfId="49" priority="4">
      <formula>E527="Gib hier ggf. den Boosterbetrag ein."</formula>
    </cfRule>
  </conditionalFormatting>
  <conditionalFormatting sqref="F555">
    <cfRule type="expression" dxfId="48" priority="92">
      <formula>E555="Liegen die Nutzungsrechte vor? (nur bei über Krane&amp;Raabe produzierte Spots)"</formula>
    </cfRule>
  </conditionalFormatting>
  <conditionalFormatting sqref="F556">
    <cfRule type="expression" dxfId="47" priority="93">
      <formula>D556="ja"</formula>
    </cfRule>
  </conditionalFormatting>
  <conditionalFormatting sqref="F557">
    <cfRule type="expression" dxfId="46" priority="3">
      <formula>E557="Gib hier ggf. den Boosterbetrag ein."</formula>
    </cfRule>
  </conditionalFormatting>
  <conditionalFormatting sqref="F585">
    <cfRule type="expression" dxfId="45" priority="89">
      <formula>E585="Liegen die Nutzungsrechte vor? (nur bei über Krane&amp;Raabe produzierte Spots)"</formula>
    </cfRule>
  </conditionalFormatting>
  <conditionalFormatting sqref="F586">
    <cfRule type="expression" dxfId="44" priority="90">
      <formula>D586="ja"</formula>
    </cfRule>
  </conditionalFormatting>
  <conditionalFormatting sqref="F587">
    <cfRule type="expression" dxfId="43" priority="2">
      <formula>E587="Gib hier ggf. den Boosterbetrag ein."</formula>
    </cfRule>
  </conditionalFormatting>
  <conditionalFormatting sqref="F615">
    <cfRule type="expression" dxfId="42" priority="86">
      <formula>E615="Liegen die Nutzungsrechte vor? (nur bei über Krane&amp;Raabe produzierte Spots)"</formula>
    </cfRule>
  </conditionalFormatting>
  <conditionalFormatting sqref="F616">
    <cfRule type="expression" dxfId="41" priority="87">
      <formula>D616="ja"</formula>
    </cfRule>
  </conditionalFormatting>
  <conditionalFormatting sqref="F617">
    <cfRule type="expression" dxfId="40" priority="1">
      <formula>E617="Gib hier ggf. den Boosterbetrag ein."</formula>
    </cfRule>
  </conditionalFormatting>
  <conditionalFormatting sqref="G61">
    <cfRule type="expression" dxfId="38" priority="282">
      <formula>F61="Möchtest Du nach Abschluss der Kampagne ein Reporting?"</formula>
    </cfRule>
  </conditionalFormatting>
  <conditionalFormatting sqref="G91">
    <cfRule type="expression" dxfId="36" priority="41">
      <formula>F91="Möchtest Du nach Abschluss der Kampagne ein Reporting?"</formula>
    </cfRule>
  </conditionalFormatting>
  <conditionalFormatting sqref="G121">
    <cfRule type="expression" dxfId="34" priority="40">
      <formula>F121="Möchtest Du nach Abschluss der Kampagne ein Reporting?"</formula>
    </cfRule>
  </conditionalFormatting>
  <conditionalFormatting sqref="G151">
    <cfRule type="expression" dxfId="32" priority="39">
      <formula>F151="Möchtest Du nach Abschluss der Kampagne ein Reporting?"</formula>
    </cfRule>
  </conditionalFormatting>
  <conditionalFormatting sqref="G181">
    <cfRule type="expression" dxfId="30" priority="38">
      <formula>F181="Möchtest Du nach Abschluss der Kampagne ein Reporting?"</formula>
    </cfRule>
  </conditionalFormatting>
  <conditionalFormatting sqref="G211">
    <cfRule type="expression" dxfId="28" priority="37">
      <formula>F211="Möchtest Du nach Abschluss der Kampagne ein Reporting?"</formula>
    </cfRule>
  </conditionalFormatting>
  <conditionalFormatting sqref="G241">
    <cfRule type="expression" dxfId="26" priority="36">
      <formula>F241="Möchtest Du nach Abschluss der Kampagne ein Reporting?"</formula>
    </cfRule>
  </conditionalFormatting>
  <conditionalFormatting sqref="G271">
    <cfRule type="expression" dxfId="24" priority="35">
      <formula>F271="Möchtest Du nach Abschluss der Kampagne ein Reporting?"</formula>
    </cfRule>
  </conditionalFormatting>
  <conditionalFormatting sqref="G301">
    <cfRule type="expression" dxfId="22" priority="34">
      <formula>F301="Möchtest Du nach Abschluss der Kampagne ein Reporting?"</formula>
    </cfRule>
  </conditionalFormatting>
  <conditionalFormatting sqref="G331">
    <cfRule type="expression" dxfId="20" priority="33">
      <formula>F331="Möchtest Du nach Abschluss der Kampagne ein Reporting?"</formula>
    </cfRule>
  </conditionalFormatting>
  <conditionalFormatting sqref="G361">
    <cfRule type="expression" dxfId="18" priority="32">
      <formula>F361="Möchtest Du nach Abschluss der Kampagne ein Reporting?"</formula>
    </cfRule>
  </conditionalFormatting>
  <conditionalFormatting sqref="G391">
    <cfRule type="expression" dxfId="16" priority="31">
      <formula>F391="Möchtest Du nach Abschluss der Kampagne ein Reporting?"</formula>
    </cfRule>
  </conditionalFormatting>
  <conditionalFormatting sqref="G421">
    <cfRule type="expression" dxfId="14" priority="30">
      <formula>F421="Möchtest Du nach Abschluss der Kampagne ein Reporting?"</formula>
    </cfRule>
  </conditionalFormatting>
  <conditionalFormatting sqref="G451">
    <cfRule type="expression" dxfId="12" priority="29">
      <formula>F451="Möchtest Du nach Abschluss der Kampagne ein Reporting?"</formula>
    </cfRule>
  </conditionalFormatting>
  <conditionalFormatting sqref="G481">
    <cfRule type="expression" dxfId="10" priority="28">
      <formula>F481="Möchtest Du nach Abschluss der Kampagne ein Reporting?"</formula>
    </cfRule>
  </conditionalFormatting>
  <conditionalFormatting sqref="G511">
    <cfRule type="expression" dxfId="8" priority="27">
      <formula>F511="Möchtest Du nach Abschluss der Kampagne ein Reporting?"</formula>
    </cfRule>
  </conditionalFormatting>
  <conditionalFormatting sqref="G541">
    <cfRule type="expression" dxfId="6" priority="26">
      <formula>F541="Möchtest Du nach Abschluss der Kampagne ein Reporting?"</formula>
    </cfRule>
  </conditionalFormatting>
  <conditionalFormatting sqref="G571">
    <cfRule type="expression" dxfId="4" priority="25">
      <formula>F571="Möchtest Du nach Abschluss der Kampagne ein Reporting?"</formula>
    </cfRule>
  </conditionalFormatting>
  <conditionalFormatting sqref="G601">
    <cfRule type="expression" dxfId="2" priority="24">
      <formula>F601="Möchtest Du nach Abschluss der Kampagne ein Reporting?"</formula>
    </cfRule>
  </conditionalFormatting>
  <conditionalFormatting sqref="G631">
    <cfRule type="expression" dxfId="0" priority="23">
      <formula>F631="Möchtest Du nach Abschluss der Kampagne ein Reporting?"</formula>
    </cfRule>
  </conditionalFormatting>
  <dataValidations count="7">
    <dataValidation type="list" allowBlank="1" showInputMessage="1" showErrorMessage="1" sqref="D465 D75 D585 D555 D525 D105 D45 D495 D135 D165 D195 D225 D255 D285 D315 D345 D375 D405 D435 D615" xr:uid="{00000000-0002-0000-0000-000000000000}">
      <formula1>INDIRECT(E44)</formula1>
    </dataValidation>
    <dataValidation type="whole" allowBlank="1" showInputMessage="1" showErrorMessage="1" error="Es dürfen nur Ganze Zahlen angegeben werden. " sqref="F5:F6" xr:uid="{00000000-0002-0000-0000-000001000000}">
      <formula1>0</formula1>
      <formula2>100000000</formula2>
    </dataValidation>
    <dataValidation type="list" allowBlank="1" showInputMessage="1" showErrorMessage="1" sqref="D16" xr:uid="{00000000-0002-0000-0000-000002000000}">
      <formula1>"nach Tarif, Andreas Rohde, Verena Heuer, Patrick Bernstein"</formula1>
    </dataValidation>
    <dataValidation type="list" allowBlank="1" showInputMessage="1" showErrorMessage="1" sqref="H68:H70 H98:H100 H128:H130 H158:H160 H188:H190 H218:H220 H248:H250 H278:H280 H308:H310 H338:H340 H368:H370 H398:H400 H428:H430 H458:H460 H488:H490 H518:H520 H548:H550 H578:H580 H608:H610 H638:H640" xr:uid="{00000000-0002-0000-0000-000003000000}">
      <formula1>dropdown_abrechnung</formula1>
    </dataValidation>
    <dataValidation type="list" allowBlank="1" showInputMessage="1" showErrorMessage="1" sqref="D54 G54 D84 G84 D114 G114 D144 G144 D174 G174 D204 G204 D234 G234 D264 G264 D294 G294 D324 G324 D354 G354 D384 G384 D414 G414 D444 G444 D474 G474 D504 G504 D534 G534 D564 G564 D594 G594 D624 G624" xr:uid="{00000000-0002-0000-0000-000004000000}">
      <formula1>targeting</formula1>
    </dataValidation>
    <dataValidation type="list" allowBlank="1" showInputMessage="1" showErrorMessage="1" sqref="F54 G116 G146 E56 G56 F84 E86 G86 F114 E116 F144 E146 F174 E176 G176 F204 E206 G206 F234 E236 G236 F264 E266 G266 F294 E296 G296 F324 E326 G326 F354 E356 G356 F384 E386 G386 F414 E416 G416 F444 E446 G446 F474 E476 G476 F504 E506 G506 F534 E536 G536 F564 E566 G566 F594 E596 G596 F624 E626 G626" xr:uid="{00000000-0002-0000-0000-000005000000}">
      <formula1>undoder</formula1>
    </dataValidation>
    <dataValidation type="list" allowBlank="1" showInputMessage="1" showErrorMessage="1" sqref="D116 H116 F56 D56 H56 F86 D86 H86 F116 F146 D146 H146 F176 D176 H176 F206 D206 H206 F236 D236 H236 F266 D266 H266 F296 D296 H296 F326 D326 H326 F356 D356 H356 F386 D386 H386 F416 D416 H416 F446 D446 H446 F476 D476 H476 F506 D506 H506 F536 D536 H536 F566 D566 H566 F596 D596 H596 F626 D626 H626" xr:uid="{00000000-0002-0000-0000-000006000000}">
      <formula1>targeting_spec</formula1>
    </dataValidation>
  </dataValidations>
  <pageMargins left="0.11811023622047245" right="0.11811023622047245" top="0.39370078740157483" bottom="0.39370078740157483" header="0.31496062992125984" footer="0.31496062992125984"/>
  <pageSetup paperSize="9" scale="65" fitToHeight="0" orientation="portrait" r:id="rId1"/>
  <headerFooter>
    <oddFooter>&amp;L&amp;F
Version: 1.22 Farin&amp;CGedruckt am &amp;D um &amp;T&amp;R&amp;P von &amp;N</oddFooter>
  </headerFooter>
  <rowBreaks count="20" manualBreakCount="20">
    <brk id="39" min="1" max="7" man="1"/>
    <brk id="71" min="1" max="7" man="1"/>
    <brk id="101" min="1" max="7" man="1"/>
    <brk id="131" min="1" max="7" man="1"/>
    <brk id="161" min="1" max="7" man="1"/>
    <brk id="191" min="1" max="7" man="1"/>
    <brk id="221" min="1" max="7" man="1"/>
    <brk id="251" min="1" max="7" man="1"/>
    <brk id="281" min="1" max="7" man="1"/>
    <brk id="311" min="1" max="7" man="1"/>
    <brk id="341" min="1" max="7" man="1"/>
    <brk id="371" min="1" max="7" man="1"/>
    <brk id="401" min="1" max="7" man="1"/>
    <brk id="431" min="1" max="7" man="1"/>
    <brk id="461" min="1" max="7" man="1"/>
    <brk id="491" min="1" max="7" man="1"/>
    <brk id="521" min="1" max="7" man="1"/>
    <brk id="551" min="1" max="7" man="1"/>
    <brk id="581" min="1" max="7" man="1"/>
    <brk id="611" min="1" max="7" man="1"/>
  </rowBreaks>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84" id="{FCCA7ADE-9CFD-4293-BEC0-AA103EB44165}">
            <xm:f>OR(AA!$A$21=D44, AA!$A$22=D44, AA!$A$23=D44, AA!$A$24=D44)</xm:f>
            <x14:dxf>
              <font>
                <color theme="1"/>
              </font>
              <fill>
                <patternFill>
                  <bgColor rgb="FFFFB3B3"/>
                </patternFill>
              </fill>
              <border>
                <left style="thin">
                  <color auto="1"/>
                </left>
                <right style="thin">
                  <color auto="1"/>
                </right>
                <top style="thin">
                  <color auto="1"/>
                </top>
                <bottom style="thin">
                  <color auto="1"/>
                </bottom>
              </border>
            </x14:dxf>
          </x14:cfRule>
          <xm:sqref>G44</xm:sqref>
        </x14:conditionalFormatting>
        <x14:conditionalFormatting xmlns:xm="http://schemas.microsoft.com/office/excel/2006/main">
          <x14:cfRule type="expression" priority="81" id="{0018048C-5042-4FC1-B010-9C4C72E3D179}">
            <xm:f>OR(AA!$A$21=D74, AA!$A$22=D74, AA!$A$23=D74, AA!$A$24=D74)</xm:f>
            <x14:dxf>
              <font>
                <color theme="1"/>
              </font>
              <fill>
                <patternFill>
                  <bgColor rgb="FFFFB3B3"/>
                </patternFill>
              </fill>
              <border>
                <left style="thin">
                  <color auto="1"/>
                </left>
                <right style="thin">
                  <color auto="1"/>
                </right>
                <top style="thin">
                  <color auto="1"/>
                </top>
                <bottom style="thin">
                  <color auto="1"/>
                </bottom>
              </border>
            </x14:dxf>
          </x14:cfRule>
          <xm:sqref>G74</xm:sqref>
        </x14:conditionalFormatting>
        <x14:conditionalFormatting xmlns:xm="http://schemas.microsoft.com/office/excel/2006/main">
          <x14:cfRule type="expression" priority="80" id="{8986628F-E222-46DA-A318-B6CF8C7327A3}">
            <xm:f>OR(AA!$A$21=D104, AA!$A$22=D104, AA!$A$23=D104, AA!$A$24=D104)</xm:f>
            <x14:dxf>
              <font>
                <color theme="1"/>
              </font>
              <fill>
                <patternFill>
                  <bgColor rgb="FFFFB3B3"/>
                </patternFill>
              </fill>
              <border>
                <left style="thin">
                  <color auto="1"/>
                </left>
                <right style="thin">
                  <color auto="1"/>
                </right>
                <top style="thin">
                  <color auto="1"/>
                </top>
                <bottom style="thin">
                  <color auto="1"/>
                </bottom>
              </border>
            </x14:dxf>
          </x14:cfRule>
          <xm:sqref>G104</xm:sqref>
        </x14:conditionalFormatting>
        <x14:conditionalFormatting xmlns:xm="http://schemas.microsoft.com/office/excel/2006/main">
          <x14:cfRule type="expression" priority="79" id="{A95F3C31-657B-4A04-8300-D9B310264D4A}">
            <xm:f>OR(AA!$A$21=D134, AA!$A$22=D134, AA!$A$23=D134, AA!$A$24=D134)</xm:f>
            <x14:dxf>
              <font>
                <color theme="1"/>
              </font>
              <fill>
                <patternFill>
                  <bgColor rgb="FFFFB3B3"/>
                </patternFill>
              </fill>
              <border>
                <left style="thin">
                  <color auto="1"/>
                </left>
                <right style="thin">
                  <color auto="1"/>
                </right>
                <top style="thin">
                  <color auto="1"/>
                </top>
                <bottom style="thin">
                  <color auto="1"/>
                </bottom>
              </border>
            </x14:dxf>
          </x14:cfRule>
          <xm:sqref>G134</xm:sqref>
        </x14:conditionalFormatting>
        <x14:conditionalFormatting xmlns:xm="http://schemas.microsoft.com/office/excel/2006/main">
          <x14:cfRule type="expression" priority="78" id="{A317430C-696D-4785-9F26-ED0A1604FB61}">
            <xm:f>OR(AA!$A$21=D164, AA!$A$22=D164, AA!$A$23=D164, AA!$A$24=D164)</xm:f>
            <x14:dxf>
              <font>
                <color theme="1"/>
              </font>
              <fill>
                <patternFill>
                  <bgColor rgb="FFFFB3B3"/>
                </patternFill>
              </fill>
              <border>
                <left style="thin">
                  <color auto="1"/>
                </left>
                <right style="thin">
                  <color auto="1"/>
                </right>
                <top style="thin">
                  <color auto="1"/>
                </top>
                <bottom style="thin">
                  <color auto="1"/>
                </bottom>
              </border>
            </x14:dxf>
          </x14:cfRule>
          <xm:sqref>G164</xm:sqref>
        </x14:conditionalFormatting>
        <x14:conditionalFormatting xmlns:xm="http://schemas.microsoft.com/office/excel/2006/main">
          <x14:cfRule type="expression" priority="77" id="{755ACE65-8A67-4E51-8366-50C0BF198CFD}">
            <xm:f>OR(AA!$A$21=D194, AA!$A$22=D194, AA!$A$23=D194, AA!$A$24=D194)</xm:f>
            <x14:dxf>
              <font>
                <color theme="1"/>
              </font>
              <fill>
                <patternFill>
                  <bgColor rgb="FFFFB3B3"/>
                </patternFill>
              </fill>
              <border>
                <left style="thin">
                  <color auto="1"/>
                </left>
                <right style="thin">
                  <color auto="1"/>
                </right>
                <top style="thin">
                  <color auto="1"/>
                </top>
                <bottom style="thin">
                  <color auto="1"/>
                </bottom>
              </border>
            </x14:dxf>
          </x14:cfRule>
          <xm:sqref>G194</xm:sqref>
        </x14:conditionalFormatting>
        <x14:conditionalFormatting xmlns:xm="http://schemas.microsoft.com/office/excel/2006/main">
          <x14:cfRule type="expression" priority="76" id="{043F5FAF-5006-4725-8DA6-6160EA07246E}">
            <xm:f>OR(AA!$A$21=D224, AA!$A$22=D224, AA!$A$23=D224, AA!$A$24=D224)</xm:f>
            <x14:dxf>
              <font>
                <color theme="1"/>
              </font>
              <fill>
                <patternFill>
                  <bgColor rgb="FFFFB3B3"/>
                </patternFill>
              </fill>
              <border>
                <left style="thin">
                  <color auto="1"/>
                </left>
                <right style="thin">
                  <color auto="1"/>
                </right>
                <top style="thin">
                  <color auto="1"/>
                </top>
                <bottom style="thin">
                  <color auto="1"/>
                </bottom>
              </border>
            </x14:dxf>
          </x14:cfRule>
          <xm:sqref>G224</xm:sqref>
        </x14:conditionalFormatting>
        <x14:conditionalFormatting xmlns:xm="http://schemas.microsoft.com/office/excel/2006/main">
          <x14:cfRule type="expression" priority="75" id="{166E5CA8-2E1E-4D60-BB53-283520590E3F}">
            <xm:f>OR(AA!$A$21=D254, AA!$A$22=D254, AA!$A$23=D254, AA!$A$24=D254)</xm:f>
            <x14:dxf>
              <font>
                <color theme="1"/>
              </font>
              <fill>
                <patternFill>
                  <bgColor rgb="FFFFB3B3"/>
                </patternFill>
              </fill>
              <border>
                <left style="thin">
                  <color auto="1"/>
                </left>
                <right style="thin">
                  <color auto="1"/>
                </right>
                <top style="thin">
                  <color auto="1"/>
                </top>
                <bottom style="thin">
                  <color auto="1"/>
                </bottom>
              </border>
            </x14:dxf>
          </x14:cfRule>
          <xm:sqref>G254</xm:sqref>
        </x14:conditionalFormatting>
        <x14:conditionalFormatting xmlns:xm="http://schemas.microsoft.com/office/excel/2006/main">
          <x14:cfRule type="expression" priority="74" id="{1D049121-A879-4407-9EAC-503FE599B73C}">
            <xm:f>OR(AA!$A$21=D284, AA!$A$22=D284, AA!$A$23=D284, AA!$A$24=D284)</xm:f>
            <x14:dxf>
              <font>
                <color theme="1"/>
              </font>
              <fill>
                <patternFill>
                  <bgColor rgb="FFFFB3B3"/>
                </patternFill>
              </fill>
              <border>
                <left style="thin">
                  <color auto="1"/>
                </left>
                <right style="thin">
                  <color auto="1"/>
                </right>
                <top style="thin">
                  <color auto="1"/>
                </top>
                <bottom style="thin">
                  <color auto="1"/>
                </bottom>
              </border>
            </x14:dxf>
          </x14:cfRule>
          <xm:sqref>G284</xm:sqref>
        </x14:conditionalFormatting>
        <x14:conditionalFormatting xmlns:xm="http://schemas.microsoft.com/office/excel/2006/main">
          <x14:cfRule type="expression" priority="73" id="{144117A0-8B6A-4750-B80F-8F3175B8684B}">
            <xm:f>OR(AA!$A$21=D314, AA!$A$22=D314, AA!$A$23=D314, AA!$A$24=D314)</xm:f>
            <x14:dxf>
              <font>
                <color theme="1"/>
              </font>
              <fill>
                <patternFill>
                  <bgColor rgb="FFFFB3B3"/>
                </patternFill>
              </fill>
              <border>
                <left style="thin">
                  <color auto="1"/>
                </left>
                <right style="thin">
                  <color auto="1"/>
                </right>
                <top style="thin">
                  <color auto="1"/>
                </top>
                <bottom style="thin">
                  <color auto="1"/>
                </bottom>
              </border>
            </x14:dxf>
          </x14:cfRule>
          <xm:sqref>G314</xm:sqref>
        </x14:conditionalFormatting>
        <x14:conditionalFormatting xmlns:xm="http://schemas.microsoft.com/office/excel/2006/main">
          <x14:cfRule type="expression" priority="72" id="{67C06648-042F-472E-8C6D-EDC8268988AC}">
            <xm:f>OR(AA!$A$21=D344, AA!$A$22=D344, AA!$A$23=D344, AA!$A$24=D344)</xm:f>
            <x14:dxf>
              <font>
                <color theme="1"/>
              </font>
              <fill>
                <patternFill>
                  <bgColor rgb="FFFFB3B3"/>
                </patternFill>
              </fill>
              <border>
                <left style="thin">
                  <color auto="1"/>
                </left>
                <right style="thin">
                  <color auto="1"/>
                </right>
                <top style="thin">
                  <color auto="1"/>
                </top>
                <bottom style="thin">
                  <color auto="1"/>
                </bottom>
              </border>
            </x14:dxf>
          </x14:cfRule>
          <xm:sqref>G344</xm:sqref>
        </x14:conditionalFormatting>
        <x14:conditionalFormatting xmlns:xm="http://schemas.microsoft.com/office/excel/2006/main">
          <x14:cfRule type="expression" priority="71" id="{9D1DB0AB-8B6E-4ADC-A6B3-9195AFE87999}">
            <xm:f>OR(AA!$A$21=D374, AA!$A$22=D374, AA!$A$23=D374, AA!$A$24=D374)</xm:f>
            <x14:dxf>
              <font>
                <color theme="1"/>
              </font>
              <fill>
                <patternFill>
                  <bgColor rgb="FFFFB3B3"/>
                </patternFill>
              </fill>
              <border>
                <left style="thin">
                  <color auto="1"/>
                </left>
                <right style="thin">
                  <color auto="1"/>
                </right>
                <top style="thin">
                  <color auto="1"/>
                </top>
                <bottom style="thin">
                  <color auto="1"/>
                </bottom>
              </border>
            </x14:dxf>
          </x14:cfRule>
          <xm:sqref>G374</xm:sqref>
        </x14:conditionalFormatting>
        <x14:conditionalFormatting xmlns:xm="http://schemas.microsoft.com/office/excel/2006/main">
          <x14:cfRule type="expression" priority="70" id="{2711EDFA-377B-4653-98A3-482A6AB6E555}">
            <xm:f>OR(AA!$A$21=D404, AA!$A$22=D404, AA!$A$23=D404, AA!$A$24=D404)</xm:f>
            <x14:dxf>
              <font>
                <color theme="1"/>
              </font>
              <fill>
                <patternFill>
                  <bgColor rgb="FFFFB3B3"/>
                </patternFill>
              </fill>
              <border>
                <left style="thin">
                  <color auto="1"/>
                </left>
                <right style="thin">
                  <color auto="1"/>
                </right>
                <top style="thin">
                  <color auto="1"/>
                </top>
                <bottom style="thin">
                  <color auto="1"/>
                </bottom>
              </border>
            </x14:dxf>
          </x14:cfRule>
          <xm:sqref>G404</xm:sqref>
        </x14:conditionalFormatting>
        <x14:conditionalFormatting xmlns:xm="http://schemas.microsoft.com/office/excel/2006/main">
          <x14:cfRule type="expression" priority="69" id="{F05C94DD-535F-482B-8AC0-33945A82F72C}">
            <xm:f>OR(AA!$A$21=D434, AA!$A$22=D434, AA!$A$23=D434, AA!$A$24=D434)</xm:f>
            <x14:dxf>
              <font>
                <color theme="1"/>
              </font>
              <fill>
                <patternFill>
                  <bgColor rgb="FFFFB3B3"/>
                </patternFill>
              </fill>
              <border>
                <left style="thin">
                  <color auto="1"/>
                </left>
                <right style="thin">
                  <color auto="1"/>
                </right>
                <top style="thin">
                  <color auto="1"/>
                </top>
                <bottom style="thin">
                  <color auto="1"/>
                </bottom>
              </border>
            </x14:dxf>
          </x14:cfRule>
          <xm:sqref>G434</xm:sqref>
        </x14:conditionalFormatting>
        <x14:conditionalFormatting xmlns:xm="http://schemas.microsoft.com/office/excel/2006/main">
          <x14:cfRule type="expression" priority="68" id="{1C65BECC-4171-4960-ACF5-6DAF7159DCBE}">
            <xm:f>OR(AA!$A$21=D464, AA!$A$22=D464, AA!$A$23=D464, AA!$A$24=D464)</xm:f>
            <x14:dxf>
              <font>
                <color theme="1"/>
              </font>
              <fill>
                <patternFill>
                  <bgColor rgb="FFFFB3B3"/>
                </patternFill>
              </fill>
              <border>
                <left style="thin">
                  <color auto="1"/>
                </left>
                <right style="thin">
                  <color auto="1"/>
                </right>
                <top style="thin">
                  <color auto="1"/>
                </top>
                <bottom style="thin">
                  <color auto="1"/>
                </bottom>
              </border>
            </x14:dxf>
          </x14:cfRule>
          <xm:sqref>G464</xm:sqref>
        </x14:conditionalFormatting>
        <x14:conditionalFormatting xmlns:xm="http://schemas.microsoft.com/office/excel/2006/main">
          <x14:cfRule type="expression" priority="67" id="{8CD90E99-FB31-4423-B161-8BFD0943A17E}">
            <xm:f>OR(AA!$A$21=D494, AA!$A$22=D494, AA!$A$23=D494, AA!$A$24=D494)</xm:f>
            <x14:dxf>
              <font>
                <color theme="1"/>
              </font>
              <fill>
                <patternFill>
                  <bgColor rgb="FFFFB3B3"/>
                </patternFill>
              </fill>
              <border>
                <left style="thin">
                  <color auto="1"/>
                </left>
                <right style="thin">
                  <color auto="1"/>
                </right>
                <top style="thin">
                  <color auto="1"/>
                </top>
                <bottom style="thin">
                  <color auto="1"/>
                </bottom>
              </border>
            </x14:dxf>
          </x14:cfRule>
          <xm:sqref>G494</xm:sqref>
        </x14:conditionalFormatting>
        <x14:conditionalFormatting xmlns:xm="http://schemas.microsoft.com/office/excel/2006/main">
          <x14:cfRule type="expression" priority="66" id="{60DE2205-C2F3-42DA-8D37-46BA45B9DB05}">
            <xm:f>OR(AA!$A$21=D524, AA!$A$22=D524, AA!$A$23=D524, AA!$A$24=D524)</xm:f>
            <x14:dxf>
              <font>
                <color theme="1"/>
              </font>
              <fill>
                <patternFill>
                  <bgColor rgb="FFFFB3B3"/>
                </patternFill>
              </fill>
              <border>
                <left style="thin">
                  <color auto="1"/>
                </left>
                <right style="thin">
                  <color auto="1"/>
                </right>
                <top style="thin">
                  <color auto="1"/>
                </top>
                <bottom style="thin">
                  <color auto="1"/>
                </bottom>
              </border>
            </x14:dxf>
          </x14:cfRule>
          <xm:sqref>G524</xm:sqref>
        </x14:conditionalFormatting>
        <x14:conditionalFormatting xmlns:xm="http://schemas.microsoft.com/office/excel/2006/main">
          <x14:cfRule type="expression" priority="65" id="{DD43AB25-C527-4062-A111-081BFE96DB77}">
            <xm:f>OR(AA!$A$21=D554, AA!$A$22=D554, AA!$A$23=D554, AA!$A$24=D554)</xm:f>
            <x14:dxf>
              <font>
                <color theme="1"/>
              </font>
              <fill>
                <patternFill>
                  <bgColor rgb="FFFFB3B3"/>
                </patternFill>
              </fill>
              <border>
                <left style="thin">
                  <color auto="1"/>
                </left>
                <right style="thin">
                  <color auto="1"/>
                </right>
                <top style="thin">
                  <color auto="1"/>
                </top>
                <bottom style="thin">
                  <color auto="1"/>
                </bottom>
              </border>
            </x14:dxf>
          </x14:cfRule>
          <xm:sqref>G554</xm:sqref>
        </x14:conditionalFormatting>
        <x14:conditionalFormatting xmlns:xm="http://schemas.microsoft.com/office/excel/2006/main">
          <x14:cfRule type="expression" priority="64" id="{8EB76855-E800-4693-86CB-4F3CBDBDDE8E}">
            <xm:f>OR(AA!$A$21=D584, AA!$A$22=D584, AA!$A$23=D584, AA!$A$24=D584)</xm:f>
            <x14:dxf>
              <font>
                <color theme="1"/>
              </font>
              <fill>
                <patternFill>
                  <bgColor rgb="FFFFB3B3"/>
                </patternFill>
              </fill>
              <border>
                <left style="thin">
                  <color auto="1"/>
                </left>
                <right style="thin">
                  <color auto="1"/>
                </right>
                <top style="thin">
                  <color auto="1"/>
                </top>
                <bottom style="thin">
                  <color auto="1"/>
                </bottom>
              </border>
            </x14:dxf>
          </x14:cfRule>
          <xm:sqref>G584</xm:sqref>
        </x14:conditionalFormatting>
        <x14:conditionalFormatting xmlns:xm="http://schemas.microsoft.com/office/excel/2006/main">
          <x14:cfRule type="expression" priority="63" id="{52531514-8D3B-4A44-9868-E1D0C0E363B5}">
            <xm:f>OR(AA!$A$21=D614, AA!$A$22=D614, AA!$A$23=D614, AA!$A$24=D614)</xm:f>
            <x14:dxf>
              <font>
                <color theme="1"/>
              </font>
              <fill>
                <patternFill>
                  <bgColor rgb="FFFFB3B3"/>
                </patternFill>
              </fill>
              <border>
                <left style="thin">
                  <color auto="1"/>
                </left>
                <right style="thin">
                  <color auto="1"/>
                </right>
                <top style="thin">
                  <color auto="1"/>
                </top>
                <bottom style="thin">
                  <color auto="1"/>
                </bottom>
              </border>
            </x14:dxf>
          </x14:cfRule>
          <xm:sqref>G614</xm:sqref>
        </x14:conditionalFormatting>
      </x14:conditionalFormattings>
    </ext>
    <ext xmlns:x14="http://schemas.microsoft.com/office/spreadsheetml/2009/9/main" uri="{CCE6A557-97BC-4b89-ADB6-D9C93CAAB3DF}">
      <x14:dataValidations xmlns:xm="http://schemas.microsoft.com/office/excel/2006/main" count="12">
        <x14:dataValidation type="list" allowBlank="1" showInputMessage="1" showErrorMessage="1" xr:uid="{00000000-0002-0000-0000-000007000000}">
          <x14:formula1>
            <xm:f>AA!$A$102:$A$114</xm:f>
          </x14:formula1>
          <xm:sqref>D12</xm:sqref>
        </x14:dataValidation>
        <x14:dataValidation type="list" allowBlank="1" showInputMessage="1" showErrorMessage="1" promptTitle="Ja nein " xr:uid="{00000000-0002-0000-0000-000008000000}">
          <x14:formula1>
            <xm:f>AA!$A$3:$A$5</xm:f>
          </x14:formula1>
          <xm:sqref>D9</xm:sqref>
        </x14:dataValidation>
        <x14:dataValidation type="list" allowBlank="1" showInputMessage="1" showErrorMessage="1" xr:uid="{00000000-0002-0000-0000-000009000000}">
          <x14:formula1>
            <xm:f>AA!$A$8</xm:f>
          </x14:formula1>
          <xm:sqref>E6</xm:sqref>
        </x14:dataValidation>
        <x14:dataValidation type="list" allowBlank="1" showInputMessage="1" showErrorMessage="1" xr:uid="{00000000-0002-0000-0000-00000A000000}">
          <x14:formula1>
            <xm:f>AA!$A$8:$A$8</xm:f>
          </x14:formula1>
          <xm:sqref>E5</xm:sqref>
        </x14:dataValidation>
        <x14:dataValidation type="list" allowBlank="1" showInputMessage="1" showErrorMessage="1" promptTitle="Ja nein " xr:uid="{00000000-0002-0000-0000-00000B000000}">
          <x14:formula1>
            <xm:f>AA!$A$3:$A$4</xm:f>
          </x14:formula1>
          <xm:sqref>F68:F70 F488:F490 F518:F520 F548:F550 F578:F580 F608:F610 F98:F100 F128:F130 F158:F160 F188:F190 F218:F220 F248:F250 F278:F280 F308:F310 F338:F340 F368:F370 F398:F400 F428:F430 F458:F460 F638:F640</xm:sqref>
        </x14:dataValidation>
        <x14:dataValidation type="list" allowBlank="1" showInputMessage="1" showErrorMessage="1" xr:uid="{00000000-0002-0000-0000-00000C000000}">
          <x14:formula1>
            <xm:f>AA!$A$118:$A$123</xm:f>
          </x14:formula1>
          <xm:sqref>F58 F88 F118 F148 F178 F208 F238 F268 F298 F328 F358 F388 F418 F448 F478 F508 F538 F568 F598 F628</xm:sqref>
        </x14:dataValidation>
        <x14:dataValidation type="list" allowBlank="1" showInputMessage="1" showErrorMessage="1" xr:uid="{00000000-0002-0000-0000-00000D000000}">
          <x14:formula1>
            <xm:f>AA!$A$138:$A$140</xm:f>
          </x14:formula1>
          <xm:sqref>D25</xm:sqref>
        </x14:dataValidation>
        <x14:dataValidation type="list" allowBlank="1" showInputMessage="1" showErrorMessage="1" xr:uid="{00000000-0002-0000-0000-00000E000000}">
          <x14:formula1>
            <xm:f>AA!$A$142:$A$143</xm:f>
          </x14:formula1>
          <xm:sqref>D28</xm:sqref>
        </x14:dataValidation>
        <x14:dataValidation type="list" allowBlank="1" showInputMessage="1" showErrorMessage="1" xr:uid="{00000000-0002-0000-0000-00000F000000}">
          <x14:formula1>
            <xm:f>AA!$A$101:$A$115</xm:f>
          </x14:formula1>
          <xm:sqref>D13</xm:sqref>
        </x14:dataValidation>
        <x14:dataValidation type="list" allowBlank="1" showInputMessage="1" showErrorMessage="1" xr:uid="{00000000-0002-0000-0000-000010000000}">
          <x14:formula1>
            <xm:f>AA!$A$3:$A$4</xm:f>
          </x14:formula1>
          <xm:sqref>D46 D76 D106 D496 D466 D556 D586 D136 G631 D526 F555:F556 F585:F586 F75:F76 F105:F106 F135:F136 D166 F165:F166 D196 F195:F196 D226 F225:F226 D256 F255:F256 D286 F285:F286 D316 F315:F316 D346 F345:F346 D376 F375:F376 D406 F405:F406 D436 F435:F436 F465:F466 G421 F495:F496 F525:F526 G451 G61 G481 G511 G541 G571 G601 G91 G121 G151 G181 G211 G241 G271 G301 G331 G361 G391 D616 F615:F616 F45:F46</xm:sqref>
        </x14:dataValidation>
        <x14:dataValidation type="list" allowBlank="1" showInputMessage="1" showErrorMessage="1" xr:uid="{00000000-0002-0000-0000-000011000000}">
          <x14:formula1>
            <xm:f>AA!$A$304:$A$321</xm:f>
          </x14:formula1>
          <xm:sqref>D61 D91 D121 D151 D181 D211 D241 D271 D301 D331 D361 D391 D421 D451 D481 D511 D541 D571 D601 D631</xm:sqref>
        </x14:dataValidation>
        <x14:dataValidation type="list" allowBlank="1" showInputMessage="1" showErrorMessage="1" xr:uid="{00000000-0002-0000-0000-000012000000}">
          <x14:formula1>
            <xm:f>AA!$A$11:$A$24</xm:f>
          </x14:formula1>
          <xm:sqref>D44 D584 D74 D104 D134 D164 D194 D224 D254 D284 D314 D344 D374 D404 D434 D464 D494 D524 D554 D614</xm:sqref>
        </x14:dataValidation>
      </x14:dataValidations>
    </ex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11"/>
  <sheetViews>
    <sheetView topLeftCell="A380" workbookViewId="0">
      <selection activeCell="C412" sqref="C412"/>
    </sheetView>
  </sheetViews>
  <sheetFormatPr baseColWidth="10" defaultRowHeight="15" x14ac:dyDescent="0.2"/>
  <cols>
    <col min="1" max="1" width="34.5" bestFit="1" customWidth="1"/>
    <col min="2" max="2" width="33.6640625" bestFit="1" customWidth="1"/>
    <col min="3" max="3" width="34.5" customWidth="1"/>
    <col min="5" max="5" width="33.6640625" customWidth="1"/>
  </cols>
  <sheetData>
    <row r="1" spans="1:3" x14ac:dyDescent="0.2">
      <c r="A1" t="s">
        <v>532</v>
      </c>
      <c r="B1" t="s">
        <v>531</v>
      </c>
      <c r="C1" t="s">
        <v>530</v>
      </c>
    </row>
    <row r="2" spans="1:3" x14ac:dyDescent="0.2">
      <c r="A2" t="s">
        <v>19</v>
      </c>
      <c r="B2" t="s">
        <v>437</v>
      </c>
      <c r="C2" t="s">
        <v>34</v>
      </c>
    </row>
    <row r="3" spans="1:3" x14ac:dyDescent="0.2">
      <c r="A3" t="s">
        <v>19</v>
      </c>
      <c r="B3" t="s">
        <v>76</v>
      </c>
      <c r="C3" t="s">
        <v>34</v>
      </c>
    </row>
    <row r="4" spans="1:3" x14ac:dyDescent="0.2">
      <c r="A4" t="s">
        <v>19</v>
      </c>
      <c r="B4" t="s">
        <v>80</v>
      </c>
      <c r="C4" t="s">
        <v>119</v>
      </c>
    </row>
    <row r="5" spans="1:3" x14ac:dyDescent="0.2">
      <c r="A5" t="s">
        <v>19</v>
      </c>
      <c r="B5" t="s">
        <v>79</v>
      </c>
      <c r="C5" t="s">
        <v>527</v>
      </c>
    </row>
    <row r="6" spans="1:3" x14ac:dyDescent="0.2">
      <c r="A6" t="s">
        <v>19</v>
      </c>
      <c r="B6" t="s">
        <v>457</v>
      </c>
      <c r="C6" t="s">
        <v>34</v>
      </c>
    </row>
    <row r="7" spans="1:3" x14ac:dyDescent="0.2">
      <c r="A7" t="s">
        <v>19</v>
      </c>
      <c r="B7" t="s">
        <v>70</v>
      </c>
      <c r="C7" t="s">
        <v>119</v>
      </c>
    </row>
    <row r="8" spans="1:3" x14ac:dyDescent="0.2">
      <c r="A8" t="s">
        <v>19</v>
      </c>
      <c r="B8" t="s">
        <v>74</v>
      </c>
      <c r="C8" t="s">
        <v>34</v>
      </c>
    </row>
    <row r="9" spans="1:3" x14ac:dyDescent="0.2">
      <c r="A9" t="s">
        <v>19</v>
      </c>
      <c r="B9" t="s">
        <v>75</v>
      </c>
      <c r="C9" t="s">
        <v>34</v>
      </c>
    </row>
    <row r="10" spans="1:3" x14ac:dyDescent="0.2">
      <c r="A10" t="s">
        <v>19</v>
      </c>
      <c r="B10" t="s">
        <v>77</v>
      </c>
      <c r="C10" t="s">
        <v>34</v>
      </c>
    </row>
    <row r="11" spans="1:3" x14ac:dyDescent="0.2">
      <c r="A11" t="s">
        <v>19</v>
      </c>
      <c r="B11" t="s">
        <v>28</v>
      </c>
      <c r="C11" t="s">
        <v>444</v>
      </c>
    </row>
    <row r="12" spans="1:3" x14ac:dyDescent="0.2">
      <c r="A12" t="s">
        <v>19</v>
      </c>
      <c r="B12" t="s">
        <v>57</v>
      </c>
      <c r="C12" t="s">
        <v>444</v>
      </c>
    </row>
    <row r="13" spans="1:3" x14ac:dyDescent="0.2">
      <c r="A13" t="s">
        <v>19</v>
      </c>
      <c r="B13" t="s">
        <v>461</v>
      </c>
      <c r="C13" t="s">
        <v>34</v>
      </c>
    </row>
    <row r="14" spans="1:3" x14ac:dyDescent="0.2">
      <c r="A14" t="s">
        <v>19</v>
      </c>
      <c r="B14" t="s">
        <v>472</v>
      </c>
      <c r="C14" t="s">
        <v>122</v>
      </c>
    </row>
    <row r="15" spans="1:3" x14ac:dyDescent="0.2">
      <c r="A15" t="s">
        <v>19</v>
      </c>
      <c r="B15" t="s">
        <v>89</v>
      </c>
      <c r="C15" t="s">
        <v>527</v>
      </c>
    </row>
    <row r="16" spans="1:3" x14ac:dyDescent="0.2">
      <c r="A16" t="s">
        <v>19</v>
      </c>
      <c r="B16" t="s">
        <v>84</v>
      </c>
      <c r="C16" t="s">
        <v>122</v>
      </c>
    </row>
    <row r="17" spans="1:3" x14ac:dyDescent="0.2">
      <c r="A17" t="s">
        <v>19</v>
      </c>
      <c r="B17" t="s">
        <v>86</v>
      </c>
      <c r="C17" t="s">
        <v>122</v>
      </c>
    </row>
    <row r="18" spans="1:3" x14ac:dyDescent="0.2">
      <c r="A18" t="s">
        <v>19</v>
      </c>
      <c r="B18" t="s">
        <v>82</v>
      </c>
      <c r="C18" t="s">
        <v>122</v>
      </c>
    </row>
    <row r="19" spans="1:3" x14ac:dyDescent="0.2">
      <c r="A19" t="s">
        <v>19</v>
      </c>
      <c r="B19" t="s">
        <v>85</v>
      </c>
      <c r="C19" t="s">
        <v>122</v>
      </c>
    </row>
    <row r="20" spans="1:3" x14ac:dyDescent="0.2">
      <c r="A20" t="s">
        <v>19</v>
      </c>
      <c r="B20" t="s">
        <v>88</v>
      </c>
      <c r="C20" t="s">
        <v>529</v>
      </c>
    </row>
    <row r="21" spans="1:3" x14ac:dyDescent="0.2">
      <c r="A21" t="s">
        <v>19</v>
      </c>
      <c r="B21" t="s">
        <v>83</v>
      </c>
      <c r="C21" t="s">
        <v>122</v>
      </c>
    </row>
    <row r="22" spans="1:3" x14ac:dyDescent="0.2">
      <c r="A22" t="s">
        <v>19</v>
      </c>
      <c r="B22" t="s">
        <v>87</v>
      </c>
      <c r="C22" t="s">
        <v>122</v>
      </c>
    </row>
    <row r="23" spans="1:3" x14ac:dyDescent="0.2">
      <c r="A23" t="s">
        <v>19</v>
      </c>
      <c r="B23" t="s">
        <v>78</v>
      </c>
      <c r="C23" t="s">
        <v>119</v>
      </c>
    </row>
    <row r="24" spans="1:3" x14ac:dyDescent="0.2">
      <c r="A24" t="s">
        <v>19</v>
      </c>
      <c r="B24" t="s">
        <v>29</v>
      </c>
      <c r="C24" t="s">
        <v>444</v>
      </c>
    </row>
    <row r="25" spans="1:3" x14ac:dyDescent="0.2">
      <c r="A25" t="s">
        <v>19</v>
      </c>
      <c r="B25" t="s">
        <v>58</v>
      </c>
      <c r="C25" t="s">
        <v>444</v>
      </c>
    </row>
    <row r="26" spans="1:3" x14ac:dyDescent="0.2">
      <c r="A26" t="s">
        <v>19</v>
      </c>
      <c r="B26" t="s">
        <v>27</v>
      </c>
      <c r="C26" t="s">
        <v>444</v>
      </c>
    </row>
    <row r="27" spans="1:3" x14ac:dyDescent="0.2">
      <c r="A27" t="s">
        <v>19</v>
      </c>
      <c r="B27" t="s">
        <v>56</v>
      </c>
      <c r="C27" t="s">
        <v>444</v>
      </c>
    </row>
    <row r="28" spans="1:3" x14ac:dyDescent="0.2">
      <c r="A28" t="s">
        <v>19</v>
      </c>
      <c r="B28" t="s">
        <v>69</v>
      </c>
      <c r="C28" t="s">
        <v>119</v>
      </c>
    </row>
    <row r="29" spans="1:3" x14ac:dyDescent="0.2">
      <c r="A29" t="s">
        <v>19</v>
      </c>
      <c r="B29" t="s">
        <v>438</v>
      </c>
      <c r="C29" t="s">
        <v>527</v>
      </c>
    </row>
    <row r="30" spans="1:3" x14ac:dyDescent="0.2">
      <c r="A30" t="s">
        <v>19</v>
      </c>
      <c r="B30" t="s">
        <v>25</v>
      </c>
      <c r="C30" t="s">
        <v>34</v>
      </c>
    </row>
    <row r="31" spans="1:3" x14ac:dyDescent="0.2">
      <c r="A31" t="s">
        <v>19</v>
      </c>
      <c r="B31" t="s">
        <v>556</v>
      </c>
      <c r="C31" s="70" t="s">
        <v>119</v>
      </c>
    </row>
    <row r="32" spans="1:3" x14ac:dyDescent="0.2">
      <c r="A32" t="s">
        <v>19</v>
      </c>
      <c r="B32" t="s">
        <v>81</v>
      </c>
      <c r="C32" t="s">
        <v>34</v>
      </c>
    </row>
    <row r="33" spans="1:3" x14ac:dyDescent="0.2">
      <c r="A33" t="s">
        <v>19</v>
      </c>
      <c r="B33" t="s">
        <v>55</v>
      </c>
      <c r="C33" t="s">
        <v>34</v>
      </c>
    </row>
    <row r="34" spans="1:3" x14ac:dyDescent="0.2">
      <c r="A34" t="s">
        <v>19</v>
      </c>
      <c r="B34" t="s">
        <v>68</v>
      </c>
      <c r="C34" t="s">
        <v>34</v>
      </c>
    </row>
    <row r="35" spans="1:3" x14ac:dyDescent="0.2">
      <c r="A35" t="s">
        <v>19</v>
      </c>
      <c r="B35" t="s">
        <v>26</v>
      </c>
      <c r="C35" t="s">
        <v>34</v>
      </c>
    </row>
    <row r="36" spans="1:3" x14ac:dyDescent="0.2">
      <c r="A36" t="s">
        <v>19</v>
      </c>
      <c r="B36" t="s">
        <v>71</v>
      </c>
      <c r="C36" t="s">
        <v>122</v>
      </c>
    </row>
    <row r="37" spans="1:3" x14ac:dyDescent="0.2">
      <c r="A37" t="s">
        <v>19</v>
      </c>
      <c r="B37" t="s">
        <v>73</v>
      </c>
      <c r="C37" t="s">
        <v>34</v>
      </c>
    </row>
    <row r="38" spans="1:3" x14ac:dyDescent="0.2">
      <c r="A38" t="s">
        <v>19</v>
      </c>
      <c r="B38" t="s">
        <v>72</v>
      </c>
      <c r="C38" t="s">
        <v>34</v>
      </c>
    </row>
    <row r="39" spans="1:3" x14ac:dyDescent="0.2">
      <c r="A39" t="s">
        <v>19</v>
      </c>
      <c r="B39" t="s">
        <v>22</v>
      </c>
      <c r="C39" t="s">
        <v>34</v>
      </c>
    </row>
    <row r="40" spans="1:3" x14ac:dyDescent="0.2">
      <c r="A40" t="s">
        <v>19</v>
      </c>
      <c r="B40" t="s">
        <v>23</v>
      </c>
      <c r="C40" t="s">
        <v>34</v>
      </c>
    </row>
    <row r="41" spans="1:3" x14ac:dyDescent="0.2">
      <c r="A41" t="s">
        <v>19</v>
      </c>
      <c r="B41" t="s">
        <v>24</v>
      </c>
      <c r="C41" t="s">
        <v>34</v>
      </c>
    </row>
    <row r="42" spans="1:3" x14ac:dyDescent="0.2">
      <c r="A42" t="s">
        <v>20</v>
      </c>
      <c r="B42" t="s">
        <v>437</v>
      </c>
      <c r="C42" t="s">
        <v>527</v>
      </c>
    </row>
    <row r="43" spans="1:3" x14ac:dyDescent="0.2">
      <c r="A43" t="s">
        <v>20</v>
      </c>
      <c r="B43" t="s">
        <v>76</v>
      </c>
      <c r="C43" t="s">
        <v>34</v>
      </c>
    </row>
    <row r="44" spans="1:3" x14ac:dyDescent="0.2">
      <c r="A44" t="s">
        <v>20</v>
      </c>
      <c r="B44" t="s">
        <v>80</v>
      </c>
      <c r="C44" t="s">
        <v>527</v>
      </c>
    </row>
    <row r="45" spans="1:3" x14ac:dyDescent="0.2">
      <c r="A45" t="s">
        <v>20</v>
      </c>
      <c r="B45" t="s">
        <v>79</v>
      </c>
      <c r="C45" t="s">
        <v>527</v>
      </c>
    </row>
    <row r="46" spans="1:3" x14ac:dyDescent="0.2">
      <c r="A46" t="s">
        <v>20</v>
      </c>
      <c r="B46" t="s">
        <v>457</v>
      </c>
      <c r="C46" t="s">
        <v>34</v>
      </c>
    </row>
    <row r="47" spans="1:3" x14ac:dyDescent="0.2">
      <c r="A47" t="s">
        <v>20</v>
      </c>
      <c r="B47" t="s">
        <v>70</v>
      </c>
      <c r="C47" t="s">
        <v>527</v>
      </c>
    </row>
    <row r="48" spans="1:3" x14ac:dyDescent="0.2">
      <c r="A48" t="s">
        <v>20</v>
      </c>
      <c r="B48" t="s">
        <v>74</v>
      </c>
      <c r="C48" t="s">
        <v>34</v>
      </c>
    </row>
    <row r="49" spans="1:3" x14ac:dyDescent="0.2">
      <c r="A49" t="s">
        <v>20</v>
      </c>
      <c r="B49" t="s">
        <v>75</v>
      </c>
      <c r="C49" t="s">
        <v>527</v>
      </c>
    </row>
    <row r="50" spans="1:3" x14ac:dyDescent="0.2">
      <c r="A50" t="s">
        <v>20</v>
      </c>
      <c r="B50" t="s">
        <v>77</v>
      </c>
      <c r="C50" t="s">
        <v>527</v>
      </c>
    </row>
    <row r="51" spans="1:3" x14ac:dyDescent="0.2">
      <c r="A51" t="s">
        <v>20</v>
      </c>
      <c r="B51" t="s">
        <v>28</v>
      </c>
      <c r="C51" t="s">
        <v>444</v>
      </c>
    </row>
    <row r="52" spans="1:3" x14ac:dyDescent="0.2">
      <c r="A52" t="s">
        <v>20</v>
      </c>
      <c r="B52" t="s">
        <v>57</v>
      </c>
      <c r="C52" t="s">
        <v>444</v>
      </c>
    </row>
    <row r="53" spans="1:3" x14ac:dyDescent="0.2">
      <c r="A53" t="s">
        <v>20</v>
      </c>
      <c r="B53" t="s">
        <v>461</v>
      </c>
      <c r="C53" t="s">
        <v>34</v>
      </c>
    </row>
    <row r="54" spans="1:3" x14ac:dyDescent="0.2">
      <c r="A54" t="s">
        <v>20</v>
      </c>
      <c r="B54" t="s">
        <v>472</v>
      </c>
      <c r="C54" t="s">
        <v>527</v>
      </c>
    </row>
    <row r="55" spans="1:3" x14ac:dyDescent="0.2">
      <c r="A55" t="s">
        <v>20</v>
      </c>
      <c r="B55" t="s">
        <v>89</v>
      </c>
      <c r="C55" t="s">
        <v>527</v>
      </c>
    </row>
    <row r="56" spans="1:3" x14ac:dyDescent="0.2">
      <c r="A56" t="s">
        <v>20</v>
      </c>
      <c r="B56" t="s">
        <v>84</v>
      </c>
      <c r="C56" t="s">
        <v>527</v>
      </c>
    </row>
    <row r="57" spans="1:3" x14ac:dyDescent="0.2">
      <c r="A57" t="s">
        <v>20</v>
      </c>
      <c r="B57" t="s">
        <v>86</v>
      </c>
      <c r="C57" t="s">
        <v>527</v>
      </c>
    </row>
    <row r="58" spans="1:3" x14ac:dyDescent="0.2">
      <c r="A58" t="s">
        <v>20</v>
      </c>
      <c r="B58" t="s">
        <v>82</v>
      </c>
      <c r="C58" t="s">
        <v>527</v>
      </c>
    </row>
    <row r="59" spans="1:3" x14ac:dyDescent="0.2">
      <c r="A59" t="s">
        <v>20</v>
      </c>
      <c r="B59" t="s">
        <v>85</v>
      </c>
      <c r="C59" t="s">
        <v>527</v>
      </c>
    </row>
    <row r="60" spans="1:3" x14ac:dyDescent="0.2">
      <c r="A60" t="s">
        <v>20</v>
      </c>
      <c r="B60" t="s">
        <v>88</v>
      </c>
      <c r="C60" t="s">
        <v>527</v>
      </c>
    </row>
    <row r="61" spans="1:3" x14ac:dyDescent="0.2">
      <c r="A61" t="s">
        <v>20</v>
      </c>
      <c r="B61" t="s">
        <v>83</v>
      </c>
      <c r="C61" t="s">
        <v>527</v>
      </c>
    </row>
    <row r="62" spans="1:3" x14ac:dyDescent="0.2">
      <c r="A62" t="s">
        <v>20</v>
      </c>
      <c r="B62" t="s">
        <v>87</v>
      </c>
      <c r="C62" t="s">
        <v>527</v>
      </c>
    </row>
    <row r="63" spans="1:3" x14ac:dyDescent="0.2">
      <c r="A63" t="s">
        <v>20</v>
      </c>
      <c r="B63" t="s">
        <v>78</v>
      </c>
      <c r="C63" s="70" t="s">
        <v>527</v>
      </c>
    </row>
    <row r="64" spans="1:3" x14ac:dyDescent="0.2">
      <c r="A64" t="s">
        <v>20</v>
      </c>
      <c r="B64" t="s">
        <v>29</v>
      </c>
      <c r="C64" t="s">
        <v>444</v>
      </c>
    </row>
    <row r="65" spans="1:3" x14ac:dyDescent="0.2">
      <c r="A65" t="s">
        <v>20</v>
      </c>
      <c r="B65" t="s">
        <v>58</v>
      </c>
      <c r="C65" t="s">
        <v>444</v>
      </c>
    </row>
    <row r="66" spans="1:3" x14ac:dyDescent="0.2">
      <c r="A66" t="s">
        <v>20</v>
      </c>
      <c r="B66" t="s">
        <v>27</v>
      </c>
      <c r="C66" t="s">
        <v>444</v>
      </c>
    </row>
    <row r="67" spans="1:3" x14ac:dyDescent="0.2">
      <c r="A67" t="s">
        <v>20</v>
      </c>
      <c r="B67" t="s">
        <v>56</v>
      </c>
      <c r="C67" t="s">
        <v>444</v>
      </c>
    </row>
    <row r="68" spans="1:3" x14ac:dyDescent="0.2">
      <c r="A68" t="s">
        <v>20</v>
      </c>
      <c r="B68" t="s">
        <v>69</v>
      </c>
      <c r="C68" t="s">
        <v>527</v>
      </c>
    </row>
    <row r="69" spans="1:3" x14ac:dyDescent="0.2">
      <c r="A69" t="s">
        <v>20</v>
      </c>
      <c r="B69" t="s">
        <v>438</v>
      </c>
      <c r="C69" t="s">
        <v>527</v>
      </c>
    </row>
    <row r="70" spans="1:3" x14ac:dyDescent="0.2">
      <c r="A70" t="s">
        <v>20</v>
      </c>
      <c r="B70" t="s">
        <v>25</v>
      </c>
      <c r="C70" t="s">
        <v>527</v>
      </c>
    </row>
    <row r="71" spans="1:3" x14ac:dyDescent="0.2">
      <c r="A71" t="s">
        <v>20</v>
      </c>
      <c r="B71" t="s">
        <v>556</v>
      </c>
      <c r="C71" t="s">
        <v>527</v>
      </c>
    </row>
    <row r="72" spans="1:3" x14ac:dyDescent="0.2">
      <c r="A72" t="s">
        <v>20</v>
      </c>
      <c r="B72" t="s">
        <v>81</v>
      </c>
      <c r="C72" t="s">
        <v>527</v>
      </c>
    </row>
    <row r="73" spans="1:3" x14ac:dyDescent="0.2">
      <c r="A73" t="s">
        <v>20</v>
      </c>
      <c r="B73" t="s">
        <v>55</v>
      </c>
      <c r="C73" t="s">
        <v>527</v>
      </c>
    </row>
    <row r="74" spans="1:3" x14ac:dyDescent="0.2">
      <c r="A74" t="s">
        <v>20</v>
      </c>
      <c r="B74" t="s">
        <v>68</v>
      </c>
      <c r="C74" t="s">
        <v>527</v>
      </c>
    </row>
    <row r="75" spans="1:3" x14ac:dyDescent="0.2">
      <c r="A75" t="s">
        <v>20</v>
      </c>
      <c r="B75" t="s">
        <v>26</v>
      </c>
      <c r="C75" t="s">
        <v>34</v>
      </c>
    </row>
    <row r="76" spans="1:3" x14ac:dyDescent="0.2">
      <c r="A76" t="s">
        <v>20</v>
      </c>
      <c r="B76" t="s">
        <v>71</v>
      </c>
      <c r="C76" t="s">
        <v>527</v>
      </c>
    </row>
    <row r="77" spans="1:3" x14ac:dyDescent="0.2">
      <c r="A77" t="s">
        <v>20</v>
      </c>
      <c r="B77" t="s">
        <v>73</v>
      </c>
      <c r="C77" t="s">
        <v>527</v>
      </c>
    </row>
    <row r="78" spans="1:3" x14ac:dyDescent="0.2">
      <c r="A78" t="s">
        <v>20</v>
      </c>
      <c r="B78" t="s">
        <v>72</v>
      </c>
      <c r="C78" t="s">
        <v>527</v>
      </c>
    </row>
    <row r="79" spans="1:3" x14ac:dyDescent="0.2">
      <c r="A79" t="s">
        <v>20</v>
      </c>
      <c r="B79" t="s">
        <v>22</v>
      </c>
      <c r="C79" t="s">
        <v>34</v>
      </c>
    </row>
    <row r="80" spans="1:3" x14ac:dyDescent="0.2">
      <c r="A80" t="s">
        <v>20</v>
      </c>
      <c r="B80" t="s">
        <v>23</v>
      </c>
      <c r="C80" t="s">
        <v>34</v>
      </c>
    </row>
    <row r="81" spans="1:3" x14ac:dyDescent="0.2">
      <c r="A81" t="s">
        <v>20</v>
      </c>
      <c r="B81" t="s">
        <v>24</v>
      </c>
      <c r="C81" t="s">
        <v>34</v>
      </c>
    </row>
    <row r="82" spans="1:3" x14ac:dyDescent="0.2">
      <c r="A82" t="s">
        <v>575</v>
      </c>
      <c r="B82" t="s">
        <v>437</v>
      </c>
      <c r="C82" t="s">
        <v>34</v>
      </c>
    </row>
    <row r="83" spans="1:3" x14ac:dyDescent="0.2">
      <c r="A83" t="s">
        <v>575</v>
      </c>
      <c r="B83" t="s">
        <v>76</v>
      </c>
      <c r="C83" t="s">
        <v>34</v>
      </c>
    </row>
    <row r="84" spans="1:3" x14ac:dyDescent="0.2">
      <c r="A84" t="s">
        <v>575</v>
      </c>
      <c r="B84" t="s">
        <v>80</v>
      </c>
      <c r="C84" t="s">
        <v>119</v>
      </c>
    </row>
    <row r="85" spans="1:3" x14ac:dyDescent="0.2">
      <c r="A85" t="s">
        <v>575</v>
      </c>
      <c r="B85" t="s">
        <v>79</v>
      </c>
      <c r="C85" t="s">
        <v>527</v>
      </c>
    </row>
    <row r="86" spans="1:3" x14ac:dyDescent="0.2">
      <c r="A86" t="s">
        <v>575</v>
      </c>
      <c r="B86" t="s">
        <v>457</v>
      </c>
      <c r="C86" t="s">
        <v>34</v>
      </c>
    </row>
    <row r="87" spans="1:3" x14ac:dyDescent="0.2">
      <c r="A87" t="s">
        <v>575</v>
      </c>
      <c r="B87" t="s">
        <v>70</v>
      </c>
      <c r="C87" t="s">
        <v>119</v>
      </c>
    </row>
    <row r="88" spans="1:3" x14ac:dyDescent="0.2">
      <c r="A88" t="s">
        <v>575</v>
      </c>
      <c r="B88" t="s">
        <v>74</v>
      </c>
      <c r="C88" t="s">
        <v>34</v>
      </c>
    </row>
    <row r="89" spans="1:3" x14ac:dyDescent="0.2">
      <c r="A89" t="s">
        <v>575</v>
      </c>
      <c r="B89" t="s">
        <v>75</v>
      </c>
      <c r="C89" t="s">
        <v>34</v>
      </c>
    </row>
    <row r="90" spans="1:3" x14ac:dyDescent="0.2">
      <c r="A90" t="s">
        <v>575</v>
      </c>
      <c r="B90" t="s">
        <v>77</v>
      </c>
      <c r="C90" t="s">
        <v>34</v>
      </c>
    </row>
    <row r="91" spans="1:3" x14ac:dyDescent="0.2">
      <c r="A91" t="s">
        <v>575</v>
      </c>
      <c r="B91" t="s">
        <v>28</v>
      </c>
      <c r="C91" t="s">
        <v>444</v>
      </c>
    </row>
    <row r="92" spans="1:3" x14ac:dyDescent="0.2">
      <c r="A92" t="s">
        <v>575</v>
      </c>
      <c r="B92" t="s">
        <v>57</v>
      </c>
      <c r="C92" t="s">
        <v>444</v>
      </c>
    </row>
    <row r="93" spans="1:3" x14ac:dyDescent="0.2">
      <c r="A93" t="s">
        <v>575</v>
      </c>
      <c r="B93" t="s">
        <v>461</v>
      </c>
      <c r="C93" t="s">
        <v>34</v>
      </c>
    </row>
    <row r="94" spans="1:3" x14ac:dyDescent="0.2">
      <c r="A94" t="s">
        <v>575</v>
      </c>
      <c r="B94" t="s">
        <v>472</v>
      </c>
      <c r="C94" t="s">
        <v>122</v>
      </c>
    </row>
    <row r="95" spans="1:3" x14ac:dyDescent="0.2">
      <c r="A95" t="s">
        <v>575</v>
      </c>
      <c r="B95" t="s">
        <v>89</v>
      </c>
      <c r="C95" t="s">
        <v>527</v>
      </c>
    </row>
    <row r="96" spans="1:3" x14ac:dyDescent="0.2">
      <c r="A96" t="s">
        <v>575</v>
      </c>
      <c r="B96" t="s">
        <v>84</v>
      </c>
      <c r="C96" t="s">
        <v>122</v>
      </c>
    </row>
    <row r="97" spans="1:3" x14ac:dyDescent="0.2">
      <c r="A97" t="s">
        <v>575</v>
      </c>
      <c r="B97" t="s">
        <v>86</v>
      </c>
      <c r="C97" t="s">
        <v>122</v>
      </c>
    </row>
    <row r="98" spans="1:3" x14ac:dyDescent="0.2">
      <c r="A98" t="s">
        <v>575</v>
      </c>
      <c r="B98" t="s">
        <v>82</v>
      </c>
      <c r="C98" t="s">
        <v>122</v>
      </c>
    </row>
    <row r="99" spans="1:3" x14ac:dyDescent="0.2">
      <c r="A99" t="s">
        <v>575</v>
      </c>
      <c r="B99" t="s">
        <v>85</v>
      </c>
      <c r="C99" t="s">
        <v>122</v>
      </c>
    </row>
    <row r="100" spans="1:3" x14ac:dyDescent="0.2">
      <c r="A100" t="s">
        <v>575</v>
      </c>
      <c r="B100" t="s">
        <v>88</v>
      </c>
      <c r="C100" t="s">
        <v>529</v>
      </c>
    </row>
    <row r="101" spans="1:3" x14ac:dyDescent="0.2">
      <c r="A101" t="s">
        <v>575</v>
      </c>
      <c r="B101" t="s">
        <v>83</v>
      </c>
      <c r="C101" t="s">
        <v>122</v>
      </c>
    </row>
    <row r="102" spans="1:3" x14ac:dyDescent="0.2">
      <c r="A102" t="s">
        <v>575</v>
      </c>
      <c r="B102" t="s">
        <v>87</v>
      </c>
      <c r="C102" t="s">
        <v>122</v>
      </c>
    </row>
    <row r="103" spans="1:3" x14ac:dyDescent="0.2">
      <c r="A103" t="s">
        <v>575</v>
      </c>
      <c r="B103" t="s">
        <v>78</v>
      </c>
      <c r="C103" t="s">
        <v>119</v>
      </c>
    </row>
    <row r="104" spans="1:3" x14ac:dyDescent="0.2">
      <c r="A104" t="s">
        <v>575</v>
      </c>
      <c r="B104" t="s">
        <v>29</v>
      </c>
      <c r="C104" t="s">
        <v>444</v>
      </c>
    </row>
    <row r="105" spans="1:3" x14ac:dyDescent="0.2">
      <c r="A105" t="s">
        <v>575</v>
      </c>
      <c r="B105" t="s">
        <v>58</v>
      </c>
      <c r="C105" t="s">
        <v>444</v>
      </c>
    </row>
    <row r="106" spans="1:3" x14ac:dyDescent="0.2">
      <c r="A106" t="s">
        <v>575</v>
      </c>
      <c r="B106" t="s">
        <v>27</v>
      </c>
      <c r="C106" t="s">
        <v>444</v>
      </c>
    </row>
    <row r="107" spans="1:3" x14ac:dyDescent="0.2">
      <c r="A107" t="s">
        <v>575</v>
      </c>
      <c r="B107" t="s">
        <v>56</v>
      </c>
      <c r="C107" t="s">
        <v>444</v>
      </c>
    </row>
    <row r="108" spans="1:3" x14ac:dyDescent="0.2">
      <c r="A108" t="s">
        <v>575</v>
      </c>
      <c r="B108" t="s">
        <v>69</v>
      </c>
      <c r="C108" t="s">
        <v>119</v>
      </c>
    </row>
    <row r="109" spans="1:3" x14ac:dyDescent="0.2">
      <c r="A109" t="s">
        <v>575</v>
      </c>
      <c r="B109" t="s">
        <v>438</v>
      </c>
      <c r="C109" t="s">
        <v>527</v>
      </c>
    </row>
    <row r="110" spans="1:3" x14ac:dyDescent="0.2">
      <c r="A110" t="s">
        <v>575</v>
      </c>
      <c r="B110" t="s">
        <v>25</v>
      </c>
      <c r="C110" t="s">
        <v>34</v>
      </c>
    </row>
    <row r="111" spans="1:3" x14ac:dyDescent="0.2">
      <c r="A111" t="s">
        <v>575</v>
      </c>
      <c r="B111" t="s">
        <v>556</v>
      </c>
      <c r="C111" s="70" t="s">
        <v>119</v>
      </c>
    </row>
    <row r="112" spans="1:3" x14ac:dyDescent="0.2">
      <c r="A112" t="s">
        <v>575</v>
      </c>
      <c r="B112" t="s">
        <v>81</v>
      </c>
      <c r="C112" t="s">
        <v>119</v>
      </c>
    </row>
    <row r="113" spans="1:3" x14ac:dyDescent="0.2">
      <c r="A113" t="s">
        <v>575</v>
      </c>
      <c r="B113" t="s">
        <v>55</v>
      </c>
      <c r="C113" t="s">
        <v>34</v>
      </c>
    </row>
    <row r="114" spans="1:3" x14ac:dyDescent="0.2">
      <c r="A114" t="s">
        <v>575</v>
      </c>
      <c r="B114" t="s">
        <v>68</v>
      </c>
      <c r="C114" t="s">
        <v>34</v>
      </c>
    </row>
    <row r="115" spans="1:3" x14ac:dyDescent="0.2">
      <c r="A115" t="s">
        <v>575</v>
      </c>
      <c r="B115" t="s">
        <v>26</v>
      </c>
      <c r="C115" t="s">
        <v>34</v>
      </c>
    </row>
    <row r="116" spans="1:3" x14ac:dyDescent="0.2">
      <c r="A116" t="s">
        <v>575</v>
      </c>
      <c r="B116" t="s">
        <v>71</v>
      </c>
      <c r="C116" t="s">
        <v>119</v>
      </c>
    </row>
    <row r="117" spans="1:3" x14ac:dyDescent="0.2">
      <c r="A117" t="s">
        <v>575</v>
      </c>
      <c r="B117" t="s">
        <v>73</v>
      </c>
      <c r="C117" t="s">
        <v>34</v>
      </c>
    </row>
    <row r="118" spans="1:3" x14ac:dyDescent="0.2">
      <c r="A118" t="s">
        <v>575</v>
      </c>
      <c r="B118" t="s">
        <v>72</v>
      </c>
      <c r="C118" t="s">
        <v>34</v>
      </c>
    </row>
    <row r="119" spans="1:3" x14ac:dyDescent="0.2">
      <c r="A119" t="s">
        <v>575</v>
      </c>
      <c r="B119" t="s">
        <v>22</v>
      </c>
      <c r="C119" t="s">
        <v>34</v>
      </c>
    </row>
    <row r="120" spans="1:3" x14ac:dyDescent="0.2">
      <c r="A120" t="s">
        <v>575</v>
      </c>
      <c r="B120" t="s">
        <v>23</v>
      </c>
      <c r="C120" t="s">
        <v>34</v>
      </c>
    </row>
    <row r="121" spans="1:3" x14ac:dyDescent="0.2">
      <c r="A121" t="s">
        <v>575</v>
      </c>
      <c r="B121" t="s">
        <v>24</v>
      </c>
      <c r="C121" t="s">
        <v>34</v>
      </c>
    </row>
    <row r="122" spans="1:3" x14ac:dyDescent="0.2">
      <c r="A122" t="s">
        <v>575</v>
      </c>
      <c r="B122" t="s">
        <v>563</v>
      </c>
      <c r="C122" t="s">
        <v>34</v>
      </c>
    </row>
    <row r="123" spans="1:3" x14ac:dyDescent="0.2">
      <c r="A123" t="s">
        <v>567</v>
      </c>
      <c r="B123" t="s">
        <v>80</v>
      </c>
      <c r="C123" t="s">
        <v>527</v>
      </c>
    </row>
    <row r="124" spans="1:3" x14ac:dyDescent="0.2">
      <c r="A124" t="s">
        <v>567</v>
      </c>
      <c r="B124" t="s">
        <v>79</v>
      </c>
      <c r="C124" t="s">
        <v>527</v>
      </c>
    </row>
    <row r="125" spans="1:3" x14ac:dyDescent="0.2">
      <c r="A125" t="s">
        <v>567</v>
      </c>
      <c r="B125" t="s">
        <v>457</v>
      </c>
      <c r="C125" t="s">
        <v>34</v>
      </c>
    </row>
    <row r="126" spans="1:3" x14ac:dyDescent="0.2">
      <c r="A126" t="s">
        <v>567</v>
      </c>
      <c r="B126" t="s">
        <v>70</v>
      </c>
      <c r="C126" t="s">
        <v>527</v>
      </c>
    </row>
    <row r="127" spans="1:3" x14ac:dyDescent="0.2">
      <c r="A127" t="s">
        <v>567</v>
      </c>
      <c r="B127" t="s">
        <v>74</v>
      </c>
      <c r="C127" t="s">
        <v>34</v>
      </c>
    </row>
    <row r="128" spans="1:3" x14ac:dyDescent="0.2">
      <c r="A128" t="s">
        <v>567</v>
      </c>
      <c r="B128" t="s">
        <v>75</v>
      </c>
      <c r="C128" t="s">
        <v>527</v>
      </c>
    </row>
    <row r="129" spans="1:3" x14ac:dyDescent="0.2">
      <c r="A129" t="s">
        <v>567</v>
      </c>
      <c r="B129" t="s">
        <v>77</v>
      </c>
      <c r="C129" t="s">
        <v>527</v>
      </c>
    </row>
    <row r="130" spans="1:3" x14ac:dyDescent="0.2">
      <c r="A130" t="s">
        <v>567</v>
      </c>
      <c r="B130" t="s">
        <v>28</v>
      </c>
      <c r="C130" t="s">
        <v>444</v>
      </c>
    </row>
    <row r="131" spans="1:3" x14ac:dyDescent="0.2">
      <c r="A131" t="s">
        <v>567</v>
      </c>
      <c r="B131" t="s">
        <v>57</v>
      </c>
      <c r="C131" t="s">
        <v>444</v>
      </c>
    </row>
    <row r="132" spans="1:3" x14ac:dyDescent="0.2">
      <c r="A132" t="s">
        <v>567</v>
      </c>
      <c r="B132" t="s">
        <v>461</v>
      </c>
      <c r="C132" t="s">
        <v>34</v>
      </c>
    </row>
    <row r="133" spans="1:3" x14ac:dyDescent="0.2">
      <c r="A133" t="s">
        <v>567</v>
      </c>
      <c r="B133" t="s">
        <v>472</v>
      </c>
      <c r="C133" t="s">
        <v>527</v>
      </c>
    </row>
    <row r="134" spans="1:3" x14ac:dyDescent="0.2">
      <c r="A134" t="s">
        <v>567</v>
      </c>
      <c r="B134" t="s">
        <v>89</v>
      </c>
      <c r="C134" t="s">
        <v>527</v>
      </c>
    </row>
    <row r="135" spans="1:3" x14ac:dyDescent="0.2">
      <c r="A135" t="s">
        <v>567</v>
      </c>
      <c r="B135" t="s">
        <v>84</v>
      </c>
      <c r="C135" t="s">
        <v>527</v>
      </c>
    </row>
    <row r="136" spans="1:3" x14ac:dyDescent="0.2">
      <c r="A136" t="s">
        <v>567</v>
      </c>
      <c r="B136" t="s">
        <v>86</v>
      </c>
      <c r="C136" t="s">
        <v>527</v>
      </c>
    </row>
    <row r="137" spans="1:3" x14ac:dyDescent="0.2">
      <c r="A137" t="s">
        <v>567</v>
      </c>
      <c r="B137" t="s">
        <v>82</v>
      </c>
      <c r="C137" t="s">
        <v>527</v>
      </c>
    </row>
    <row r="138" spans="1:3" x14ac:dyDescent="0.2">
      <c r="A138" t="s">
        <v>567</v>
      </c>
      <c r="B138" t="s">
        <v>85</v>
      </c>
      <c r="C138" t="s">
        <v>527</v>
      </c>
    </row>
    <row r="139" spans="1:3" x14ac:dyDescent="0.2">
      <c r="A139" t="s">
        <v>567</v>
      </c>
      <c r="B139" t="s">
        <v>88</v>
      </c>
      <c r="C139" t="s">
        <v>527</v>
      </c>
    </row>
    <row r="140" spans="1:3" x14ac:dyDescent="0.2">
      <c r="A140" t="s">
        <v>567</v>
      </c>
      <c r="B140" t="s">
        <v>83</v>
      </c>
      <c r="C140" t="s">
        <v>527</v>
      </c>
    </row>
    <row r="141" spans="1:3" x14ac:dyDescent="0.2">
      <c r="A141" t="s">
        <v>567</v>
      </c>
      <c r="B141" t="s">
        <v>87</v>
      </c>
      <c r="C141" t="s">
        <v>527</v>
      </c>
    </row>
    <row r="142" spans="1:3" x14ac:dyDescent="0.2">
      <c r="A142" t="s">
        <v>567</v>
      </c>
      <c r="B142" t="s">
        <v>78</v>
      </c>
      <c r="C142" t="s">
        <v>119</v>
      </c>
    </row>
    <row r="143" spans="1:3" x14ac:dyDescent="0.2">
      <c r="A143" t="s">
        <v>567</v>
      </c>
      <c r="B143" t="s">
        <v>29</v>
      </c>
      <c r="C143" t="s">
        <v>444</v>
      </c>
    </row>
    <row r="144" spans="1:3" x14ac:dyDescent="0.2">
      <c r="A144" t="s">
        <v>567</v>
      </c>
      <c r="B144" t="s">
        <v>58</v>
      </c>
      <c r="C144" t="s">
        <v>444</v>
      </c>
    </row>
    <row r="145" spans="1:3" x14ac:dyDescent="0.2">
      <c r="A145" t="s">
        <v>567</v>
      </c>
      <c r="B145" t="s">
        <v>27</v>
      </c>
      <c r="C145" t="s">
        <v>444</v>
      </c>
    </row>
    <row r="146" spans="1:3" x14ac:dyDescent="0.2">
      <c r="A146" t="s">
        <v>567</v>
      </c>
      <c r="B146" t="s">
        <v>56</v>
      </c>
      <c r="C146" t="s">
        <v>444</v>
      </c>
    </row>
    <row r="147" spans="1:3" x14ac:dyDescent="0.2">
      <c r="A147" t="s">
        <v>567</v>
      </c>
      <c r="B147" t="s">
        <v>69</v>
      </c>
      <c r="C147" t="s">
        <v>527</v>
      </c>
    </row>
    <row r="148" spans="1:3" x14ac:dyDescent="0.2">
      <c r="A148" t="s">
        <v>567</v>
      </c>
      <c r="B148" t="s">
        <v>438</v>
      </c>
      <c r="C148" t="s">
        <v>527</v>
      </c>
    </row>
    <row r="149" spans="1:3" x14ac:dyDescent="0.2">
      <c r="A149" t="s">
        <v>567</v>
      </c>
      <c r="B149" t="s">
        <v>25</v>
      </c>
      <c r="C149" t="s">
        <v>34</v>
      </c>
    </row>
    <row r="150" spans="1:3" x14ac:dyDescent="0.2">
      <c r="A150" t="s">
        <v>567</v>
      </c>
      <c r="B150" t="s">
        <v>556</v>
      </c>
      <c r="C150" t="s">
        <v>527</v>
      </c>
    </row>
    <row r="151" spans="1:3" x14ac:dyDescent="0.2">
      <c r="A151" t="s">
        <v>567</v>
      </c>
      <c r="B151" t="s">
        <v>81</v>
      </c>
      <c r="C151" t="s">
        <v>527</v>
      </c>
    </row>
    <row r="152" spans="1:3" x14ac:dyDescent="0.2">
      <c r="A152" t="s">
        <v>567</v>
      </c>
      <c r="B152" t="s">
        <v>55</v>
      </c>
      <c r="C152" t="s">
        <v>34</v>
      </c>
    </row>
    <row r="153" spans="1:3" x14ac:dyDescent="0.2">
      <c r="A153" t="s">
        <v>567</v>
      </c>
      <c r="B153" t="s">
        <v>68</v>
      </c>
      <c r="C153" t="s">
        <v>527</v>
      </c>
    </row>
    <row r="154" spans="1:3" x14ac:dyDescent="0.2">
      <c r="A154" t="s">
        <v>567</v>
      </c>
      <c r="B154" t="s">
        <v>26</v>
      </c>
      <c r="C154" t="s">
        <v>34</v>
      </c>
    </row>
    <row r="155" spans="1:3" x14ac:dyDescent="0.2">
      <c r="A155" t="s">
        <v>567</v>
      </c>
      <c r="B155" t="s">
        <v>71</v>
      </c>
      <c r="C155" t="s">
        <v>527</v>
      </c>
    </row>
    <row r="156" spans="1:3" x14ac:dyDescent="0.2">
      <c r="A156" t="s">
        <v>567</v>
      </c>
      <c r="B156" t="s">
        <v>73</v>
      </c>
      <c r="C156" t="s">
        <v>34</v>
      </c>
    </row>
    <row r="157" spans="1:3" x14ac:dyDescent="0.2">
      <c r="A157" t="s">
        <v>567</v>
      </c>
      <c r="B157" t="s">
        <v>72</v>
      </c>
      <c r="C157" t="s">
        <v>34</v>
      </c>
    </row>
    <row r="158" spans="1:3" x14ac:dyDescent="0.2">
      <c r="A158" t="s">
        <v>567</v>
      </c>
      <c r="B158" t="s">
        <v>22</v>
      </c>
      <c r="C158" t="s">
        <v>34</v>
      </c>
    </row>
    <row r="159" spans="1:3" x14ac:dyDescent="0.2">
      <c r="A159" t="s">
        <v>567</v>
      </c>
      <c r="B159" t="s">
        <v>23</v>
      </c>
      <c r="C159" t="s">
        <v>34</v>
      </c>
    </row>
    <row r="160" spans="1:3" x14ac:dyDescent="0.2">
      <c r="A160" t="s">
        <v>567</v>
      </c>
      <c r="B160" t="s">
        <v>24</v>
      </c>
      <c r="C160" t="s">
        <v>34</v>
      </c>
    </row>
    <row r="161" spans="1:3" x14ac:dyDescent="0.2">
      <c r="A161" t="s">
        <v>571</v>
      </c>
      <c r="B161" t="s">
        <v>437</v>
      </c>
      <c r="C161" t="s">
        <v>527</v>
      </c>
    </row>
    <row r="162" spans="1:3" x14ac:dyDescent="0.2">
      <c r="A162" t="s">
        <v>571</v>
      </c>
      <c r="B162" t="s">
        <v>76</v>
      </c>
      <c r="C162" t="s">
        <v>34</v>
      </c>
    </row>
    <row r="163" spans="1:3" x14ac:dyDescent="0.2">
      <c r="A163" t="s">
        <v>571</v>
      </c>
      <c r="B163" t="s">
        <v>80</v>
      </c>
      <c r="C163" t="s">
        <v>527</v>
      </c>
    </row>
    <row r="164" spans="1:3" x14ac:dyDescent="0.2">
      <c r="A164" t="s">
        <v>571</v>
      </c>
      <c r="B164" t="s">
        <v>79</v>
      </c>
      <c r="C164" t="s">
        <v>527</v>
      </c>
    </row>
    <row r="165" spans="1:3" x14ac:dyDescent="0.2">
      <c r="A165" t="s">
        <v>571</v>
      </c>
      <c r="B165" t="s">
        <v>457</v>
      </c>
      <c r="C165" t="s">
        <v>34</v>
      </c>
    </row>
    <row r="166" spans="1:3" x14ac:dyDescent="0.2">
      <c r="A166" t="s">
        <v>571</v>
      </c>
      <c r="B166" t="s">
        <v>70</v>
      </c>
      <c r="C166" t="s">
        <v>527</v>
      </c>
    </row>
    <row r="167" spans="1:3" x14ac:dyDescent="0.2">
      <c r="A167" t="s">
        <v>571</v>
      </c>
      <c r="B167" t="s">
        <v>74</v>
      </c>
      <c r="C167" t="s">
        <v>34</v>
      </c>
    </row>
    <row r="168" spans="1:3" x14ac:dyDescent="0.2">
      <c r="A168" t="s">
        <v>571</v>
      </c>
      <c r="B168" t="s">
        <v>75</v>
      </c>
      <c r="C168" t="s">
        <v>527</v>
      </c>
    </row>
    <row r="169" spans="1:3" x14ac:dyDescent="0.2">
      <c r="A169" t="s">
        <v>571</v>
      </c>
      <c r="B169" t="s">
        <v>77</v>
      </c>
      <c r="C169" t="s">
        <v>527</v>
      </c>
    </row>
    <row r="170" spans="1:3" x14ac:dyDescent="0.2">
      <c r="A170" t="s">
        <v>571</v>
      </c>
      <c r="B170" t="s">
        <v>28</v>
      </c>
      <c r="C170" t="s">
        <v>444</v>
      </c>
    </row>
    <row r="171" spans="1:3" x14ac:dyDescent="0.2">
      <c r="A171" t="s">
        <v>571</v>
      </c>
      <c r="B171" t="s">
        <v>57</v>
      </c>
      <c r="C171" t="s">
        <v>444</v>
      </c>
    </row>
    <row r="172" spans="1:3" x14ac:dyDescent="0.2">
      <c r="A172" t="s">
        <v>571</v>
      </c>
      <c r="B172" t="s">
        <v>461</v>
      </c>
      <c r="C172" t="s">
        <v>34</v>
      </c>
    </row>
    <row r="173" spans="1:3" x14ac:dyDescent="0.2">
      <c r="A173" t="s">
        <v>571</v>
      </c>
      <c r="B173" t="s">
        <v>472</v>
      </c>
      <c r="C173" t="s">
        <v>527</v>
      </c>
    </row>
    <row r="174" spans="1:3" x14ac:dyDescent="0.2">
      <c r="A174" t="s">
        <v>571</v>
      </c>
      <c r="B174" t="s">
        <v>89</v>
      </c>
      <c r="C174" t="s">
        <v>527</v>
      </c>
    </row>
    <row r="175" spans="1:3" x14ac:dyDescent="0.2">
      <c r="A175" t="s">
        <v>571</v>
      </c>
      <c r="B175" t="s">
        <v>84</v>
      </c>
      <c r="C175" t="s">
        <v>527</v>
      </c>
    </row>
    <row r="176" spans="1:3" x14ac:dyDescent="0.2">
      <c r="A176" t="s">
        <v>571</v>
      </c>
      <c r="B176" t="s">
        <v>86</v>
      </c>
      <c r="C176" t="s">
        <v>527</v>
      </c>
    </row>
    <row r="177" spans="1:3" x14ac:dyDescent="0.2">
      <c r="A177" t="s">
        <v>571</v>
      </c>
      <c r="B177" t="s">
        <v>82</v>
      </c>
      <c r="C177" t="s">
        <v>527</v>
      </c>
    </row>
    <row r="178" spans="1:3" x14ac:dyDescent="0.2">
      <c r="A178" t="s">
        <v>571</v>
      </c>
      <c r="B178" t="s">
        <v>85</v>
      </c>
      <c r="C178" t="s">
        <v>527</v>
      </c>
    </row>
    <row r="179" spans="1:3" x14ac:dyDescent="0.2">
      <c r="A179" t="s">
        <v>571</v>
      </c>
      <c r="B179" t="s">
        <v>88</v>
      </c>
      <c r="C179" t="s">
        <v>527</v>
      </c>
    </row>
    <row r="180" spans="1:3" x14ac:dyDescent="0.2">
      <c r="A180" t="s">
        <v>571</v>
      </c>
      <c r="B180" t="s">
        <v>83</v>
      </c>
      <c r="C180" t="s">
        <v>527</v>
      </c>
    </row>
    <row r="181" spans="1:3" x14ac:dyDescent="0.2">
      <c r="A181" t="s">
        <v>571</v>
      </c>
      <c r="B181" t="s">
        <v>87</v>
      </c>
      <c r="C181" t="s">
        <v>527</v>
      </c>
    </row>
    <row r="182" spans="1:3" x14ac:dyDescent="0.2">
      <c r="A182" t="s">
        <v>571</v>
      </c>
      <c r="B182" t="s">
        <v>78</v>
      </c>
      <c r="C182" t="s">
        <v>119</v>
      </c>
    </row>
    <row r="183" spans="1:3" x14ac:dyDescent="0.2">
      <c r="A183" t="s">
        <v>571</v>
      </c>
      <c r="B183" t="s">
        <v>29</v>
      </c>
      <c r="C183" t="s">
        <v>444</v>
      </c>
    </row>
    <row r="184" spans="1:3" x14ac:dyDescent="0.2">
      <c r="A184" t="s">
        <v>571</v>
      </c>
      <c r="B184" t="s">
        <v>58</v>
      </c>
      <c r="C184" t="s">
        <v>444</v>
      </c>
    </row>
    <row r="185" spans="1:3" x14ac:dyDescent="0.2">
      <c r="A185" t="s">
        <v>571</v>
      </c>
      <c r="B185" t="s">
        <v>27</v>
      </c>
      <c r="C185" t="s">
        <v>444</v>
      </c>
    </row>
    <row r="186" spans="1:3" x14ac:dyDescent="0.2">
      <c r="A186" t="s">
        <v>571</v>
      </c>
      <c r="B186" t="s">
        <v>56</v>
      </c>
      <c r="C186" t="s">
        <v>444</v>
      </c>
    </row>
    <row r="187" spans="1:3" x14ac:dyDescent="0.2">
      <c r="A187" t="s">
        <v>571</v>
      </c>
      <c r="B187" t="s">
        <v>69</v>
      </c>
      <c r="C187" t="s">
        <v>527</v>
      </c>
    </row>
    <row r="188" spans="1:3" x14ac:dyDescent="0.2">
      <c r="A188" t="s">
        <v>571</v>
      </c>
      <c r="B188" t="s">
        <v>438</v>
      </c>
      <c r="C188" t="s">
        <v>527</v>
      </c>
    </row>
    <row r="189" spans="1:3" x14ac:dyDescent="0.2">
      <c r="A189" t="s">
        <v>571</v>
      </c>
      <c r="B189" t="s">
        <v>25</v>
      </c>
      <c r="C189" t="s">
        <v>34</v>
      </c>
    </row>
    <row r="190" spans="1:3" x14ac:dyDescent="0.2">
      <c r="A190" t="s">
        <v>571</v>
      </c>
      <c r="B190" t="s">
        <v>556</v>
      </c>
      <c r="C190" t="s">
        <v>527</v>
      </c>
    </row>
    <row r="191" spans="1:3" x14ac:dyDescent="0.2">
      <c r="A191" t="s">
        <v>571</v>
      </c>
      <c r="B191" t="s">
        <v>81</v>
      </c>
      <c r="C191" t="s">
        <v>527</v>
      </c>
    </row>
    <row r="192" spans="1:3" x14ac:dyDescent="0.2">
      <c r="A192" t="s">
        <v>571</v>
      </c>
      <c r="B192" t="s">
        <v>55</v>
      </c>
      <c r="C192" t="s">
        <v>34</v>
      </c>
    </row>
    <row r="193" spans="1:3" x14ac:dyDescent="0.2">
      <c r="A193" t="s">
        <v>571</v>
      </c>
      <c r="B193" t="s">
        <v>68</v>
      </c>
      <c r="C193" t="s">
        <v>527</v>
      </c>
    </row>
    <row r="194" spans="1:3" x14ac:dyDescent="0.2">
      <c r="A194" t="s">
        <v>571</v>
      </c>
      <c r="B194" t="s">
        <v>26</v>
      </c>
      <c r="C194" t="s">
        <v>34</v>
      </c>
    </row>
    <row r="195" spans="1:3" x14ac:dyDescent="0.2">
      <c r="A195" t="s">
        <v>571</v>
      </c>
      <c r="B195" t="s">
        <v>71</v>
      </c>
      <c r="C195" t="s">
        <v>527</v>
      </c>
    </row>
    <row r="196" spans="1:3" x14ac:dyDescent="0.2">
      <c r="A196" t="s">
        <v>571</v>
      </c>
      <c r="B196" t="s">
        <v>73</v>
      </c>
      <c r="C196" t="s">
        <v>527</v>
      </c>
    </row>
    <row r="197" spans="1:3" x14ac:dyDescent="0.2">
      <c r="A197" t="s">
        <v>571</v>
      </c>
      <c r="B197" t="s">
        <v>72</v>
      </c>
      <c r="C197" t="s">
        <v>527</v>
      </c>
    </row>
    <row r="198" spans="1:3" x14ac:dyDescent="0.2">
      <c r="A198" t="s">
        <v>571</v>
      </c>
      <c r="B198" t="s">
        <v>22</v>
      </c>
      <c r="C198" t="s">
        <v>34</v>
      </c>
    </row>
    <row r="199" spans="1:3" x14ac:dyDescent="0.2">
      <c r="A199" t="s">
        <v>571</v>
      </c>
      <c r="B199" t="s">
        <v>23</v>
      </c>
      <c r="C199" t="s">
        <v>34</v>
      </c>
    </row>
    <row r="200" spans="1:3" x14ac:dyDescent="0.2">
      <c r="A200" t="s">
        <v>571</v>
      </c>
      <c r="B200" t="s">
        <v>24</v>
      </c>
      <c r="C200" t="s">
        <v>34</v>
      </c>
    </row>
    <row r="201" spans="1:3" x14ac:dyDescent="0.2">
      <c r="A201" t="s">
        <v>567</v>
      </c>
      <c r="B201" t="s">
        <v>437</v>
      </c>
      <c r="C201" t="s">
        <v>527</v>
      </c>
    </row>
    <row r="202" spans="1:3" x14ac:dyDescent="0.2">
      <c r="A202" t="s">
        <v>567</v>
      </c>
      <c r="B202" t="s">
        <v>76</v>
      </c>
      <c r="C202" t="s">
        <v>34</v>
      </c>
    </row>
    <row r="203" spans="1:3" x14ac:dyDescent="0.2">
      <c r="A203" t="s">
        <v>568</v>
      </c>
      <c r="B203" t="s">
        <v>437</v>
      </c>
      <c r="C203" t="s">
        <v>527</v>
      </c>
    </row>
    <row r="204" spans="1:3" x14ac:dyDescent="0.2">
      <c r="A204" t="s">
        <v>568</v>
      </c>
      <c r="B204" t="s">
        <v>76</v>
      </c>
      <c r="C204" t="s">
        <v>527</v>
      </c>
    </row>
    <row r="205" spans="1:3" x14ac:dyDescent="0.2">
      <c r="A205" t="s">
        <v>568</v>
      </c>
      <c r="B205" t="s">
        <v>80</v>
      </c>
      <c r="C205" t="s">
        <v>444</v>
      </c>
    </row>
    <row r="206" spans="1:3" x14ac:dyDescent="0.2">
      <c r="A206" t="s">
        <v>568</v>
      </c>
      <c r="B206" t="s">
        <v>79</v>
      </c>
      <c r="C206" t="s">
        <v>527</v>
      </c>
    </row>
    <row r="207" spans="1:3" x14ac:dyDescent="0.2">
      <c r="A207" t="s">
        <v>568</v>
      </c>
      <c r="B207" t="s">
        <v>457</v>
      </c>
      <c r="C207" t="s">
        <v>444</v>
      </c>
    </row>
    <row r="208" spans="1:3" x14ac:dyDescent="0.2">
      <c r="A208" t="s">
        <v>568</v>
      </c>
      <c r="B208" t="s">
        <v>70</v>
      </c>
      <c r="C208" t="s">
        <v>527</v>
      </c>
    </row>
    <row r="209" spans="1:3" x14ac:dyDescent="0.2">
      <c r="A209" t="s">
        <v>568</v>
      </c>
      <c r="B209" t="s">
        <v>74</v>
      </c>
      <c r="C209" t="s">
        <v>444</v>
      </c>
    </row>
    <row r="210" spans="1:3" x14ac:dyDescent="0.2">
      <c r="A210" t="s">
        <v>568</v>
      </c>
      <c r="B210" t="s">
        <v>75</v>
      </c>
      <c r="C210" t="s">
        <v>527</v>
      </c>
    </row>
    <row r="211" spans="1:3" x14ac:dyDescent="0.2">
      <c r="A211" t="s">
        <v>568</v>
      </c>
      <c r="B211" t="s">
        <v>77</v>
      </c>
      <c r="C211" t="s">
        <v>527</v>
      </c>
    </row>
    <row r="212" spans="1:3" x14ac:dyDescent="0.2">
      <c r="A212" t="s">
        <v>568</v>
      </c>
      <c r="B212" t="s">
        <v>28</v>
      </c>
      <c r="C212" t="s">
        <v>444</v>
      </c>
    </row>
    <row r="213" spans="1:3" x14ac:dyDescent="0.2">
      <c r="A213" t="s">
        <v>568</v>
      </c>
      <c r="B213" t="s">
        <v>57</v>
      </c>
      <c r="C213" t="s">
        <v>444</v>
      </c>
    </row>
    <row r="214" spans="1:3" x14ac:dyDescent="0.2">
      <c r="A214" t="s">
        <v>568</v>
      </c>
      <c r="B214" t="s">
        <v>461</v>
      </c>
      <c r="C214" t="s">
        <v>34</v>
      </c>
    </row>
    <row r="215" spans="1:3" x14ac:dyDescent="0.2">
      <c r="A215" t="s">
        <v>568</v>
      </c>
      <c r="B215" t="s">
        <v>472</v>
      </c>
      <c r="C215" t="s">
        <v>527</v>
      </c>
    </row>
    <row r="216" spans="1:3" x14ac:dyDescent="0.2">
      <c r="A216" t="s">
        <v>568</v>
      </c>
      <c r="B216" t="s">
        <v>89</v>
      </c>
      <c r="C216" t="s">
        <v>527</v>
      </c>
    </row>
    <row r="217" spans="1:3" x14ac:dyDescent="0.2">
      <c r="A217" t="s">
        <v>568</v>
      </c>
      <c r="B217" t="s">
        <v>84</v>
      </c>
      <c r="C217" t="s">
        <v>527</v>
      </c>
    </row>
    <row r="218" spans="1:3" x14ac:dyDescent="0.2">
      <c r="A218" t="s">
        <v>568</v>
      </c>
      <c r="B218" t="s">
        <v>86</v>
      </c>
      <c r="C218" t="s">
        <v>527</v>
      </c>
    </row>
    <row r="219" spans="1:3" x14ac:dyDescent="0.2">
      <c r="A219" t="s">
        <v>568</v>
      </c>
      <c r="B219" t="s">
        <v>82</v>
      </c>
      <c r="C219" t="s">
        <v>527</v>
      </c>
    </row>
    <row r="220" spans="1:3" x14ac:dyDescent="0.2">
      <c r="A220" t="s">
        <v>568</v>
      </c>
      <c r="B220" t="s">
        <v>85</v>
      </c>
      <c r="C220" t="s">
        <v>527</v>
      </c>
    </row>
    <row r="221" spans="1:3" x14ac:dyDescent="0.2">
      <c r="A221" t="s">
        <v>568</v>
      </c>
      <c r="B221" t="s">
        <v>88</v>
      </c>
      <c r="C221" t="s">
        <v>527</v>
      </c>
    </row>
    <row r="222" spans="1:3" x14ac:dyDescent="0.2">
      <c r="A222" t="s">
        <v>568</v>
      </c>
      <c r="B222" t="s">
        <v>83</v>
      </c>
      <c r="C222" t="s">
        <v>527</v>
      </c>
    </row>
    <row r="223" spans="1:3" x14ac:dyDescent="0.2">
      <c r="A223" t="s">
        <v>568</v>
      </c>
      <c r="B223" t="s">
        <v>87</v>
      </c>
      <c r="C223" t="s">
        <v>527</v>
      </c>
    </row>
    <row r="224" spans="1:3" x14ac:dyDescent="0.2">
      <c r="A224" t="s">
        <v>568</v>
      </c>
      <c r="B224" t="s">
        <v>78</v>
      </c>
      <c r="C224" t="s">
        <v>119</v>
      </c>
    </row>
    <row r="225" spans="1:4" x14ac:dyDescent="0.2">
      <c r="A225" t="s">
        <v>568</v>
      </c>
      <c r="B225" t="s">
        <v>29</v>
      </c>
      <c r="C225" t="s">
        <v>444</v>
      </c>
    </row>
    <row r="226" spans="1:4" x14ac:dyDescent="0.2">
      <c r="A226" t="s">
        <v>568</v>
      </c>
      <c r="B226" t="s">
        <v>58</v>
      </c>
      <c r="C226" t="s">
        <v>444</v>
      </c>
    </row>
    <row r="227" spans="1:4" x14ac:dyDescent="0.2">
      <c r="A227" t="s">
        <v>568</v>
      </c>
      <c r="B227" t="s">
        <v>27</v>
      </c>
      <c r="C227" t="s">
        <v>444</v>
      </c>
    </row>
    <row r="228" spans="1:4" x14ac:dyDescent="0.2">
      <c r="A228" t="s">
        <v>568</v>
      </c>
      <c r="B228" t="s">
        <v>56</v>
      </c>
      <c r="C228" t="s">
        <v>444</v>
      </c>
    </row>
    <row r="229" spans="1:4" x14ac:dyDescent="0.2">
      <c r="A229" t="s">
        <v>568</v>
      </c>
      <c r="B229" t="s">
        <v>69</v>
      </c>
      <c r="C229" t="s">
        <v>527</v>
      </c>
    </row>
    <row r="230" spans="1:4" x14ac:dyDescent="0.2">
      <c r="A230" t="s">
        <v>568</v>
      </c>
      <c r="B230" t="s">
        <v>438</v>
      </c>
      <c r="C230" t="s">
        <v>527</v>
      </c>
    </row>
    <row r="231" spans="1:4" x14ac:dyDescent="0.2">
      <c r="A231" t="s">
        <v>568</v>
      </c>
      <c r="B231" t="s">
        <v>25</v>
      </c>
      <c r="C231" t="s">
        <v>527</v>
      </c>
    </row>
    <row r="232" spans="1:4" x14ac:dyDescent="0.2">
      <c r="A232" t="s">
        <v>568</v>
      </c>
      <c r="B232" t="s">
        <v>556</v>
      </c>
      <c r="C232" t="s">
        <v>527</v>
      </c>
    </row>
    <row r="233" spans="1:4" x14ac:dyDescent="0.2">
      <c r="A233" t="s">
        <v>568</v>
      </c>
      <c r="B233" t="s">
        <v>81</v>
      </c>
      <c r="C233" t="s">
        <v>527</v>
      </c>
    </row>
    <row r="234" spans="1:4" x14ac:dyDescent="0.2">
      <c r="A234" t="s">
        <v>568</v>
      </c>
      <c r="B234" t="s">
        <v>55</v>
      </c>
      <c r="C234" t="s">
        <v>527</v>
      </c>
    </row>
    <row r="235" spans="1:4" x14ac:dyDescent="0.2">
      <c r="A235" t="s">
        <v>568</v>
      </c>
      <c r="B235" t="s">
        <v>68</v>
      </c>
      <c r="C235" t="s">
        <v>527</v>
      </c>
    </row>
    <row r="236" spans="1:4" x14ac:dyDescent="0.2">
      <c r="A236" t="s">
        <v>568</v>
      </c>
      <c r="B236" t="s">
        <v>26</v>
      </c>
      <c r="C236" t="s">
        <v>34</v>
      </c>
    </row>
    <row r="237" spans="1:4" x14ac:dyDescent="0.2">
      <c r="A237" t="s">
        <v>568</v>
      </c>
      <c r="B237" t="s">
        <v>71</v>
      </c>
      <c r="C237" t="s">
        <v>527</v>
      </c>
    </row>
    <row r="238" spans="1:4" x14ac:dyDescent="0.2">
      <c r="A238" t="s">
        <v>568</v>
      </c>
      <c r="B238" t="s">
        <v>73</v>
      </c>
      <c r="C238" t="s">
        <v>34</v>
      </c>
    </row>
    <row r="239" spans="1:4" x14ac:dyDescent="0.2">
      <c r="A239" t="s">
        <v>568</v>
      </c>
      <c r="B239" t="s">
        <v>72</v>
      </c>
      <c r="C239" t="s">
        <v>34</v>
      </c>
      <c r="D239" t="s">
        <v>34</v>
      </c>
    </row>
    <row r="240" spans="1:4" x14ac:dyDescent="0.2">
      <c r="A240" t="s">
        <v>568</v>
      </c>
      <c r="B240" t="s">
        <v>22</v>
      </c>
      <c r="C240" t="s">
        <v>34</v>
      </c>
      <c r="D240" t="s">
        <v>444</v>
      </c>
    </row>
    <row r="241" spans="1:4" x14ac:dyDescent="0.2">
      <c r="A241" t="s">
        <v>568</v>
      </c>
      <c r="B241" t="s">
        <v>23</v>
      </c>
      <c r="C241" t="s">
        <v>34</v>
      </c>
      <c r="D241" t="s">
        <v>119</v>
      </c>
    </row>
    <row r="242" spans="1:4" x14ac:dyDescent="0.2">
      <c r="A242" t="s">
        <v>568</v>
      </c>
      <c r="B242" t="s">
        <v>24</v>
      </c>
      <c r="C242" t="s">
        <v>34</v>
      </c>
      <c r="D242" t="s">
        <v>122</v>
      </c>
    </row>
    <row r="243" spans="1:4" x14ac:dyDescent="0.2">
      <c r="A243" t="s">
        <v>568</v>
      </c>
      <c r="B243" t="s">
        <v>545</v>
      </c>
      <c r="C243" t="s">
        <v>444</v>
      </c>
      <c r="D243" t="s">
        <v>124</v>
      </c>
    </row>
    <row r="244" spans="1:4" x14ac:dyDescent="0.2">
      <c r="A244" t="s">
        <v>540</v>
      </c>
      <c r="B244" t="s">
        <v>89</v>
      </c>
      <c r="C244" t="s">
        <v>124</v>
      </c>
      <c r="D244" t="s">
        <v>123</v>
      </c>
    </row>
    <row r="245" spans="1:4" x14ac:dyDescent="0.2">
      <c r="A245" t="s">
        <v>576</v>
      </c>
      <c r="B245" t="s">
        <v>89</v>
      </c>
      <c r="C245" t="s">
        <v>124</v>
      </c>
      <c r="D245" t="s">
        <v>527</v>
      </c>
    </row>
    <row r="246" spans="1:4" x14ac:dyDescent="0.2">
      <c r="A246" t="s">
        <v>539</v>
      </c>
      <c r="B246" t="s">
        <v>89</v>
      </c>
      <c r="C246" t="s">
        <v>124</v>
      </c>
    </row>
    <row r="247" spans="1:4" x14ac:dyDescent="0.2">
      <c r="A247" t="s">
        <v>541</v>
      </c>
      <c r="B247" t="s">
        <v>89</v>
      </c>
      <c r="C247" t="s">
        <v>124</v>
      </c>
    </row>
    <row r="248" spans="1:4" x14ac:dyDescent="0.2">
      <c r="A248" t="s">
        <v>471</v>
      </c>
      <c r="B248" t="s">
        <v>437</v>
      </c>
      <c r="C248" t="s">
        <v>527</v>
      </c>
    </row>
    <row r="249" spans="1:4" x14ac:dyDescent="0.2">
      <c r="A249" t="s">
        <v>471</v>
      </c>
      <c r="B249" t="s">
        <v>76</v>
      </c>
      <c r="C249" t="s">
        <v>527</v>
      </c>
    </row>
    <row r="250" spans="1:4" x14ac:dyDescent="0.2">
      <c r="A250" t="s">
        <v>471</v>
      </c>
      <c r="B250" t="s">
        <v>80</v>
      </c>
      <c r="C250" t="s">
        <v>444</v>
      </c>
    </row>
    <row r="251" spans="1:4" x14ac:dyDescent="0.2">
      <c r="A251" t="s">
        <v>471</v>
      </c>
      <c r="B251" t="s">
        <v>79</v>
      </c>
      <c r="C251" t="s">
        <v>527</v>
      </c>
    </row>
    <row r="252" spans="1:4" x14ac:dyDescent="0.2">
      <c r="A252" t="s">
        <v>471</v>
      </c>
      <c r="B252" t="s">
        <v>457</v>
      </c>
      <c r="C252" t="s">
        <v>444</v>
      </c>
    </row>
    <row r="253" spans="1:4" x14ac:dyDescent="0.2">
      <c r="A253" t="s">
        <v>471</v>
      </c>
      <c r="B253" t="s">
        <v>70</v>
      </c>
      <c r="C253" t="s">
        <v>527</v>
      </c>
    </row>
    <row r="254" spans="1:4" x14ac:dyDescent="0.2">
      <c r="A254" t="s">
        <v>471</v>
      </c>
      <c r="B254" t="s">
        <v>74</v>
      </c>
      <c r="C254" t="s">
        <v>444</v>
      </c>
    </row>
    <row r="255" spans="1:4" x14ac:dyDescent="0.2">
      <c r="A255" t="s">
        <v>471</v>
      </c>
      <c r="B255" t="s">
        <v>75</v>
      </c>
      <c r="C255" t="s">
        <v>527</v>
      </c>
    </row>
    <row r="256" spans="1:4" x14ac:dyDescent="0.2">
      <c r="A256" t="s">
        <v>471</v>
      </c>
      <c r="B256" t="s">
        <v>77</v>
      </c>
      <c r="C256" t="s">
        <v>527</v>
      </c>
    </row>
    <row r="257" spans="1:3" x14ac:dyDescent="0.2">
      <c r="A257" t="s">
        <v>471</v>
      </c>
      <c r="B257" t="s">
        <v>28</v>
      </c>
      <c r="C257" t="s">
        <v>444</v>
      </c>
    </row>
    <row r="258" spans="1:3" x14ac:dyDescent="0.2">
      <c r="A258" t="s">
        <v>471</v>
      </c>
      <c r="B258" t="s">
        <v>57</v>
      </c>
      <c r="C258" t="s">
        <v>444</v>
      </c>
    </row>
    <row r="259" spans="1:3" x14ac:dyDescent="0.2">
      <c r="A259" t="s">
        <v>471</v>
      </c>
      <c r="B259" t="s">
        <v>461</v>
      </c>
      <c r="C259" t="s">
        <v>34</v>
      </c>
    </row>
    <row r="260" spans="1:3" x14ac:dyDescent="0.2">
      <c r="A260" t="s">
        <v>471</v>
      </c>
      <c r="B260" t="s">
        <v>472</v>
      </c>
      <c r="C260" t="s">
        <v>527</v>
      </c>
    </row>
    <row r="261" spans="1:3" ht="15.75" customHeight="1" x14ac:dyDescent="0.2">
      <c r="A261" t="s">
        <v>471</v>
      </c>
      <c r="B261" t="s">
        <v>89</v>
      </c>
      <c r="C261" t="s">
        <v>527</v>
      </c>
    </row>
    <row r="262" spans="1:3" x14ac:dyDescent="0.2">
      <c r="A262" t="s">
        <v>471</v>
      </c>
      <c r="B262" t="s">
        <v>84</v>
      </c>
      <c r="C262" t="s">
        <v>527</v>
      </c>
    </row>
    <row r="263" spans="1:3" x14ac:dyDescent="0.2">
      <c r="A263" t="s">
        <v>471</v>
      </c>
      <c r="B263" t="s">
        <v>86</v>
      </c>
      <c r="C263" t="s">
        <v>527</v>
      </c>
    </row>
    <row r="264" spans="1:3" x14ac:dyDescent="0.2">
      <c r="A264" t="s">
        <v>471</v>
      </c>
      <c r="B264" t="s">
        <v>82</v>
      </c>
      <c r="C264" t="s">
        <v>527</v>
      </c>
    </row>
    <row r="265" spans="1:3" x14ac:dyDescent="0.2">
      <c r="A265" t="s">
        <v>471</v>
      </c>
      <c r="B265" t="s">
        <v>85</v>
      </c>
      <c r="C265" t="s">
        <v>527</v>
      </c>
    </row>
    <row r="266" spans="1:3" x14ac:dyDescent="0.2">
      <c r="A266" t="s">
        <v>471</v>
      </c>
      <c r="B266" t="s">
        <v>88</v>
      </c>
      <c r="C266" t="s">
        <v>527</v>
      </c>
    </row>
    <row r="267" spans="1:3" x14ac:dyDescent="0.2">
      <c r="A267" t="s">
        <v>471</v>
      </c>
      <c r="B267" t="s">
        <v>83</v>
      </c>
      <c r="C267" t="s">
        <v>527</v>
      </c>
    </row>
    <row r="268" spans="1:3" x14ac:dyDescent="0.2">
      <c r="A268" t="s">
        <v>471</v>
      </c>
      <c r="B268" t="s">
        <v>87</v>
      </c>
      <c r="C268" t="s">
        <v>527</v>
      </c>
    </row>
    <row r="269" spans="1:3" x14ac:dyDescent="0.2">
      <c r="A269" t="s">
        <v>471</v>
      </c>
      <c r="B269" t="s">
        <v>78</v>
      </c>
      <c r="C269" t="s">
        <v>119</v>
      </c>
    </row>
    <row r="270" spans="1:3" x14ac:dyDescent="0.2">
      <c r="A270" t="s">
        <v>471</v>
      </c>
      <c r="B270" t="s">
        <v>29</v>
      </c>
      <c r="C270" t="s">
        <v>444</v>
      </c>
    </row>
    <row r="271" spans="1:3" x14ac:dyDescent="0.2">
      <c r="A271" t="s">
        <v>471</v>
      </c>
      <c r="B271" t="s">
        <v>58</v>
      </c>
      <c r="C271" t="s">
        <v>444</v>
      </c>
    </row>
    <row r="272" spans="1:3" x14ac:dyDescent="0.2">
      <c r="A272" t="s">
        <v>471</v>
      </c>
      <c r="B272" t="s">
        <v>27</v>
      </c>
      <c r="C272" t="s">
        <v>444</v>
      </c>
    </row>
    <row r="273" spans="1:3" x14ac:dyDescent="0.2">
      <c r="A273" t="s">
        <v>471</v>
      </c>
      <c r="B273" t="s">
        <v>56</v>
      </c>
      <c r="C273" t="s">
        <v>444</v>
      </c>
    </row>
    <row r="274" spans="1:3" x14ac:dyDescent="0.2">
      <c r="A274" t="s">
        <v>471</v>
      </c>
      <c r="B274" t="s">
        <v>69</v>
      </c>
      <c r="C274" t="s">
        <v>527</v>
      </c>
    </row>
    <row r="275" spans="1:3" x14ac:dyDescent="0.2">
      <c r="A275" t="s">
        <v>471</v>
      </c>
      <c r="B275" t="s">
        <v>438</v>
      </c>
      <c r="C275" t="s">
        <v>527</v>
      </c>
    </row>
    <row r="276" spans="1:3" x14ac:dyDescent="0.2">
      <c r="A276" t="s">
        <v>471</v>
      </c>
      <c r="B276" t="s">
        <v>25</v>
      </c>
      <c r="C276" t="s">
        <v>527</v>
      </c>
    </row>
    <row r="277" spans="1:3" x14ac:dyDescent="0.2">
      <c r="A277" t="s">
        <v>471</v>
      </c>
      <c r="B277" t="s">
        <v>556</v>
      </c>
      <c r="C277" t="s">
        <v>527</v>
      </c>
    </row>
    <row r="278" spans="1:3" x14ac:dyDescent="0.2">
      <c r="A278" t="s">
        <v>471</v>
      </c>
      <c r="B278" t="s">
        <v>81</v>
      </c>
      <c r="C278" t="s">
        <v>527</v>
      </c>
    </row>
    <row r="279" spans="1:3" x14ac:dyDescent="0.2">
      <c r="A279" t="s">
        <v>471</v>
      </c>
      <c r="B279" t="s">
        <v>55</v>
      </c>
      <c r="C279" t="s">
        <v>527</v>
      </c>
    </row>
    <row r="280" spans="1:3" x14ac:dyDescent="0.2">
      <c r="A280" t="s">
        <v>471</v>
      </c>
      <c r="B280" t="s">
        <v>68</v>
      </c>
      <c r="C280" t="s">
        <v>527</v>
      </c>
    </row>
    <row r="281" spans="1:3" x14ac:dyDescent="0.2">
      <c r="A281" t="s">
        <v>471</v>
      </c>
      <c r="B281" t="s">
        <v>26</v>
      </c>
      <c r="C281" t="s">
        <v>34</v>
      </c>
    </row>
    <row r="282" spans="1:3" x14ac:dyDescent="0.2">
      <c r="A282" t="s">
        <v>471</v>
      </c>
      <c r="B282" t="s">
        <v>71</v>
      </c>
      <c r="C282" t="s">
        <v>527</v>
      </c>
    </row>
    <row r="283" spans="1:3" x14ac:dyDescent="0.2">
      <c r="A283" t="s">
        <v>471</v>
      </c>
      <c r="B283" t="s">
        <v>73</v>
      </c>
      <c r="C283" t="s">
        <v>34</v>
      </c>
    </row>
    <row r="284" spans="1:3" x14ac:dyDescent="0.2">
      <c r="A284" t="s">
        <v>471</v>
      </c>
      <c r="B284" t="s">
        <v>72</v>
      </c>
      <c r="C284" t="s">
        <v>34</v>
      </c>
    </row>
    <row r="285" spans="1:3" x14ac:dyDescent="0.2">
      <c r="A285" t="s">
        <v>471</v>
      </c>
      <c r="B285" t="s">
        <v>22</v>
      </c>
      <c r="C285" t="s">
        <v>34</v>
      </c>
    </row>
    <row r="286" spans="1:3" x14ac:dyDescent="0.2">
      <c r="A286" t="s">
        <v>471</v>
      </c>
      <c r="B286" t="s">
        <v>23</v>
      </c>
      <c r="C286" t="s">
        <v>34</v>
      </c>
    </row>
    <row r="287" spans="1:3" x14ac:dyDescent="0.2">
      <c r="A287" t="s">
        <v>471</v>
      </c>
      <c r="B287" t="s">
        <v>24</v>
      </c>
      <c r="C287" t="s">
        <v>34</v>
      </c>
    </row>
    <row r="288" spans="1:3" x14ac:dyDescent="0.2">
      <c r="A288" t="s">
        <v>21</v>
      </c>
      <c r="B288" t="s">
        <v>437</v>
      </c>
      <c r="C288" t="s">
        <v>527</v>
      </c>
    </row>
    <row r="289" spans="1:3" x14ac:dyDescent="0.2">
      <c r="A289" t="s">
        <v>21</v>
      </c>
      <c r="B289" t="s">
        <v>76</v>
      </c>
      <c r="C289" t="s">
        <v>34</v>
      </c>
    </row>
    <row r="290" spans="1:3" x14ac:dyDescent="0.2">
      <c r="A290" t="s">
        <v>21</v>
      </c>
      <c r="B290" t="s">
        <v>80</v>
      </c>
      <c r="C290" t="s">
        <v>527</v>
      </c>
    </row>
    <row r="291" spans="1:3" x14ac:dyDescent="0.2">
      <c r="A291" t="s">
        <v>21</v>
      </c>
      <c r="B291" t="s">
        <v>79</v>
      </c>
      <c r="C291" t="s">
        <v>527</v>
      </c>
    </row>
    <row r="292" spans="1:3" x14ac:dyDescent="0.2">
      <c r="A292" t="s">
        <v>21</v>
      </c>
      <c r="B292" t="s">
        <v>457</v>
      </c>
      <c r="C292" t="s">
        <v>34</v>
      </c>
    </row>
    <row r="293" spans="1:3" x14ac:dyDescent="0.2">
      <c r="A293" t="s">
        <v>21</v>
      </c>
      <c r="B293" t="s">
        <v>70</v>
      </c>
      <c r="C293" t="s">
        <v>527</v>
      </c>
    </row>
    <row r="294" spans="1:3" x14ac:dyDescent="0.2">
      <c r="A294" t="s">
        <v>21</v>
      </c>
      <c r="B294" t="s">
        <v>74</v>
      </c>
      <c r="C294" t="s">
        <v>34</v>
      </c>
    </row>
    <row r="295" spans="1:3" x14ac:dyDescent="0.2">
      <c r="A295" t="s">
        <v>21</v>
      </c>
      <c r="B295" t="s">
        <v>75</v>
      </c>
      <c r="C295" t="s">
        <v>527</v>
      </c>
    </row>
    <row r="296" spans="1:3" x14ac:dyDescent="0.2">
      <c r="A296" t="s">
        <v>21</v>
      </c>
      <c r="B296" t="s">
        <v>77</v>
      </c>
      <c r="C296" t="s">
        <v>527</v>
      </c>
    </row>
    <row r="297" spans="1:3" x14ac:dyDescent="0.2">
      <c r="A297" t="s">
        <v>21</v>
      </c>
      <c r="B297" t="s">
        <v>28</v>
      </c>
      <c r="C297" t="s">
        <v>444</v>
      </c>
    </row>
    <row r="298" spans="1:3" x14ac:dyDescent="0.2">
      <c r="A298" t="s">
        <v>21</v>
      </c>
      <c r="B298" t="s">
        <v>57</v>
      </c>
      <c r="C298" t="s">
        <v>444</v>
      </c>
    </row>
    <row r="299" spans="1:3" x14ac:dyDescent="0.2">
      <c r="A299" t="s">
        <v>21</v>
      </c>
      <c r="B299" t="s">
        <v>461</v>
      </c>
      <c r="C299" t="s">
        <v>34</v>
      </c>
    </row>
    <row r="300" spans="1:3" x14ac:dyDescent="0.2">
      <c r="A300" t="s">
        <v>21</v>
      </c>
      <c r="B300" t="s">
        <v>472</v>
      </c>
      <c r="C300" t="s">
        <v>527</v>
      </c>
    </row>
    <row r="301" spans="1:3" x14ac:dyDescent="0.2">
      <c r="A301" t="s">
        <v>21</v>
      </c>
      <c r="B301" t="s">
        <v>89</v>
      </c>
      <c r="C301" t="s">
        <v>527</v>
      </c>
    </row>
    <row r="302" spans="1:3" x14ac:dyDescent="0.2">
      <c r="A302" t="s">
        <v>21</v>
      </c>
      <c r="B302" t="s">
        <v>84</v>
      </c>
      <c r="C302" t="s">
        <v>527</v>
      </c>
    </row>
    <row r="303" spans="1:3" x14ac:dyDescent="0.2">
      <c r="A303" t="s">
        <v>21</v>
      </c>
      <c r="B303" t="s">
        <v>86</v>
      </c>
      <c r="C303" t="s">
        <v>527</v>
      </c>
    </row>
    <row r="304" spans="1:3" x14ac:dyDescent="0.2">
      <c r="A304" t="s">
        <v>21</v>
      </c>
      <c r="B304" t="s">
        <v>82</v>
      </c>
      <c r="C304" t="s">
        <v>527</v>
      </c>
    </row>
    <row r="305" spans="1:3" x14ac:dyDescent="0.2">
      <c r="A305" t="s">
        <v>21</v>
      </c>
      <c r="B305" t="s">
        <v>85</v>
      </c>
      <c r="C305" t="s">
        <v>527</v>
      </c>
    </row>
    <row r="306" spans="1:3" x14ac:dyDescent="0.2">
      <c r="A306" t="s">
        <v>21</v>
      </c>
      <c r="B306" t="s">
        <v>88</v>
      </c>
      <c r="C306" t="s">
        <v>527</v>
      </c>
    </row>
    <row r="307" spans="1:3" x14ac:dyDescent="0.2">
      <c r="A307" t="s">
        <v>21</v>
      </c>
      <c r="B307" t="s">
        <v>83</v>
      </c>
      <c r="C307" t="s">
        <v>527</v>
      </c>
    </row>
    <row r="308" spans="1:3" x14ac:dyDescent="0.2">
      <c r="A308" t="s">
        <v>21</v>
      </c>
      <c r="B308" t="s">
        <v>87</v>
      </c>
      <c r="C308" t="s">
        <v>527</v>
      </c>
    </row>
    <row r="309" spans="1:3" x14ac:dyDescent="0.2">
      <c r="A309" t="s">
        <v>21</v>
      </c>
      <c r="B309" t="s">
        <v>78</v>
      </c>
      <c r="C309" s="70" t="s">
        <v>527</v>
      </c>
    </row>
    <row r="310" spans="1:3" x14ac:dyDescent="0.2">
      <c r="A310" t="s">
        <v>21</v>
      </c>
      <c r="B310" t="s">
        <v>29</v>
      </c>
      <c r="C310" t="s">
        <v>444</v>
      </c>
    </row>
    <row r="311" spans="1:3" x14ac:dyDescent="0.2">
      <c r="A311" t="s">
        <v>21</v>
      </c>
      <c r="B311" t="s">
        <v>58</v>
      </c>
      <c r="C311" t="s">
        <v>444</v>
      </c>
    </row>
    <row r="312" spans="1:3" x14ac:dyDescent="0.2">
      <c r="A312" t="s">
        <v>21</v>
      </c>
      <c r="B312" t="s">
        <v>27</v>
      </c>
      <c r="C312" t="s">
        <v>444</v>
      </c>
    </row>
    <row r="313" spans="1:3" x14ac:dyDescent="0.2">
      <c r="A313" t="s">
        <v>21</v>
      </c>
      <c r="B313" t="s">
        <v>27</v>
      </c>
      <c r="C313" t="s">
        <v>444</v>
      </c>
    </row>
    <row r="314" spans="1:3" x14ac:dyDescent="0.2">
      <c r="A314" t="s">
        <v>21</v>
      </c>
      <c r="B314" t="s">
        <v>56</v>
      </c>
      <c r="C314" t="s">
        <v>444</v>
      </c>
    </row>
    <row r="315" spans="1:3" x14ac:dyDescent="0.2">
      <c r="A315" t="s">
        <v>21</v>
      </c>
      <c r="B315" t="s">
        <v>69</v>
      </c>
      <c r="C315" t="s">
        <v>527</v>
      </c>
    </row>
    <row r="316" spans="1:3" x14ac:dyDescent="0.2">
      <c r="A316" t="s">
        <v>21</v>
      </c>
      <c r="B316" t="s">
        <v>438</v>
      </c>
      <c r="C316" t="s">
        <v>527</v>
      </c>
    </row>
    <row r="317" spans="1:3" x14ac:dyDescent="0.2">
      <c r="A317" t="s">
        <v>21</v>
      </c>
      <c r="B317" t="s">
        <v>25</v>
      </c>
      <c r="C317" t="s">
        <v>527</v>
      </c>
    </row>
    <row r="318" spans="1:3" x14ac:dyDescent="0.2">
      <c r="A318" t="s">
        <v>21</v>
      </c>
      <c r="B318" t="s">
        <v>556</v>
      </c>
      <c r="C318" t="s">
        <v>527</v>
      </c>
    </row>
    <row r="319" spans="1:3" x14ac:dyDescent="0.2">
      <c r="A319" t="s">
        <v>21</v>
      </c>
      <c r="B319" t="s">
        <v>81</v>
      </c>
      <c r="C319" t="s">
        <v>527</v>
      </c>
    </row>
    <row r="320" spans="1:3" x14ac:dyDescent="0.2">
      <c r="A320" t="s">
        <v>21</v>
      </c>
      <c r="B320" t="s">
        <v>55</v>
      </c>
      <c r="C320" t="s">
        <v>527</v>
      </c>
    </row>
    <row r="321" spans="1:3" x14ac:dyDescent="0.2">
      <c r="A321" t="s">
        <v>21</v>
      </c>
      <c r="B321" t="s">
        <v>68</v>
      </c>
      <c r="C321" t="s">
        <v>527</v>
      </c>
    </row>
    <row r="322" spans="1:3" x14ac:dyDescent="0.2">
      <c r="A322" t="s">
        <v>21</v>
      </c>
      <c r="B322" t="s">
        <v>26</v>
      </c>
      <c r="C322" t="s">
        <v>34</v>
      </c>
    </row>
    <row r="323" spans="1:3" x14ac:dyDescent="0.2">
      <c r="A323" t="s">
        <v>21</v>
      </c>
      <c r="B323" t="s">
        <v>71</v>
      </c>
      <c r="C323" t="s">
        <v>527</v>
      </c>
    </row>
    <row r="324" spans="1:3" x14ac:dyDescent="0.2">
      <c r="A324" t="s">
        <v>21</v>
      </c>
      <c r="B324" t="s">
        <v>73</v>
      </c>
      <c r="C324" t="s">
        <v>527</v>
      </c>
    </row>
    <row r="325" spans="1:3" x14ac:dyDescent="0.2">
      <c r="A325" t="s">
        <v>21</v>
      </c>
      <c r="B325" t="s">
        <v>72</v>
      </c>
      <c r="C325" t="s">
        <v>527</v>
      </c>
    </row>
    <row r="326" spans="1:3" x14ac:dyDescent="0.2">
      <c r="A326" t="s">
        <v>21</v>
      </c>
      <c r="B326" t="s">
        <v>22</v>
      </c>
      <c r="C326" t="s">
        <v>34</v>
      </c>
    </row>
    <row r="327" spans="1:3" x14ac:dyDescent="0.2">
      <c r="A327" t="s">
        <v>21</v>
      </c>
      <c r="B327" t="s">
        <v>23</v>
      </c>
      <c r="C327" t="s">
        <v>34</v>
      </c>
    </row>
    <row r="328" spans="1:3" x14ac:dyDescent="0.2">
      <c r="A328" t="s">
        <v>21</v>
      </c>
      <c r="B328" t="s">
        <v>24</v>
      </c>
      <c r="C328" t="s">
        <v>34</v>
      </c>
    </row>
    <row r="329" spans="1:3" x14ac:dyDescent="0.2">
      <c r="A329" t="s">
        <v>17</v>
      </c>
      <c r="B329" t="s">
        <v>437</v>
      </c>
      <c r="C329" t="s">
        <v>34</v>
      </c>
    </row>
    <row r="330" spans="1:3" x14ac:dyDescent="0.2">
      <c r="A330" t="s">
        <v>17</v>
      </c>
      <c r="B330" t="s">
        <v>76</v>
      </c>
      <c r="C330" t="s">
        <v>34</v>
      </c>
    </row>
    <row r="331" spans="1:3" x14ac:dyDescent="0.2">
      <c r="A331" t="s">
        <v>17</v>
      </c>
      <c r="B331" t="s">
        <v>80</v>
      </c>
      <c r="C331" t="s">
        <v>119</v>
      </c>
    </row>
    <row r="332" spans="1:3" x14ac:dyDescent="0.2">
      <c r="A332" t="s">
        <v>17</v>
      </c>
      <c r="B332" t="s">
        <v>79</v>
      </c>
      <c r="C332" t="s">
        <v>34</v>
      </c>
    </row>
    <row r="333" spans="1:3" x14ac:dyDescent="0.2">
      <c r="A333" t="s">
        <v>17</v>
      </c>
      <c r="B333" t="s">
        <v>457</v>
      </c>
      <c r="C333" t="s">
        <v>34</v>
      </c>
    </row>
    <row r="334" spans="1:3" x14ac:dyDescent="0.2">
      <c r="A334" t="s">
        <v>17</v>
      </c>
      <c r="B334" t="s">
        <v>70</v>
      </c>
      <c r="C334" t="s">
        <v>119</v>
      </c>
    </row>
    <row r="335" spans="1:3" x14ac:dyDescent="0.2">
      <c r="A335" t="s">
        <v>17</v>
      </c>
      <c r="B335" t="s">
        <v>74</v>
      </c>
      <c r="C335" t="s">
        <v>34</v>
      </c>
    </row>
    <row r="336" spans="1:3" x14ac:dyDescent="0.2">
      <c r="A336" t="s">
        <v>17</v>
      </c>
      <c r="B336" t="s">
        <v>75</v>
      </c>
      <c r="C336" t="s">
        <v>34</v>
      </c>
    </row>
    <row r="337" spans="1:3" x14ac:dyDescent="0.2">
      <c r="A337" t="s">
        <v>17</v>
      </c>
      <c r="B337" t="s">
        <v>77</v>
      </c>
      <c r="C337" t="s">
        <v>34</v>
      </c>
    </row>
    <row r="338" spans="1:3" x14ac:dyDescent="0.2">
      <c r="A338" t="s">
        <v>17</v>
      </c>
      <c r="B338" t="s">
        <v>28</v>
      </c>
      <c r="C338" t="s">
        <v>444</v>
      </c>
    </row>
    <row r="339" spans="1:3" x14ac:dyDescent="0.2">
      <c r="A339" t="s">
        <v>17</v>
      </c>
      <c r="B339" t="s">
        <v>57</v>
      </c>
      <c r="C339" t="s">
        <v>444</v>
      </c>
    </row>
    <row r="340" spans="1:3" x14ac:dyDescent="0.2">
      <c r="A340" t="s">
        <v>17</v>
      </c>
      <c r="B340" t="s">
        <v>461</v>
      </c>
      <c r="C340" t="s">
        <v>34</v>
      </c>
    </row>
    <row r="341" spans="1:3" x14ac:dyDescent="0.2">
      <c r="A341" t="s">
        <v>17</v>
      </c>
      <c r="B341" t="s">
        <v>472</v>
      </c>
      <c r="C341" t="s">
        <v>122</v>
      </c>
    </row>
    <row r="342" spans="1:3" x14ac:dyDescent="0.2">
      <c r="A342" t="s">
        <v>17</v>
      </c>
      <c r="B342" t="s">
        <v>89</v>
      </c>
      <c r="C342" t="s">
        <v>527</v>
      </c>
    </row>
    <row r="343" spans="1:3" x14ac:dyDescent="0.2">
      <c r="A343" t="s">
        <v>17</v>
      </c>
      <c r="B343" t="s">
        <v>84</v>
      </c>
      <c r="C343" t="s">
        <v>122</v>
      </c>
    </row>
    <row r="344" spans="1:3" x14ac:dyDescent="0.2">
      <c r="A344" t="s">
        <v>17</v>
      </c>
      <c r="B344" t="s">
        <v>86</v>
      </c>
      <c r="C344" t="s">
        <v>122</v>
      </c>
    </row>
    <row r="345" spans="1:3" x14ac:dyDescent="0.2">
      <c r="A345" t="s">
        <v>17</v>
      </c>
      <c r="B345" t="s">
        <v>82</v>
      </c>
      <c r="C345" t="s">
        <v>122</v>
      </c>
    </row>
    <row r="346" spans="1:3" x14ac:dyDescent="0.2">
      <c r="A346" t="s">
        <v>17</v>
      </c>
      <c r="B346" t="s">
        <v>85</v>
      </c>
      <c r="C346" t="s">
        <v>122</v>
      </c>
    </row>
    <row r="347" spans="1:3" x14ac:dyDescent="0.2">
      <c r="A347" t="s">
        <v>17</v>
      </c>
      <c r="B347" t="s">
        <v>88</v>
      </c>
      <c r="C347" t="s">
        <v>529</v>
      </c>
    </row>
    <row r="348" spans="1:3" x14ac:dyDescent="0.2">
      <c r="A348" t="s">
        <v>17</v>
      </c>
      <c r="B348" t="s">
        <v>83</v>
      </c>
      <c r="C348" t="s">
        <v>122</v>
      </c>
    </row>
    <row r="349" spans="1:3" x14ac:dyDescent="0.2">
      <c r="A349" t="s">
        <v>17</v>
      </c>
      <c r="B349" t="s">
        <v>87</v>
      </c>
      <c r="C349" t="s">
        <v>122</v>
      </c>
    </row>
    <row r="350" spans="1:3" x14ac:dyDescent="0.2">
      <c r="A350" t="s">
        <v>17</v>
      </c>
      <c r="B350" t="s">
        <v>78</v>
      </c>
      <c r="C350" t="s">
        <v>119</v>
      </c>
    </row>
    <row r="351" spans="1:3" x14ac:dyDescent="0.2">
      <c r="A351" t="s">
        <v>17</v>
      </c>
      <c r="B351" t="s">
        <v>29</v>
      </c>
      <c r="C351" t="s">
        <v>444</v>
      </c>
    </row>
    <row r="352" spans="1:3" x14ac:dyDescent="0.2">
      <c r="A352" t="s">
        <v>17</v>
      </c>
      <c r="B352" t="s">
        <v>58</v>
      </c>
      <c r="C352" t="s">
        <v>444</v>
      </c>
    </row>
    <row r="353" spans="1:3" x14ac:dyDescent="0.2">
      <c r="A353" t="s">
        <v>17</v>
      </c>
      <c r="B353" t="s">
        <v>27</v>
      </c>
      <c r="C353" t="s">
        <v>444</v>
      </c>
    </row>
    <row r="354" spans="1:3" x14ac:dyDescent="0.2">
      <c r="A354" t="s">
        <v>17</v>
      </c>
      <c r="B354" t="s">
        <v>56</v>
      </c>
      <c r="C354" t="s">
        <v>444</v>
      </c>
    </row>
    <row r="355" spans="1:3" x14ac:dyDescent="0.2">
      <c r="A355" t="s">
        <v>17</v>
      </c>
      <c r="B355" t="s">
        <v>69</v>
      </c>
      <c r="C355" t="s">
        <v>119</v>
      </c>
    </row>
    <row r="356" spans="1:3" x14ac:dyDescent="0.2">
      <c r="A356" t="s">
        <v>17</v>
      </c>
      <c r="B356" t="s">
        <v>438</v>
      </c>
      <c r="C356" t="s">
        <v>527</v>
      </c>
    </row>
    <row r="357" spans="1:3" x14ac:dyDescent="0.2">
      <c r="A357" t="s">
        <v>17</v>
      </c>
      <c r="B357" t="s">
        <v>25</v>
      </c>
      <c r="C357" t="s">
        <v>34</v>
      </c>
    </row>
    <row r="358" spans="1:3" x14ac:dyDescent="0.2">
      <c r="A358" t="s">
        <v>17</v>
      </c>
      <c r="B358" t="s">
        <v>556</v>
      </c>
      <c r="C358" s="70" t="s">
        <v>119</v>
      </c>
    </row>
    <row r="359" spans="1:3" x14ac:dyDescent="0.2">
      <c r="A359" t="s">
        <v>17</v>
      </c>
      <c r="B359" t="s">
        <v>81</v>
      </c>
      <c r="C359" t="s">
        <v>34</v>
      </c>
    </row>
    <row r="360" spans="1:3" x14ac:dyDescent="0.2">
      <c r="A360" t="s">
        <v>17</v>
      </c>
      <c r="B360" t="s">
        <v>55</v>
      </c>
      <c r="C360" t="s">
        <v>34</v>
      </c>
    </row>
    <row r="361" spans="1:3" x14ac:dyDescent="0.2">
      <c r="A361" t="s">
        <v>17</v>
      </c>
      <c r="B361" t="s">
        <v>68</v>
      </c>
      <c r="C361" t="s">
        <v>34</v>
      </c>
    </row>
    <row r="362" spans="1:3" x14ac:dyDescent="0.2">
      <c r="A362" t="s">
        <v>17</v>
      </c>
      <c r="B362" t="s">
        <v>26</v>
      </c>
      <c r="C362" t="s">
        <v>34</v>
      </c>
    </row>
    <row r="363" spans="1:3" x14ac:dyDescent="0.2">
      <c r="A363" t="s">
        <v>17</v>
      </c>
      <c r="B363" t="s">
        <v>71</v>
      </c>
      <c r="C363" t="s">
        <v>122</v>
      </c>
    </row>
    <row r="364" spans="1:3" x14ac:dyDescent="0.2">
      <c r="A364" t="s">
        <v>17</v>
      </c>
      <c r="B364" t="s">
        <v>73</v>
      </c>
      <c r="C364" t="s">
        <v>34</v>
      </c>
    </row>
    <row r="365" spans="1:3" x14ac:dyDescent="0.2">
      <c r="A365" t="s">
        <v>17</v>
      </c>
      <c r="B365" t="s">
        <v>72</v>
      </c>
      <c r="C365" t="s">
        <v>34</v>
      </c>
    </row>
    <row r="366" spans="1:3" x14ac:dyDescent="0.2">
      <c r="A366" t="s">
        <v>17</v>
      </c>
      <c r="B366" t="s">
        <v>22</v>
      </c>
      <c r="C366" t="s">
        <v>34</v>
      </c>
    </row>
    <row r="367" spans="1:3" x14ac:dyDescent="0.2">
      <c r="A367" t="s">
        <v>17</v>
      </c>
      <c r="B367" t="s">
        <v>23</v>
      </c>
      <c r="C367" t="s">
        <v>34</v>
      </c>
    </row>
    <row r="368" spans="1:3" x14ac:dyDescent="0.2">
      <c r="A368" t="s">
        <v>17</v>
      </c>
      <c r="B368" t="s">
        <v>24</v>
      </c>
      <c r="C368" t="s">
        <v>34</v>
      </c>
    </row>
    <row r="369" spans="1:3" x14ac:dyDescent="0.2">
      <c r="A369" t="s">
        <v>17</v>
      </c>
      <c r="B369" t="s">
        <v>563</v>
      </c>
      <c r="C369" t="s">
        <v>34</v>
      </c>
    </row>
    <row r="370" spans="1:3" x14ac:dyDescent="0.2">
      <c r="A370" t="s">
        <v>18</v>
      </c>
      <c r="B370" t="s">
        <v>437</v>
      </c>
      <c r="C370" t="s">
        <v>34</v>
      </c>
    </row>
    <row r="371" spans="1:3" x14ac:dyDescent="0.2">
      <c r="A371" t="s">
        <v>18</v>
      </c>
      <c r="B371" t="s">
        <v>76</v>
      </c>
      <c r="C371" t="s">
        <v>34</v>
      </c>
    </row>
    <row r="372" spans="1:3" x14ac:dyDescent="0.2">
      <c r="A372" t="s">
        <v>18</v>
      </c>
      <c r="B372" t="s">
        <v>80</v>
      </c>
      <c r="C372" t="s">
        <v>119</v>
      </c>
    </row>
    <row r="373" spans="1:3" x14ac:dyDescent="0.2">
      <c r="A373" t="s">
        <v>18</v>
      </c>
      <c r="B373" t="s">
        <v>79</v>
      </c>
      <c r="C373" t="s">
        <v>527</v>
      </c>
    </row>
    <row r="374" spans="1:3" x14ac:dyDescent="0.2">
      <c r="A374" t="s">
        <v>18</v>
      </c>
      <c r="B374" t="s">
        <v>457</v>
      </c>
      <c r="C374" t="s">
        <v>34</v>
      </c>
    </row>
    <row r="375" spans="1:3" x14ac:dyDescent="0.2">
      <c r="A375" t="s">
        <v>18</v>
      </c>
      <c r="B375" t="s">
        <v>70</v>
      </c>
      <c r="C375" t="s">
        <v>119</v>
      </c>
    </row>
    <row r="376" spans="1:3" x14ac:dyDescent="0.2">
      <c r="A376" t="s">
        <v>18</v>
      </c>
      <c r="B376" t="s">
        <v>74</v>
      </c>
      <c r="C376" t="s">
        <v>34</v>
      </c>
    </row>
    <row r="377" spans="1:3" x14ac:dyDescent="0.2">
      <c r="A377" t="s">
        <v>18</v>
      </c>
      <c r="B377" t="s">
        <v>75</v>
      </c>
      <c r="C377" t="s">
        <v>34</v>
      </c>
    </row>
    <row r="378" spans="1:3" x14ac:dyDescent="0.2">
      <c r="A378" t="s">
        <v>18</v>
      </c>
      <c r="B378" t="s">
        <v>77</v>
      </c>
      <c r="C378" t="s">
        <v>34</v>
      </c>
    </row>
    <row r="379" spans="1:3" x14ac:dyDescent="0.2">
      <c r="A379" t="s">
        <v>18</v>
      </c>
      <c r="B379" t="s">
        <v>28</v>
      </c>
      <c r="C379" t="s">
        <v>444</v>
      </c>
    </row>
    <row r="380" spans="1:3" x14ac:dyDescent="0.2">
      <c r="A380" t="s">
        <v>18</v>
      </c>
      <c r="B380" t="s">
        <v>57</v>
      </c>
      <c r="C380" t="s">
        <v>444</v>
      </c>
    </row>
    <row r="381" spans="1:3" x14ac:dyDescent="0.2">
      <c r="A381" t="s">
        <v>18</v>
      </c>
      <c r="B381" t="s">
        <v>461</v>
      </c>
      <c r="C381" t="s">
        <v>34</v>
      </c>
    </row>
    <row r="382" spans="1:3" x14ac:dyDescent="0.2">
      <c r="A382" t="s">
        <v>18</v>
      </c>
      <c r="B382" t="s">
        <v>472</v>
      </c>
      <c r="C382" t="s">
        <v>122</v>
      </c>
    </row>
    <row r="383" spans="1:3" x14ac:dyDescent="0.2">
      <c r="A383" t="s">
        <v>18</v>
      </c>
      <c r="B383" t="s">
        <v>89</v>
      </c>
      <c r="C383" t="s">
        <v>527</v>
      </c>
    </row>
    <row r="384" spans="1:3" x14ac:dyDescent="0.2">
      <c r="A384" t="s">
        <v>18</v>
      </c>
      <c r="B384" t="s">
        <v>84</v>
      </c>
      <c r="C384" t="s">
        <v>122</v>
      </c>
    </row>
    <row r="385" spans="1:3" x14ac:dyDescent="0.2">
      <c r="A385" t="s">
        <v>18</v>
      </c>
      <c r="B385" t="s">
        <v>86</v>
      </c>
      <c r="C385" t="s">
        <v>122</v>
      </c>
    </row>
    <row r="386" spans="1:3" x14ac:dyDescent="0.2">
      <c r="A386" t="s">
        <v>18</v>
      </c>
      <c r="B386" t="s">
        <v>82</v>
      </c>
      <c r="C386" t="s">
        <v>122</v>
      </c>
    </row>
    <row r="387" spans="1:3" x14ac:dyDescent="0.2">
      <c r="A387" t="s">
        <v>18</v>
      </c>
      <c r="B387" t="s">
        <v>85</v>
      </c>
      <c r="C387" t="s">
        <v>122</v>
      </c>
    </row>
    <row r="388" spans="1:3" x14ac:dyDescent="0.2">
      <c r="A388" t="s">
        <v>18</v>
      </c>
      <c r="B388" t="s">
        <v>88</v>
      </c>
      <c r="C388" t="s">
        <v>529</v>
      </c>
    </row>
    <row r="389" spans="1:3" x14ac:dyDescent="0.2">
      <c r="A389" t="s">
        <v>18</v>
      </c>
      <c r="B389" t="s">
        <v>83</v>
      </c>
      <c r="C389" t="s">
        <v>122</v>
      </c>
    </row>
    <row r="390" spans="1:3" x14ac:dyDescent="0.2">
      <c r="A390" t="s">
        <v>18</v>
      </c>
      <c r="B390" t="s">
        <v>87</v>
      </c>
      <c r="C390" t="s">
        <v>527</v>
      </c>
    </row>
    <row r="391" spans="1:3" x14ac:dyDescent="0.2">
      <c r="A391" t="s">
        <v>18</v>
      </c>
      <c r="B391" t="s">
        <v>78</v>
      </c>
      <c r="C391" t="s">
        <v>119</v>
      </c>
    </row>
    <row r="392" spans="1:3" x14ac:dyDescent="0.2">
      <c r="A392" t="s">
        <v>18</v>
      </c>
      <c r="B392" t="s">
        <v>29</v>
      </c>
      <c r="C392" t="s">
        <v>444</v>
      </c>
    </row>
    <row r="393" spans="1:3" x14ac:dyDescent="0.2">
      <c r="A393" t="s">
        <v>18</v>
      </c>
      <c r="B393" t="s">
        <v>58</v>
      </c>
      <c r="C393" t="s">
        <v>444</v>
      </c>
    </row>
    <row r="394" spans="1:3" x14ac:dyDescent="0.2">
      <c r="A394" t="s">
        <v>18</v>
      </c>
      <c r="B394" t="s">
        <v>27</v>
      </c>
      <c r="C394" t="s">
        <v>444</v>
      </c>
    </row>
    <row r="395" spans="1:3" x14ac:dyDescent="0.2">
      <c r="A395" t="s">
        <v>18</v>
      </c>
      <c r="B395" t="s">
        <v>56</v>
      </c>
      <c r="C395" t="s">
        <v>444</v>
      </c>
    </row>
    <row r="396" spans="1:3" x14ac:dyDescent="0.2">
      <c r="A396" t="s">
        <v>18</v>
      </c>
      <c r="B396" t="s">
        <v>69</v>
      </c>
      <c r="C396" t="s">
        <v>119</v>
      </c>
    </row>
    <row r="397" spans="1:3" x14ac:dyDescent="0.2">
      <c r="A397" t="s">
        <v>18</v>
      </c>
      <c r="B397" t="s">
        <v>438</v>
      </c>
      <c r="C397" t="s">
        <v>34</v>
      </c>
    </row>
    <row r="398" spans="1:3" x14ac:dyDescent="0.2">
      <c r="A398" t="s">
        <v>18</v>
      </c>
      <c r="B398" t="s">
        <v>25</v>
      </c>
      <c r="C398" t="s">
        <v>34</v>
      </c>
    </row>
    <row r="399" spans="1:3" x14ac:dyDescent="0.2">
      <c r="A399" t="s">
        <v>18</v>
      </c>
      <c r="B399" t="s">
        <v>556</v>
      </c>
      <c r="C399" s="70" t="s">
        <v>119</v>
      </c>
    </row>
    <row r="400" spans="1:3" x14ac:dyDescent="0.2">
      <c r="A400" t="s">
        <v>18</v>
      </c>
      <c r="B400" t="s">
        <v>81</v>
      </c>
      <c r="C400" t="s">
        <v>528</v>
      </c>
    </row>
    <row r="401" spans="1:3" x14ac:dyDescent="0.2">
      <c r="A401" t="s">
        <v>18</v>
      </c>
      <c r="B401" t="s">
        <v>55</v>
      </c>
      <c r="C401" t="s">
        <v>34</v>
      </c>
    </row>
    <row r="402" spans="1:3" x14ac:dyDescent="0.2">
      <c r="A402" t="s">
        <v>18</v>
      </c>
      <c r="B402" t="s">
        <v>68</v>
      </c>
      <c r="C402" t="s">
        <v>34</v>
      </c>
    </row>
    <row r="403" spans="1:3" x14ac:dyDescent="0.2">
      <c r="A403" t="s">
        <v>18</v>
      </c>
      <c r="B403" t="s">
        <v>26</v>
      </c>
      <c r="C403" t="s">
        <v>34</v>
      </c>
    </row>
    <row r="404" spans="1:3" x14ac:dyDescent="0.2">
      <c r="A404" t="s">
        <v>18</v>
      </c>
      <c r="B404" t="s">
        <v>71</v>
      </c>
      <c r="C404" t="s">
        <v>34</v>
      </c>
    </row>
    <row r="405" spans="1:3" x14ac:dyDescent="0.2">
      <c r="A405" t="s">
        <v>18</v>
      </c>
      <c r="B405" t="s">
        <v>73</v>
      </c>
      <c r="C405" t="s">
        <v>34</v>
      </c>
    </row>
    <row r="406" spans="1:3" x14ac:dyDescent="0.2">
      <c r="A406" t="s">
        <v>18</v>
      </c>
      <c r="B406" t="s">
        <v>72</v>
      </c>
      <c r="C406" t="s">
        <v>34</v>
      </c>
    </row>
    <row r="407" spans="1:3" x14ac:dyDescent="0.2">
      <c r="A407" t="s">
        <v>18</v>
      </c>
      <c r="B407" t="s">
        <v>22</v>
      </c>
      <c r="C407" t="s">
        <v>34</v>
      </c>
    </row>
    <row r="408" spans="1:3" x14ac:dyDescent="0.2">
      <c r="A408" t="s">
        <v>18</v>
      </c>
      <c r="B408" t="s">
        <v>23</v>
      </c>
      <c r="C408" t="s">
        <v>34</v>
      </c>
    </row>
    <row r="409" spans="1:3" x14ac:dyDescent="0.2">
      <c r="A409" t="s">
        <v>18</v>
      </c>
      <c r="B409" t="s">
        <v>24</v>
      </c>
      <c r="C409" t="s">
        <v>34</v>
      </c>
    </row>
    <row r="410" spans="1:3" x14ac:dyDescent="0.2">
      <c r="A410" t="s">
        <v>18</v>
      </c>
      <c r="B410" t="s">
        <v>552</v>
      </c>
      <c r="C410" t="s">
        <v>119</v>
      </c>
    </row>
    <row r="411" spans="1:3" x14ac:dyDescent="0.2">
      <c r="A411" t="s">
        <v>575</v>
      </c>
      <c r="B411" t="s">
        <v>572</v>
      </c>
      <c r="C411" t="s">
        <v>34</v>
      </c>
    </row>
  </sheetData>
  <pageMargins left="0.7" right="0.7" top="0.78740157499999996" bottom="0.78740157499999996"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dimension ref="A1:F321"/>
  <sheetViews>
    <sheetView topLeftCell="A159" zoomScaleNormal="100" workbookViewId="0">
      <selection activeCell="C412" sqref="C412"/>
    </sheetView>
  </sheetViews>
  <sheetFormatPr baseColWidth="10" defaultRowHeight="15" x14ac:dyDescent="0.2"/>
  <cols>
    <col min="1" max="1" width="34.5" bestFit="1" customWidth="1"/>
    <col min="2" max="3" width="33.5" customWidth="1"/>
    <col min="4" max="4" width="43.33203125" customWidth="1"/>
    <col min="5" max="5" width="51.33203125" customWidth="1"/>
  </cols>
  <sheetData>
    <row r="1" spans="1:1" x14ac:dyDescent="0.2">
      <c r="A1" t="s">
        <v>10</v>
      </c>
    </row>
    <row r="3" spans="1:1" x14ac:dyDescent="0.2">
      <c r="A3" t="s">
        <v>8</v>
      </c>
    </row>
    <row r="4" spans="1:1" x14ac:dyDescent="0.2">
      <c r="A4" t="s">
        <v>9</v>
      </c>
    </row>
    <row r="5" spans="1:1" x14ac:dyDescent="0.2">
      <c r="A5" t="s">
        <v>11</v>
      </c>
    </row>
    <row r="8" spans="1:1" x14ac:dyDescent="0.2">
      <c r="A8" t="s">
        <v>12</v>
      </c>
    </row>
    <row r="11" spans="1:1" x14ac:dyDescent="0.2">
      <c r="A11" t="s">
        <v>567</v>
      </c>
    </row>
    <row r="12" spans="1:1" x14ac:dyDescent="0.2">
      <c r="A12" t="s">
        <v>571</v>
      </c>
    </row>
    <row r="13" spans="1:1" x14ac:dyDescent="0.2">
      <c r="A13" t="s">
        <v>17</v>
      </c>
    </row>
    <row r="14" spans="1:1" x14ac:dyDescent="0.2">
      <c r="A14" t="s">
        <v>18</v>
      </c>
    </row>
    <row r="15" spans="1:1" x14ac:dyDescent="0.2">
      <c r="A15" t="s">
        <v>575</v>
      </c>
    </row>
    <row r="16" spans="1:1" x14ac:dyDescent="0.2">
      <c r="A16" t="s">
        <v>19</v>
      </c>
    </row>
    <row r="17" spans="1:1" x14ac:dyDescent="0.2">
      <c r="A17" t="s">
        <v>568</v>
      </c>
    </row>
    <row r="18" spans="1:1" x14ac:dyDescent="0.2">
      <c r="A18" t="s">
        <v>471</v>
      </c>
    </row>
    <row r="19" spans="1:1" x14ac:dyDescent="0.2">
      <c r="A19" t="s">
        <v>20</v>
      </c>
    </row>
    <row r="20" spans="1:1" x14ac:dyDescent="0.2">
      <c r="A20" t="s">
        <v>21</v>
      </c>
    </row>
    <row r="21" spans="1:1" x14ac:dyDescent="0.2">
      <c r="A21" t="s">
        <v>539</v>
      </c>
    </row>
    <row r="22" spans="1:1" x14ac:dyDescent="0.2">
      <c r="A22" t="s">
        <v>576</v>
      </c>
    </row>
    <row r="23" spans="1:1" x14ac:dyDescent="0.2">
      <c r="A23" t="s">
        <v>540</v>
      </c>
    </row>
    <row r="24" spans="1:1" x14ac:dyDescent="0.2">
      <c r="A24" t="s">
        <v>541</v>
      </c>
    </row>
    <row r="33" spans="1:5" x14ac:dyDescent="0.2">
      <c r="A33" s="3" t="s">
        <v>22</v>
      </c>
      <c r="D33" t="s">
        <v>118</v>
      </c>
    </row>
    <row r="34" spans="1:5" x14ac:dyDescent="0.2">
      <c r="A34" s="3" t="s">
        <v>23</v>
      </c>
      <c r="D34" t="s">
        <v>118</v>
      </c>
    </row>
    <row r="35" spans="1:5" x14ac:dyDescent="0.2">
      <c r="A35" s="3" t="s">
        <v>24</v>
      </c>
      <c r="D35" t="s">
        <v>118</v>
      </c>
    </row>
    <row r="36" spans="1:5" x14ac:dyDescent="0.2">
      <c r="A36" s="3" t="s">
        <v>25</v>
      </c>
      <c r="D36" t="s">
        <v>118</v>
      </c>
    </row>
    <row r="37" spans="1:5" x14ac:dyDescent="0.2">
      <c r="A37" s="3" t="s">
        <v>438</v>
      </c>
      <c r="D37" t="s">
        <v>118</v>
      </c>
    </row>
    <row r="38" spans="1:5" x14ac:dyDescent="0.2">
      <c r="A38" s="3" t="s">
        <v>55</v>
      </c>
      <c r="D38" t="s">
        <v>118</v>
      </c>
    </row>
    <row r="39" spans="1:5" x14ac:dyDescent="0.2">
      <c r="A39" s="3" t="s">
        <v>26</v>
      </c>
      <c r="D39" t="s">
        <v>118</v>
      </c>
    </row>
    <row r="40" spans="1:5" x14ac:dyDescent="0.2">
      <c r="A40" s="3" t="s">
        <v>461</v>
      </c>
      <c r="D40" t="s">
        <v>118</v>
      </c>
    </row>
    <row r="41" spans="1:5" x14ac:dyDescent="0.2">
      <c r="A41" s="3" t="s">
        <v>457</v>
      </c>
      <c r="B41" t="s">
        <v>458</v>
      </c>
    </row>
    <row r="42" spans="1:5" x14ac:dyDescent="0.2">
      <c r="A42" s="4" t="s">
        <v>69</v>
      </c>
      <c r="B42" t="s">
        <v>116</v>
      </c>
      <c r="D42" t="s">
        <v>119</v>
      </c>
    </row>
    <row r="43" spans="1:5" x14ac:dyDescent="0.2">
      <c r="A43" s="4" t="s">
        <v>572</v>
      </c>
    </row>
    <row r="44" spans="1:5" x14ac:dyDescent="0.2">
      <c r="A44" s="4" t="s">
        <v>71</v>
      </c>
      <c r="B44" t="s">
        <v>116</v>
      </c>
      <c r="D44" t="s">
        <v>120</v>
      </c>
    </row>
    <row r="45" spans="1:5" x14ac:dyDescent="0.2">
      <c r="A45" s="4" t="s">
        <v>552</v>
      </c>
    </row>
    <row r="46" spans="1:5" x14ac:dyDescent="0.2">
      <c r="A46" s="4" t="s">
        <v>68</v>
      </c>
      <c r="B46" t="s">
        <v>116</v>
      </c>
      <c r="D46" t="s">
        <v>118</v>
      </c>
    </row>
    <row r="47" spans="1:5" x14ac:dyDescent="0.2">
      <c r="A47" s="4" t="s">
        <v>437</v>
      </c>
      <c r="B47" t="s">
        <v>116</v>
      </c>
      <c r="D47" t="s">
        <v>441</v>
      </c>
      <c r="E47" t="s">
        <v>442</v>
      </c>
    </row>
    <row r="48" spans="1:5" x14ac:dyDescent="0.2">
      <c r="A48" s="4" t="s">
        <v>76</v>
      </c>
      <c r="B48" t="s">
        <v>116</v>
      </c>
      <c r="D48" t="s">
        <v>118</v>
      </c>
    </row>
    <row r="49" spans="1:5" x14ac:dyDescent="0.2">
      <c r="A49" s="4" t="s">
        <v>78</v>
      </c>
      <c r="B49" t="s">
        <v>116</v>
      </c>
      <c r="D49" t="s">
        <v>119</v>
      </c>
      <c r="E49" t="s">
        <v>121</v>
      </c>
    </row>
    <row r="50" spans="1:5" x14ac:dyDescent="0.2">
      <c r="A50" s="4" t="s">
        <v>80</v>
      </c>
      <c r="B50" t="s">
        <v>116</v>
      </c>
      <c r="D50" t="s">
        <v>119</v>
      </c>
      <c r="E50" t="s">
        <v>121</v>
      </c>
    </row>
    <row r="51" spans="1:5" x14ac:dyDescent="0.2">
      <c r="A51" s="4" t="s">
        <v>81</v>
      </c>
      <c r="B51" t="s">
        <v>116</v>
      </c>
      <c r="D51" t="s">
        <v>440</v>
      </c>
    </row>
    <row r="52" spans="1:5" x14ac:dyDescent="0.2">
      <c r="A52" s="4" t="s">
        <v>79</v>
      </c>
      <c r="B52" t="s">
        <v>116</v>
      </c>
      <c r="D52" t="s">
        <v>443</v>
      </c>
      <c r="E52" t="s">
        <v>121</v>
      </c>
    </row>
    <row r="53" spans="1:5" x14ac:dyDescent="0.2">
      <c r="A53" s="4" t="s">
        <v>70</v>
      </c>
      <c r="B53" t="s">
        <v>116</v>
      </c>
      <c r="D53" t="s">
        <v>119</v>
      </c>
    </row>
    <row r="54" spans="1:5" x14ac:dyDescent="0.2">
      <c r="A54" s="4" t="s">
        <v>556</v>
      </c>
      <c r="B54" t="s">
        <v>116</v>
      </c>
      <c r="D54" t="s">
        <v>118</v>
      </c>
    </row>
    <row r="55" spans="1:5" x14ac:dyDescent="0.2">
      <c r="A55" s="4" t="s">
        <v>74</v>
      </c>
      <c r="B55" t="s">
        <v>116</v>
      </c>
      <c r="D55" t="s">
        <v>118</v>
      </c>
    </row>
    <row r="56" spans="1:5" x14ac:dyDescent="0.2">
      <c r="A56" s="4" t="s">
        <v>75</v>
      </c>
      <c r="B56" t="s">
        <v>116</v>
      </c>
      <c r="D56" t="s">
        <v>118</v>
      </c>
    </row>
    <row r="57" spans="1:5" x14ac:dyDescent="0.2">
      <c r="A57" s="4" t="s">
        <v>77</v>
      </c>
      <c r="B57" t="s">
        <v>116</v>
      </c>
      <c r="D57" t="s">
        <v>118</v>
      </c>
    </row>
    <row r="58" spans="1:5" x14ac:dyDescent="0.2">
      <c r="A58" s="4" t="s">
        <v>73</v>
      </c>
      <c r="B58" t="s">
        <v>116</v>
      </c>
      <c r="D58" t="s">
        <v>118</v>
      </c>
    </row>
    <row r="59" spans="1:5" x14ac:dyDescent="0.2">
      <c r="A59" s="4" t="s">
        <v>72</v>
      </c>
      <c r="B59" t="s">
        <v>116</v>
      </c>
      <c r="D59" t="s">
        <v>118</v>
      </c>
    </row>
    <row r="60" spans="1:5" x14ac:dyDescent="0.2">
      <c r="A60" s="4" t="s">
        <v>563</v>
      </c>
      <c r="B60" t="s">
        <v>116</v>
      </c>
      <c r="D60" t="s">
        <v>564</v>
      </c>
    </row>
    <row r="61" spans="1:5" x14ac:dyDescent="0.2">
      <c r="A61" s="4" t="s">
        <v>84</v>
      </c>
      <c r="D61" t="s">
        <v>122</v>
      </c>
    </row>
    <row r="62" spans="1:5" x14ac:dyDescent="0.2">
      <c r="A62" s="4" t="s">
        <v>86</v>
      </c>
      <c r="D62" t="s">
        <v>122</v>
      </c>
    </row>
    <row r="63" spans="1:5" x14ac:dyDescent="0.2">
      <c r="A63" s="4" t="s">
        <v>82</v>
      </c>
      <c r="D63" t="s">
        <v>122</v>
      </c>
    </row>
    <row r="64" spans="1:5" x14ac:dyDescent="0.2">
      <c r="A64" s="4" t="s">
        <v>85</v>
      </c>
      <c r="D64" t="s">
        <v>122</v>
      </c>
    </row>
    <row r="65" spans="1:4" x14ac:dyDescent="0.2">
      <c r="A65" s="4" t="s">
        <v>88</v>
      </c>
      <c r="D65" t="s">
        <v>123</v>
      </c>
    </row>
    <row r="66" spans="1:4" x14ac:dyDescent="0.2">
      <c r="A66" s="4" t="s">
        <v>83</v>
      </c>
      <c r="D66" t="s">
        <v>122</v>
      </c>
    </row>
    <row r="67" spans="1:4" x14ac:dyDescent="0.2">
      <c r="A67" s="4" t="s">
        <v>87</v>
      </c>
      <c r="D67" t="s">
        <v>122</v>
      </c>
    </row>
    <row r="68" spans="1:4" x14ac:dyDescent="0.2">
      <c r="A68" s="4" t="s">
        <v>89</v>
      </c>
      <c r="B68" t="s">
        <v>117</v>
      </c>
      <c r="D68" t="s">
        <v>124</v>
      </c>
    </row>
    <row r="69" spans="1:4" x14ac:dyDescent="0.2">
      <c r="A69" s="4" t="s">
        <v>27</v>
      </c>
      <c r="D69" t="s">
        <v>35</v>
      </c>
    </row>
    <row r="70" spans="1:4" x14ac:dyDescent="0.2">
      <c r="A70" s="4" t="s">
        <v>28</v>
      </c>
      <c r="D70" t="s">
        <v>35</v>
      </c>
    </row>
    <row r="71" spans="1:4" x14ac:dyDescent="0.2">
      <c r="A71" s="4" t="s">
        <v>29</v>
      </c>
      <c r="D71" t="s">
        <v>35</v>
      </c>
    </row>
    <row r="72" spans="1:4" x14ac:dyDescent="0.2">
      <c r="A72" s="4" t="s">
        <v>56</v>
      </c>
      <c r="D72" t="s">
        <v>35</v>
      </c>
    </row>
    <row r="73" spans="1:4" x14ac:dyDescent="0.2">
      <c r="A73" s="4" t="s">
        <v>57</v>
      </c>
      <c r="D73" t="s">
        <v>35</v>
      </c>
    </row>
    <row r="74" spans="1:4" x14ac:dyDescent="0.2">
      <c r="A74" s="4" t="s">
        <v>58</v>
      </c>
      <c r="D74" t="s">
        <v>35</v>
      </c>
    </row>
    <row r="75" spans="1:4" x14ac:dyDescent="0.2">
      <c r="A75" s="4" t="s">
        <v>545</v>
      </c>
    </row>
    <row r="76" spans="1:4" x14ac:dyDescent="0.2">
      <c r="A76" s="4" t="s">
        <v>27</v>
      </c>
    </row>
    <row r="77" spans="1:4" x14ac:dyDescent="0.2">
      <c r="A77" s="4" t="s">
        <v>28</v>
      </c>
    </row>
    <row r="78" spans="1:4" x14ac:dyDescent="0.2">
      <c r="A78" s="4" t="s">
        <v>472</v>
      </c>
    </row>
    <row r="79" spans="1:4" x14ac:dyDescent="0.2">
      <c r="A79" s="4"/>
    </row>
    <row r="80" spans="1:4" x14ac:dyDescent="0.2">
      <c r="A80" s="4"/>
    </row>
    <row r="81" spans="1:1" x14ac:dyDescent="0.2">
      <c r="A81" s="4"/>
    </row>
    <row r="83" spans="1:1" x14ac:dyDescent="0.2">
      <c r="A83" t="s">
        <v>34</v>
      </c>
    </row>
    <row r="84" spans="1:1" x14ac:dyDescent="0.2">
      <c r="A84" t="s">
        <v>444</v>
      </c>
    </row>
    <row r="85" spans="1:1" x14ac:dyDescent="0.2">
      <c r="A85" t="s">
        <v>119</v>
      </c>
    </row>
    <row r="86" spans="1:1" x14ac:dyDescent="0.2">
      <c r="A86" t="s">
        <v>122</v>
      </c>
    </row>
    <row r="87" spans="1:1" x14ac:dyDescent="0.2">
      <c r="A87" t="s">
        <v>124</v>
      </c>
    </row>
    <row r="88" spans="1:1" x14ac:dyDescent="0.2">
      <c r="A88" t="s">
        <v>123</v>
      </c>
    </row>
    <row r="98" spans="1:1" x14ac:dyDescent="0.2">
      <c r="A98" t="s">
        <v>39</v>
      </c>
    </row>
    <row r="99" spans="1:1" x14ac:dyDescent="0.2">
      <c r="A99" t="s">
        <v>40</v>
      </c>
    </row>
    <row r="101" spans="1:1" x14ac:dyDescent="0.2">
      <c r="A101" t="s">
        <v>432</v>
      </c>
    </row>
    <row r="102" spans="1:1" x14ac:dyDescent="0.2">
      <c r="A102" t="s">
        <v>47</v>
      </c>
    </row>
    <row r="103" spans="1:1" x14ac:dyDescent="0.2">
      <c r="A103" t="s">
        <v>49</v>
      </c>
    </row>
    <row r="104" spans="1:1" x14ac:dyDescent="0.2">
      <c r="A104" t="s">
        <v>53</v>
      </c>
    </row>
    <row r="105" spans="1:1" x14ac:dyDescent="0.2">
      <c r="A105" t="s">
        <v>44</v>
      </c>
    </row>
    <row r="106" spans="1:1" x14ac:dyDescent="0.2">
      <c r="A106" t="s">
        <v>560</v>
      </c>
    </row>
    <row r="107" spans="1:1" x14ac:dyDescent="0.2">
      <c r="A107" t="s">
        <v>52</v>
      </c>
    </row>
    <row r="108" spans="1:1" x14ac:dyDescent="0.2">
      <c r="A108" t="s">
        <v>51</v>
      </c>
    </row>
    <row r="109" spans="1:1" x14ac:dyDescent="0.2">
      <c r="A109" t="s">
        <v>50</v>
      </c>
    </row>
    <row r="110" spans="1:1" x14ac:dyDescent="0.2">
      <c r="A110" t="s">
        <v>54</v>
      </c>
    </row>
    <row r="111" spans="1:1" x14ac:dyDescent="0.2">
      <c r="A111" t="s">
        <v>45</v>
      </c>
    </row>
    <row r="112" spans="1:1" x14ac:dyDescent="0.2">
      <c r="A112" t="s">
        <v>46</v>
      </c>
    </row>
    <row r="113" spans="1:1" x14ac:dyDescent="0.2">
      <c r="A113" t="s">
        <v>48</v>
      </c>
    </row>
    <row r="114" spans="1:1" x14ac:dyDescent="0.2">
      <c r="A114" t="s">
        <v>510</v>
      </c>
    </row>
    <row r="115" spans="1:1" x14ac:dyDescent="0.2">
      <c r="A115" t="s">
        <v>559</v>
      </c>
    </row>
    <row r="116" spans="1:1" x14ac:dyDescent="0.2">
      <c r="A116" t="s">
        <v>433</v>
      </c>
    </row>
    <row r="118" spans="1:1" x14ac:dyDescent="0.2">
      <c r="A118" t="s">
        <v>91</v>
      </c>
    </row>
    <row r="119" spans="1:1" x14ac:dyDescent="0.2">
      <c r="A119" t="s">
        <v>92</v>
      </c>
    </row>
    <row r="120" spans="1:1" x14ac:dyDescent="0.2">
      <c r="A120" t="s">
        <v>93</v>
      </c>
    </row>
    <row r="121" spans="1:1" x14ac:dyDescent="0.2">
      <c r="A121" t="s">
        <v>94</v>
      </c>
    </row>
    <row r="122" spans="1:1" x14ac:dyDescent="0.2">
      <c r="A122" t="s">
        <v>95</v>
      </c>
    </row>
    <row r="123" spans="1:1" x14ac:dyDescent="0.2">
      <c r="A123" t="s">
        <v>96</v>
      </c>
    </row>
    <row r="125" spans="1:1" x14ac:dyDescent="0.2">
      <c r="A125" t="s">
        <v>102</v>
      </c>
    </row>
    <row r="126" spans="1:1" x14ac:dyDescent="0.2">
      <c r="A126" t="s">
        <v>41</v>
      </c>
    </row>
    <row r="127" spans="1:1" x14ac:dyDescent="0.2">
      <c r="A127" t="s">
        <v>97</v>
      </c>
    </row>
    <row r="128" spans="1:1" x14ac:dyDescent="0.2">
      <c r="A128" t="s">
        <v>99</v>
      </c>
    </row>
    <row r="129" spans="1:1" x14ac:dyDescent="0.2">
      <c r="A129" t="s">
        <v>100</v>
      </c>
    </row>
    <row r="130" spans="1:1" x14ac:dyDescent="0.2">
      <c r="A130" t="s">
        <v>101</v>
      </c>
    </row>
    <row r="131" spans="1:1" x14ac:dyDescent="0.2">
      <c r="A131" t="s">
        <v>98</v>
      </c>
    </row>
    <row r="132" spans="1:1" x14ac:dyDescent="0.2">
      <c r="A132" t="s">
        <v>454</v>
      </c>
    </row>
    <row r="133" spans="1:1" x14ac:dyDescent="0.2">
      <c r="A133" t="s">
        <v>455</v>
      </c>
    </row>
    <row r="134" spans="1:1" x14ac:dyDescent="0.2">
      <c r="A134" t="s">
        <v>103</v>
      </c>
    </row>
    <row r="135" spans="1:1" x14ac:dyDescent="0.2">
      <c r="A135" t="s">
        <v>456</v>
      </c>
    </row>
    <row r="136" spans="1:1" x14ac:dyDescent="0.2">
      <c r="A136" t="s">
        <v>459</v>
      </c>
    </row>
    <row r="138" spans="1:1" x14ac:dyDescent="0.2">
      <c r="A138" t="s">
        <v>108</v>
      </c>
    </row>
    <row r="139" spans="1:1" x14ac:dyDescent="0.2">
      <c r="A139" t="s">
        <v>109</v>
      </c>
    </row>
    <row r="140" spans="1:1" x14ac:dyDescent="0.2">
      <c r="A140" t="s">
        <v>110</v>
      </c>
    </row>
    <row r="142" spans="1:1" x14ac:dyDescent="0.2">
      <c r="A142" t="s">
        <v>111</v>
      </c>
    </row>
    <row r="143" spans="1:1" x14ac:dyDescent="0.2">
      <c r="A143" t="s">
        <v>112</v>
      </c>
    </row>
    <row r="148" spans="1:6" x14ac:dyDescent="0.2">
      <c r="A148" t="s">
        <v>409</v>
      </c>
    </row>
    <row r="149" spans="1:6" x14ac:dyDescent="0.2">
      <c r="A149" t="s">
        <v>410</v>
      </c>
    </row>
    <row r="152" spans="1:6" x14ac:dyDescent="0.2">
      <c r="A152" t="s">
        <v>414</v>
      </c>
    </row>
    <row r="153" spans="1:6" x14ac:dyDescent="0.2">
      <c r="A153" t="s">
        <v>415</v>
      </c>
    </row>
    <row r="154" spans="1:6" x14ac:dyDescent="0.2">
      <c r="A154" t="s">
        <v>416</v>
      </c>
    </row>
    <row r="158" spans="1:6" ht="16" x14ac:dyDescent="0.2">
      <c r="A158" s="1" t="s">
        <v>279</v>
      </c>
      <c r="B158" s="1" t="s">
        <v>280</v>
      </c>
      <c r="C158" s="1"/>
      <c r="D158" s="1" t="s">
        <v>281</v>
      </c>
    </row>
    <row r="159" spans="1:6" ht="16" x14ac:dyDescent="0.2">
      <c r="A159" s="2" t="s">
        <v>251</v>
      </c>
      <c r="B159" s="2" t="s">
        <v>126</v>
      </c>
      <c r="C159" s="2"/>
      <c r="D159" s="2" t="s">
        <v>282</v>
      </c>
      <c r="E159" s="2" t="str">
        <f>A159&amp;" // "&amp;B159&amp;" // "&amp;D159</f>
        <v>Geschlecht // Sociodemographic gender: gender_man // Männer</v>
      </c>
      <c r="F159" t="str">
        <f>A159&amp;" // "&amp;D159</f>
        <v>Geschlecht // Männer</v>
      </c>
    </row>
    <row r="160" spans="1:6" ht="32" x14ac:dyDescent="0.2">
      <c r="A160" s="2" t="s">
        <v>251</v>
      </c>
      <c r="B160" s="2" t="s">
        <v>127</v>
      </c>
      <c r="C160" s="2"/>
      <c r="D160" s="2" t="s">
        <v>283</v>
      </c>
      <c r="E160" s="2" t="str">
        <f t="shared" ref="E160:E223" si="0">A160&amp;" // "&amp;B160&amp;" // "&amp;D160</f>
        <v>Geschlecht // Sociodemographic gender: gender_woman // Frauen</v>
      </c>
      <c r="F160" t="str">
        <f t="shared" ref="F160:F223" si="1">A160&amp;" // "&amp;D160</f>
        <v>Geschlecht // Frauen</v>
      </c>
    </row>
    <row r="161" spans="1:6" ht="16" x14ac:dyDescent="0.2">
      <c r="A161" s="2" t="s">
        <v>252</v>
      </c>
      <c r="B161" s="2" t="s">
        <v>278</v>
      </c>
      <c r="C161" s="2"/>
      <c r="D161" s="2" t="s">
        <v>284</v>
      </c>
      <c r="E161" s="2" t="str">
        <f t="shared" si="0"/>
        <v>Alter // Sociodemographic age: 14-17 // 14-17 Jahre</v>
      </c>
      <c r="F161" t="str">
        <f t="shared" si="1"/>
        <v>Alter // 14-17 Jahre</v>
      </c>
    </row>
    <row r="162" spans="1:6" ht="16" x14ac:dyDescent="0.2">
      <c r="A162" s="2" t="s">
        <v>252</v>
      </c>
      <c r="B162" s="2" t="s">
        <v>128</v>
      </c>
      <c r="C162" s="2"/>
      <c r="D162" s="2" t="s">
        <v>285</v>
      </c>
      <c r="E162" s="2" t="str">
        <f t="shared" si="0"/>
        <v>Alter // Sociodemographic age: 18-19 // 18-19 Jahre</v>
      </c>
      <c r="F162" t="str">
        <f t="shared" si="1"/>
        <v>Alter // 18-19 Jahre</v>
      </c>
    </row>
    <row r="163" spans="1:6" ht="16" x14ac:dyDescent="0.2">
      <c r="A163" s="2" t="s">
        <v>252</v>
      </c>
      <c r="B163" s="2" t="s">
        <v>129</v>
      </c>
      <c r="C163" s="2"/>
      <c r="D163" s="2" t="s">
        <v>286</v>
      </c>
      <c r="E163" s="2" t="str">
        <f t="shared" si="0"/>
        <v>Alter // Sociodemographic age: 20-29 // 20-29 Jahre</v>
      </c>
      <c r="F163" t="str">
        <f t="shared" si="1"/>
        <v>Alter // 20-29 Jahre</v>
      </c>
    </row>
    <row r="164" spans="1:6" ht="16" x14ac:dyDescent="0.2">
      <c r="A164" s="2" t="s">
        <v>252</v>
      </c>
      <c r="B164" s="2" t="s">
        <v>130</v>
      </c>
      <c r="C164" s="2"/>
      <c r="D164" s="2" t="s">
        <v>287</v>
      </c>
      <c r="E164" s="2" t="str">
        <f t="shared" si="0"/>
        <v>Alter // Sociodemographic age: 30-39 // 30-39 Jahre</v>
      </c>
      <c r="F164" t="str">
        <f t="shared" si="1"/>
        <v>Alter // 30-39 Jahre</v>
      </c>
    </row>
    <row r="165" spans="1:6" ht="16" x14ac:dyDescent="0.2">
      <c r="A165" s="2" t="s">
        <v>252</v>
      </c>
      <c r="B165" s="2" t="s">
        <v>131</v>
      </c>
      <c r="C165" s="2"/>
      <c r="D165" s="2" t="s">
        <v>288</v>
      </c>
      <c r="E165" s="2" t="str">
        <f t="shared" si="0"/>
        <v>Alter // Sociodemographic age: 40-49 // 40-49 Jahre</v>
      </c>
      <c r="F165" t="str">
        <f t="shared" si="1"/>
        <v>Alter // 40-49 Jahre</v>
      </c>
    </row>
    <row r="166" spans="1:6" ht="16" x14ac:dyDescent="0.2">
      <c r="A166" s="2" t="s">
        <v>252</v>
      </c>
      <c r="B166" s="2" t="s">
        <v>132</v>
      </c>
      <c r="C166" s="2"/>
      <c r="D166" s="2" t="s">
        <v>289</v>
      </c>
      <c r="E166" s="2" t="str">
        <f t="shared" si="0"/>
        <v>Alter // Sociodemographic age: 50-59 // 50-59 Jahre</v>
      </c>
      <c r="F166" t="str">
        <f t="shared" si="1"/>
        <v>Alter // 50-59 Jahre</v>
      </c>
    </row>
    <row r="167" spans="1:6" ht="16" x14ac:dyDescent="0.2">
      <c r="A167" s="2" t="s">
        <v>252</v>
      </c>
      <c r="B167" s="2" t="s">
        <v>133</v>
      </c>
      <c r="C167" s="2"/>
      <c r="D167" s="2" t="s">
        <v>290</v>
      </c>
      <c r="E167" s="2" t="str">
        <f t="shared" si="0"/>
        <v>Alter // Sociodemographic age: &gt;59 // &gt; 59 Jahre</v>
      </c>
      <c r="F167" t="str">
        <f t="shared" si="1"/>
        <v>Alter // &gt; 59 Jahre</v>
      </c>
    </row>
    <row r="168" spans="1:6" ht="32" x14ac:dyDescent="0.2">
      <c r="A168" s="2" t="s">
        <v>253</v>
      </c>
      <c r="B168" s="2" t="s">
        <v>134</v>
      </c>
      <c r="C168" s="2"/>
      <c r="D168" s="2" t="s">
        <v>291</v>
      </c>
      <c r="E168" s="2" t="str">
        <f t="shared" si="0"/>
        <v>Haushaltsnettoeinkommen // Sociodemographic earning: earning_&lt;500 // HHNE &lt; 500 €</v>
      </c>
      <c r="F168" t="str">
        <f t="shared" si="1"/>
        <v>Haushaltsnettoeinkommen // HHNE &lt; 500 €</v>
      </c>
    </row>
    <row r="169" spans="1:6" ht="32" x14ac:dyDescent="0.2">
      <c r="A169" s="2" t="s">
        <v>253</v>
      </c>
      <c r="B169" s="2" t="s">
        <v>135</v>
      </c>
      <c r="C169" s="2"/>
      <c r="D169" s="2" t="s">
        <v>292</v>
      </c>
      <c r="E169" s="2" t="str">
        <f t="shared" si="0"/>
        <v>Haushaltsnettoeinkommen // Sociodemographic earning: earning_500-1500 // HHNE 500-1500 €</v>
      </c>
      <c r="F169" t="str">
        <f t="shared" si="1"/>
        <v>Haushaltsnettoeinkommen // HHNE 500-1500 €</v>
      </c>
    </row>
    <row r="170" spans="1:6" ht="32" x14ac:dyDescent="0.2">
      <c r="A170" s="2" t="s">
        <v>253</v>
      </c>
      <c r="B170" s="2" t="s">
        <v>136</v>
      </c>
      <c r="C170" s="2"/>
      <c r="D170" s="2" t="s">
        <v>293</v>
      </c>
      <c r="E170" s="2" t="str">
        <f t="shared" si="0"/>
        <v>Haushaltsnettoeinkommen // Sociodemographic earning: earning_1500-2500 // HHNE 1500-2500 €</v>
      </c>
      <c r="F170" t="str">
        <f t="shared" si="1"/>
        <v>Haushaltsnettoeinkommen // HHNE 1500-2500 €</v>
      </c>
    </row>
    <row r="171" spans="1:6" ht="32" x14ac:dyDescent="0.2">
      <c r="A171" s="2" t="s">
        <v>253</v>
      </c>
      <c r="B171" s="2" t="s">
        <v>137</v>
      </c>
      <c r="C171" s="2"/>
      <c r="D171" s="2" t="s">
        <v>294</v>
      </c>
      <c r="E171" s="2" t="str">
        <f t="shared" si="0"/>
        <v>Haushaltsnettoeinkommen // Sociodemographic earning: earning_2500-4000 // HHNE 2500-4000 €</v>
      </c>
      <c r="F171" t="str">
        <f t="shared" si="1"/>
        <v>Haushaltsnettoeinkommen // HHNE 2500-4000 €</v>
      </c>
    </row>
    <row r="172" spans="1:6" ht="32" x14ac:dyDescent="0.2">
      <c r="A172" s="2" t="s">
        <v>253</v>
      </c>
      <c r="B172" s="2" t="s">
        <v>138</v>
      </c>
      <c r="C172" s="2"/>
      <c r="D172" s="2" t="s">
        <v>295</v>
      </c>
      <c r="E172" s="2" t="str">
        <f t="shared" si="0"/>
        <v>Haushaltsnettoeinkommen // Sociodemographic earning: earning_&gt;4000 // HHNE &gt; 4000 €</v>
      </c>
      <c r="F172" t="str">
        <f t="shared" si="1"/>
        <v>Haushaltsnettoeinkommen // HHNE &gt; 4000 €</v>
      </c>
    </row>
    <row r="173" spans="1:6" ht="32" x14ac:dyDescent="0.2">
      <c r="A173" s="2" t="s">
        <v>296</v>
      </c>
      <c r="B173" s="2" t="s">
        <v>139</v>
      </c>
      <c r="C173" s="2"/>
      <c r="D173" s="2" t="s">
        <v>297</v>
      </c>
      <c r="E173" s="2" t="str">
        <f t="shared" si="0"/>
        <v>Haupteinkommensbezieher (HEB) // Sociodemographic topearner: topearner_no // Befragter ist HEB: nein</v>
      </c>
      <c r="F173" t="str">
        <f t="shared" si="1"/>
        <v>Haupteinkommensbezieher (HEB) // Befragter ist HEB: nein</v>
      </c>
    </row>
    <row r="174" spans="1:6" ht="32" x14ac:dyDescent="0.2">
      <c r="A174" s="2" t="s">
        <v>296</v>
      </c>
      <c r="B174" s="2" t="s">
        <v>140</v>
      </c>
      <c r="C174" s="2"/>
      <c r="D174" s="2" t="s">
        <v>298</v>
      </c>
      <c r="E174" s="2" t="str">
        <f t="shared" si="0"/>
        <v>Haupteinkommensbezieher (HEB) // Sociodemographic topearner: topearner_yes // Befragter ist HEB: ja</v>
      </c>
      <c r="F174" t="str">
        <f t="shared" si="1"/>
        <v>Haupteinkommensbezieher (HEB) // Befragter ist HEB: ja</v>
      </c>
    </row>
    <row r="175" spans="1:6" ht="32" x14ac:dyDescent="0.2">
      <c r="A175" s="2" t="s">
        <v>254</v>
      </c>
      <c r="B175" s="2" t="s">
        <v>141</v>
      </c>
      <c r="C175" s="2"/>
      <c r="D175" s="2" t="s">
        <v>299</v>
      </c>
      <c r="E175" s="2" t="str">
        <f t="shared" si="0"/>
        <v>Haushaltsführender (HHF) // Sociodemographic homeleader: homeleader_no // Befragter ist HHF: nein</v>
      </c>
      <c r="F175" t="str">
        <f t="shared" si="1"/>
        <v>Haushaltsführender (HHF) // Befragter ist HHF: nein</v>
      </c>
    </row>
    <row r="176" spans="1:6" ht="32" x14ac:dyDescent="0.2">
      <c r="A176" s="2" t="s">
        <v>254</v>
      </c>
      <c r="B176" s="2" t="s">
        <v>142</v>
      </c>
      <c r="C176" s="2"/>
      <c r="D176" s="2" t="s">
        <v>300</v>
      </c>
      <c r="E176" s="2" t="str">
        <f t="shared" si="0"/>
        <v>Haushaltsführender (HHF) // Sociodemographic homeleader: homeleader_yes // Befragter ist HHF: ja</v>
      </c>
      <c r="F176" t="str">
        <f t="shared" si="1"/>
        <v>Haushaltsführender (HHF) // Befragter ist HHF: ja</v>
      </c>
    </row>
    <row r="177" spans="1:6" ht="32" x14ac:dyDescent="0.2">
      <c r="A177" s="2" t="s">
        <v>255</v>
      </c>
      <c r="B177" s="2" t="s">
        <v>143</v>
      </c>
      <c r="C177" s="2"/>
      <c r="D177" s="2" t="s">
        <v>301</v>
      </c>
      <c r="E177" s="2" t="str">
        <f t="shared" si="0"/>
        <v>Berufsstatus // Sociodemographic job: job_fulltime // Vollzeit berufstätig</v>
      </c>
      <c r="F177" t="str">
        <f t="shared" si="1"/>
        <v>Berufsstatus // Vollzeit berufstätig</v>
      </c>
    </row>
    <row r="178" spans="1:6" ht="32" x14ac:dyDescent="0.2">
      <c r="A178" s="2" t="s">
        <v>255</v>
      </c>
      <c r="B178" s="2" t="s">
        <v>144</v>
      </c>
      <c r="C178" s="2"/>
      <c r="D178" s="2" t="s">
        <v>302</v>
      </c>
      <c r="E178" s="2" t="str">
        <f t="shared" si="0"/>
        <v>Berufsstatus // Sociodemographic job: job_not_working // Nicht berufstätig</v>
      </c>
      <c r="F178" t="str">
        <f t="shared" si="1"/>
        <v>Berufsstatus // Nicht berufstätig</v>
      </c>
    </row>
    <row r="179" spans="1:6" ht="32" x14ac:dyDescent="0.2">
      <c r="A179" s="2" t="s">
        <v>255</v>
      </c>
      <c r="B179" s="2" t="s">
        <v>145</v>
      </c>
      <c r="C179" s="2"/>
      <c r="D179" s="2" t="s">
        <v>303</v>
      </c>
      <c r="E179" s="2" t="str">
        <f t="shared" si="0"/>
        <v>Berufsstatus // Sociodemographic job: job_part_time // Teilw. Berufstätig</v>
      </c>
      <c r="F179" t="str">
        <f t="shared" si="1"/>
        <v>Berufsstatus // Teilw. Berufstätig</v>
      </c>
    </row>
    <row r="180" spans="1:6" ht="32" x14ac:dyDescent="0.2">
      <c r="A180" s="2" t="s">
        <v>255</v>
      </c>
      <c r="B180" s="2" t="s">
        <v>146</v>
      </c>
      <c r="C180" s="2"/>
      <c r="D180" s="2" t="s">
        <v>304</v>
      </c>
      <c r="E180" s="2" t="str">
        <f t="shared" si="0"/>
        <v>Berufsstatus // Sociodemographic job: job_re-trainy // in Umschulung</v>
      </c>
      <c r="F180" t="str">
        <f t="shared" si="1"/>
        <v>Berufsstatus // in Umschulung</v>
      </c>
    </row>
    <row r="181" spans="1:6" ht="16" x14ac:dyDescent="0.2">
      <c r="A181" s="2" t="s">
        <v>255</v>
      </c>
      <c r="B181" s="2" t="s">
        <v>147</v>
      </c>
      <c r="C181" s="2"/>
      <c r="D181" s="2" t="s">
        <v>305</v>
      </c>
      <c r="E181" s="2" t="str">
        <f t="shared" si="0"/>
        <v>Berufsstatus // Sociodemographic job: job_retired // Rentner</v>
      </c>
      <c r="F181" t="str">
        <f t="shared" si="1"/>
        <v>Berufsstatus // Rentner</v>
      </c>
    </row>
    <row r="182" spans="1:6" ht="16" x14ac:dyDescent="0.2">
      <c r="A182" s="2" t="s">
        <v>255</v>
      </c>
      <c r="B182" s="2" t="s">
        <v>148</v>
      </c>
      <c r="C182" s="2"/>
      <c r="D182" s="2" t="s">
        <v>306</v>
      </c>
      <c r="E182" s="2" t="str">
        <f t="shared" si="0"/>
        <v>Berufsstatus // Sociodemographic job: job_school // Schüler</v>
      </c>
      <c r="F182" t="str">
        <f t="shared" si="1"/>
        <v>Berufsstatus // Schüler</v>
      </c>
    </row>
    <row r="183" spans="1:6" ht="16" x14ac:dyDescent="0.2">
      <c r="A183" s="2" t="s">
        <v>255</v>
      </c>
      <c r="B183" s="2" t="s">
        <v>149</v>
      </c>
      <c r="C183" s="2"/>
      <c r="D183" s="2" t="s">
        <v>307</v>
      </c>
      <c r="E183" s="2" t="str">
        <f t="shared" si="0"/>
        <v>Berufsstatus // Sociodemographic job: job_student // Studenten</v>
      </c>
      <c r="F183" t="str">
        <f t="shared" si="1"/>
        <v>Berufsstatus // Studenten</v>
      </c>
    </row>
    <row r="184" spans="1:6" ht="32" x14ac:dyDescent="0.2">
      <c r="A184" s="2" t="s">
        <v>255</v>
      </c>
      <c r="B184" s="2" t="s">
        <v>150</v>
      </c>
      <c r="C184" s="2"/>
      <c r="D184" s="2" t="s">
        <v>308</v>
      </c>
      <c r="E184" s="2" t="str">
        <f t="shared" si="0"/>
        <v>Berufsstatus // Sociodemographic job: job_unemployed // zurzeit arbeitslos</v>
      </c>
      <c r="F184" t="str">
        <f t="shared" si="1"/>
        <v>Berufsstatus // zurzeit arbeitslos</v>
      </c>
    </row>
    <row r="185" spans="1:6" ht="32" x14ac:dyDescent="0.2">
      <c r="A185" s="2" t="s">
        <v>255</v>
      </c>
      <c r="B185" s="2" t="s">
        <v>151</v>
      </c>
      <c r="C185" s="2"/>
      <c r="D185" s="2" t="s">
        <v>309</v>
      </c>
      <c r="E185" s="2" t="str">
        <f t="shared" si="0"/>
        <v>Berufsstatus // Sociodemographic job status: job_status_employed // Angestellte</v>
      </c>
      <c r="F185" t="str">
        <f t="shared" si="1"/>
        <v>Berufsstatus // Angestellte</v>
      </c>
    </row>
    <row r="186" spans="1:6" ht="32" x14ac:dyDescent="0.2">
      <c r="A186" s="2" t="s">
        <v>255</v>
      </c>
      <c r="B186" s="2" t="s">
        <v>152</v>
      </c>
      <c r="C186" s="2"/>
      <c r="D186" s="2" t="s">
        <v>310</v>
      </c>
      <c r="E186" s="2" t="str">
        <f t="shared" si="0"/>
        <v>Berufsstatus // Sociodemographic job status: job_status_official // Beamte</v>
      </c>
      <c r="F186" t="str">
        <f t="shared" si="1"/>
        <v>Berufsstatus // Beamte</v>
      </c>
    </row>
    <row r="187" spans="1:6" ht="32" x14ac:dyDescent="0.2">
      <c r="A187" s="2" t="s">
        <v>255</v>
      </c>
      <c r="B187" s="2" t="s">
        <v>153</v>
      </c>
      <c r="C187" s="2"/>
      <c r="D187" s="2" t="s">
        <v>311</v>
      </c>
      <c r="E187" s="2" t="str">
        <f t="shared" si="0"/>
        <v>Berufsstatus // Sociodemographic job status: job_status_self_employed // Selbständig</v>
      </c>
      <c r="F187" t="str">
        <f t="shared" si="1"/>
        <v>Berufsstatus // Selbständig</v>
      </c>
    </row>
    <row r="188" spans="1:6" ht="32" x14ac:dyDescent="0.2">
      <c r="A188" s="2" t="s">
        <v>255</v>
      </c>
      <c r="B188" s="2" t="s">
        <v>154</v>
      </c>
      <c r="C188" s="2"/>
      <c r="D188" s="2" t="s">
        <v>312</v>
      </c>
      <c r="E188" s="2" t="str">
        <f t="shared" si="0"/>
        <v>Berufsstatus // Sociodemographic job status: job_status_worker // Arbeiter</v>
      </c>
      <c r="F188" t="str">
        <f t="shared" si="1"/>
        <v>Berufsstatus // Arbeiter</v>
      </c>
    </row>
    <row r="189" spans="1:6" ht="32" x14ac:dyDescent="0.2">
      <c r="A189" s="2" t="s">
        <v>256</v>
      </c>
      <c r="B189" s="2" t="s">
        <v>155</v>
      </c>
      <c r="C189" s="2"/>
      <c r="D189" s="2" t="s">
        <v>313</v>
      </c>
      <c r="E189" s="2" t="str">
        <f t="shared" si="0"/>
        <v>Schulabschluss // Sociodemographic graduation: graduation_no // Schulabschluss: nein</v>
      </c>
      <c r="F189" t="str">
        <f t="shared" si="1"/>
        <v>Schulabschluss // Schulabschluss: nein</v>
      </c>
    </row>
    <row r="190" spans="1:6" ht="32" x14ac:dyDescent="0.2">
      <c r="A190" s="2" t="s">
        <v>256</v>
      </c>
      <c r="B190" s="2" t="s">
        <v>156</v>
      </c>
      <c r="C190" s="2"/>
      <c r="D190" s="2" t="s">
        <v>314</v>
      </c>
      <c r="E190" s="2" t="str">
        <f t="shared" si="0"/>
        <v>Schulabschluss // Sociodemographic graduation: graduation_yes // Schulabschluss: ja</v>
      </c>
      <c r="F190" t="str">
        <f t="shared" si="1"/>
        <v>Schulabschluss // Schulabschluss: ja</v>
      </c>
    </row>
    <row r="191" spans="1:6" ht="48" x14ac:dyDescent="0.2">
      <c r="A191" s="2" t="s">
        <v>257</v>
      </c>
      <c r="B191" s="2" t="s">
        <v>157</v>
      </c>
      <c r="C191" s="2"/>
      <c r="D191" s="2" t="s">
        <v>315</v>
      </c>
      <c r="E191" s="2" t="str">
        <f t="shared" si="0"/>
        <v>Ausbildung // Sociodemographic education: education_no_university // Lehre mit Abschluss / Gewerbe-, Fachschule m. Abschl., Meister</v>
      </c>
      <c r="F191" t="str">
        <f t="shared" si="1"/>
        <v>Ausbildung // Lehre mit Abschluss / Gewerbe-, Fachschule m. Abschl., Meister</v>
      </c>
    </row>
    <row r="192" spans="1:6" ht="48" x14ac:dyDescent="0.2">
      <c r="A192" s="2" t="s">
        <v>257</v>
      </c>
      <c r="B192" s="2" t="s">
        <v>158</v>
      </c>
      <c r="C192" s="2"/>
      <c r="D192" s="2" t="s">
        <v>316</v>
      </c>
      <c r="E192" s="2" t="str">
        <f t="shared" si="0"/>
        <v>Ausbildung // Sociodemographic education: education_trainy_or_less // noch in Lehre / andere Berufsausbildung / Rest</v>
      </c>
      <c r="F192" t="str">
        <f t="shared" si="1"/>
        <v>Ausbildung // noch in Lehre / andere Berufsausbildung / Rest</v>
      </c>
    </row>
    <row r="193" spans="1:6" ht="48" x14ac:dyDescent="0.2">
      <c r="A193" s="2" t="s">
        <v>257</v>
      </c>
      <c r="B193" s="2" t="s">
        <v>159</v>
      </c>
      <c r="C193" s="2"/>
      <c r="D193" s="2" t="s">
        <v>317</v>
      </c>
      <c r="E193" s="2" t="str">
        <f t="shared" si="0"/>
        <v>Ausbildung // Sociodemographic education: education_university_technical_college // Fachhochschulabschluss / Hochschulabschluss</v>
      </c>
      <c r="F193" t="str">
        <f t="shared" si="1"/>
        <v>Ausbildung // Fachhochschulabschluss / Hochschulabschluss</v>
      </c>
    </row>
    <row r="194" spans="1:6" ht="32" x14ac:dyDescent="0.2">
      <c r="A194" s="2" t="s">
        <v>258</v>
      </c>
      <c r="B194" s="2" t="s">
        <v>160</v>
      </c>
      <c r="C194" s="2"/>
      <c r="D194" s="2" t="s">
        <v>318</v>
      </c>
      <c r="E194" s="2" t="str">
        <f t="shared" si="0"/>
        <v>Wohnsituation // Sociodemographic living: living_owner_flat // Wohnungsbesitzer</v>
      </c>
      <c r="F194" t="str">
        <f t="shared" si="1"/>
        <v>Wohnsituation // Wohnungsbesitzer</v>
      </c>
    </row>
    <row r="195" spans="1:6" ht="32" x14ac:dyDescent="0.2">
      <c r="A195" s="2" t="s">
        <v>258</v>
      </c>
      <c r="B195" s="2" t="s">
        <v>161</v>
      </c>
      <c r="C195" s="2"/>
      <c r="D195" s="2" t="s">
        <v>319</v>
      </c>
      <c r="E195" s="2" t="str">
        <f t="shared" si="0"/>
        <v>Wohnsituation // Sociodemographic living: living_owner_home // Eigenheimbesitzer</v>
      </c>
      <c r="F195" t="str">
        <f t="shared" si="1"/>
        <v>Wohnsituation // Eigenheimbesitzer</v>
      </c>
    </row>
    <row r="196" spans="1:6" ht="32" x14ac:dyDescent="0.2">
      <c r="A196" s="2" t="s">
        <v>258</v>
      </c>
      <c r="B196" s="2" t="s">
        <v>162</v>
      </c>
      <c r="C196" s="2"/>
      <c r="D196" s="2" t="s">
        <v>320</v>
      </c>
      <c r="E196" s="2" t="str">
        <f t="shared" si="0"/>
        <v>Wohnsituation // Sociodemographic living: living_rent // Wohne zur Miete/ Untermiete</v>
      </c>
      <c r="F196" t="str">
        <f t="shared" si="1"/>
        <v>Wohnsituation // Wohne zur Miete/ Untermiete</v>
      </c>
    </row>
    <row r="197" spans="1:6" ht="32" x14ac:dyDescent="0.2">
      <c r="A197" s="2" t="s">
        <v>259</v>
      </c>
      <c r="B197" s="2" t="s">
        <v>163</v>
      </c>
      <c r="C197" s="2"/>
      <c r="D197" s="2" t="s">
        <v>321</v>
      </c>
      <c r="E197" s="2" t="str">
        <f t="shared" si="0"/>
        <v>Familienstand // Sociodemographic status: status_partnered_married // Partner/Verheiratet</v>
      </c>
      <c r="F197" t="str">
        <f t="shared" si="1"/>
        <v>Familienstand // Partner/Verheiratet</v>
      </c>
    </row>
    <row r="198" spans="1:6" ht="16" x14ac:dyDescent="0.2">
      <c r="A198" s="2" t="s">
        <v>259</v>
      </c>
      <c r="B198" s="2" t="s">
        <v>164</v>
      </c>
      <c r="C198" s="2"/>
      <c r="D198" s="2" t="s">
        <v>322</v>
      </c>
      <c r="E198" s="2" t="str">
        <f t="shared" si="0"/>
        <v>Familienstand // Sociodemographic status: status_single // Single</v>
      </c>
      <c r="F198" t="str">
        <f t="shared" si="1"/>
        <v>Familienstand // Single</v>
      </c>
    </row>
    <row r="199" spans="1:6" ht="32" x14ac:dyDescent="0.2">
      <c r="A199" s="2" t="s">
        <v>260</v>
      </c>
      <c r="B199" s="2" t="s">
        <v>165</v>
      </c>
      <c r="C199" s="2"/>
      <c r="D199" s="2" t="s">
        <v>323</v>
      </c>
      <c r="E199" s="2" t="str">
        <f t="shared" si="0"/>
        <v>Familie mit Kindern // Interests kids3: kids&lt;3_years // Hörer, die mit Kindern unter 3 Jahre in einem Haushalt leben</v>
      </c>
      <c r="F199" t="str">
        <f t="shared" si="1"/>
        <v>Familie mit Kindern // Hörer, die mit Kindern unter 3 Jahre in einem Haushalt leben</v>
      </c>
    </row>
    <row r="200" spans="1:6" ht="32" x14ac:dyDescent="0.2">
      <c r="A200" s="2" t="s">
        <v>260</v>
      </c>
      <c r="B200" s="2" t="s">
        <v>166</v>
      </c>
      <c r="C200" s="2"/>
      <c r="D200" s="2" t="s">
        <v>324</v>
      </c>
      <c r="E200" s="2" t="str">
        <f t="shared" si="0"/>
        <v>Familie mit Kindern // Interests kids3: no_kids&lt;3_years // keine Kinder &lt;3</v>
      </c>
      <c r="F200" t="str">
        <f t="shared" si="1"/>
        <v>Familie mit Kindern // keine Kinder &lt;3</v>
      </c>
    </row>
    <row r="201" spans="1:6" ht="16" x14ac:dyDescent="0.2">
      <c r="A201" s="2" t="s">
        <v>260</v>
      </c>
      <c r="B201" s="2" t="s">
        <v>167</v>
      </c>
      <c r="C201" s="2"/>
      <c r="D201" s="2" t="s">
        <v>325</v>
      </c>
      <c r="E201" s="2" t="str">
        <f t="shared" si="0"/>
        <v>Familie mit Kindern // Interests kids6: kids&lt;6_years // Kinder &lt;6</v>
      </c>
      <c r="F201" t="str">
        <f t="shared" si="1"/>
        <v>Familie mit Kindern // Kinder &lt;6</v>
      </c>
    </row>
    <row r="202" spans="1:6" ht="32" x14ac:dyDescent="0.2">
      <c r="A202" s="2" t="s">
        <v>260</v>
      </c>
      <c r="B202" s="2" t="s">
        <v>168</v>
      </c>
      <c r="C202" s="2"/>
      <c r="D202" s="2" t="s">
        <v>326</v>
      </c>
      <c r="E202" s="2" t="str">
        <f t="shared" si="0"/>
        <v>Familie mit Kindern // Interests kids6: no_kids&lt;6_years // keine Kinder &lt;6</v>
      </c>
      <c r="F202" t="str">
        <f t="shared" si="1"/>
        <v>Familie mit Kindern // keine Kinder &lt;6</v>
      </c>
    </row>
    <row r="203" spans="1:6" ht="32" x14ac:dyDescent="0.2">
      <c r="A203" s="2" t="s">
        <v>260</v>
      </c>
      <c r="B203" s="2" t="s">
        <v>169</v>
      </c>
      <c r="C203" s="2"/>
      <c r="D203" s="2" t="s">
        <v>327</v>
      </c>
      <c r="E203" s="2" t="str">
        <f t="shared" si="0"/>
        <v>Familie mit Kindern // Interests kids14: kids&lt;14_years // Kinder &lt;14</v>
      </c>
      <c r="F203" t="str">
        <f t="shared" si="1"/>
        <v>Familie mit Kindern // Kinder &lt;14</v>
      </c>
    </row>
    <row r="204" spans="1:6" ht="32" x14ac:dyDescent="0.2">
      <c r="A204" s="2" t="s">
        <v>260</v>
      </c>
      <c r="B204" s="2" t="s">
        <v>170</v>
      </c>
      <c r="C204" s="2"/>
      <c r="D204" s="2" t="s">
        <v>328</v>
      </c>
      <c r="E204" s="2" t="str">
        <f t="shared" si="0"/>
        <v>Familie mit Kindern // Interests kids14: no_kids&lt;14_years // keine Kinder &lt;14</v>
      </c>
      <c r="F204" t="str">
        <f t="shared" si="1"/>
        <v>Familie mit Kindern // keine Kinder &lt;14</v>
      </c>
    </row>
    <row r="205" spans="1:6" ht="48" x14ac:dyDescent="0.2">
      <c r="A205" s="2" t="s">
        <v>261</v>
      </c>
      <c r="B205" s="2" t="s">
        <v>171</v>
      </c>
      <c r="C205" s="2"/>
      <c r="D205" s="2" t="s">
        <v>329</v>
      </c>
      <c r="E205" s="2" t="str">
        <f t="shared" si="0"/>
        <v>Kinderwunsch // Interests baby: want_baby_pregnant // Nutzer mit Kinderwunsch und Interesse an Babybedarf und Schwangerschaftsthemen</v>
      </c>
      <c r="F205" t="str">
        <f t="shared" si="1"/>
        <v>Kinderwunsch // Nutzer mit Kinderwunsch und Interesse an Babybedarf und Schwangerschaftsthemen</v>
      </c>
    </row>
    <row r="206" spans="1:6" ht="48" x14ac:dyDescent="0.2">
      <c r="A206" s="2" t="s">
        <v>262</v>
      </c>
      <c r="B206" s="2" t="s">
        <v>172</v>
      </c>
      <c r="C206" s="2"/>
      <c r="D206" s="2" t="s">
        <v>330</v>
      </c>
      <c r="E206" s="2" t="str">
        <f t="shared" si="0"/>
        <v>Interessen &amp; Kaufabsichten // Interests home deco: home_deco // Nutzer mit Interesse an Basteln und Dekorieren sowie Hobby-Handarbeit wie Stricken und Nähen</v>
      </c>
      <c r="F206" t="str">
        <f t="shared" si="1"/>
        <v>Interessen &amp; Kaufabsichten // Nutzer mit Interesse an Basteln und Dekorieren sowie Hobby-Handarbeit wie Stricken und Nähen</v>
      </c>
    </row>
    <row r="207" spans="1:6" ht="64" x14ac:dyDescent="0.2">
      <c r="A207" s="2" t="s">
        <v>262</v>
      </c>
      <c r="B207" s="2" t="s">
        <v>173</v>
      </c>
      <c r="C207" s="2"/>
      <c r="D207" s="2" t="s">
        <v>331</v>
      </c>
      <c r="E207" s="2" t="str">
        <f t="shared" si="0"/>
        <v>Interessen &amp; Kaufabsichten // Interests home garden: home_garden // Nutzer, die sich für Themen wir Garten, Pflanzen, Kräuter und Bäume, Gartengestaltung und Landschaftsbau interessieren</v>
      </c>
      <c r="F207" t="str">
        <f t="shared" si="1"/>
        <v>Interessen &amp; Kaufabsichten // Nutzer, die sich für Themen wir Garten, Pflanzen, Kräuter und Bäume, Gartengestaltung und Landschaftsbau interessieren</v>
      </c>
    </row>
    <row r="208" spans="1:6" ht="64" x14ac:dyDescent="0.2">
      <c r="A208" s="2" t="s">
        <v>262</v>
      </c>
      <c r="B208" s="2" t="s">
        <v>174</v>
      </c>
      <c r="C208" s="2"/>
      <c r="D208" s="2" t="s">
        <v>332</v>
      </c>
      <c r="E208" s="2" t="str">
        <f t="shared" si="0"/>
        <v>Interessen &amp; Kaufabsichten // Interests home handyman: home_handyman // Heimwerkaffine Nutzer mit Interesse an Werkzeugen, Renovierungsarbeiten sowie Möbelbau und Holzarbeiten</v>
      </c>
      <c r="F208" t="str">
        <f t="shared" si="1"/>
        <v>Interessen &amp; Kaufabsichten // Heimwerkaffine Nutzer mit Interesse an Werkzeugen, Renovierungsarbeiten sowie Möbelbau und Holzarbeiten</v>
      </c>
    </row>
    <row r="209" spans="1:6" ht="48" x14ac:dyDescent="0.2">
      <c r="A209" s="2" t="s">
        <v>262</v>
      </c>
      <c r="B209" s="2" t="s">
        <v>175</v>
      </c>
      <c r="C209" s="2"/>
      <c r="D209" s="2" t="s">
        <v>333</v>
      </c>
      <c r="E209" s="2" t="str">
        <f t="shared" si="0"/>
        <v>Interessen &amp; Kaufabsichten // Interests home builder: home_builder // Haus- und Gartenbesitzer sowie Interessierte an Bauen, Wohnen, Baufinanzierung, Heimwerken und Renovieren</v>
      </c>
      <c r="F209" t="str">
        <f t="shared" si="1"/>
        <v>Interessen &amp; Kaufabsichten // Haus- und Gartenbesitzer sowie Interessierte an Bauen, Wohnen, Baufinanzierung, Heimwerken und Renovieren</v>
      </c>
    </row>
    <row r="210" spans="1:6" ht="32" x14ac:dyDescent="0.2">
      <c r="A210" s="2" t="s">
        <v>262</v>
      </c>
      <c r="B210" s="2" t="s">
        <v>176</v>
      </c>
      <c r="C210" s="2"/>
      <c r="D210" s="2" t="s">
        <v>334</v>
      </c>
      <c r="E210" s="2" t="str">
        <f t="shared" si="0"/>
        <v>Interessen &amp; Kaufabsichten // Interests kitchen-furniture: kitchen-furniture // Nutzer, die beabsichtigen eine Küche zu kaufen</v>
      </c>
      <c r="F210" t="str">
        <f t="shared" si="1"/>
        <v>Interessen &amp; Kaufabsichten // Nutzer, die beabsichtigen eine Küche zu kaufen</v>
      </c>
    </row>
    <row r="211" spans="1:6" ht="64" x14ac:dyDescent="0.2">
      <c r="A211" s="2" t="s">
        <v>263</v>
      </c>
      <c r="B211" s="2" t="s">
        <v>177</v>
      </c>
      <c r="C211" s="2"/>
      <c r="D211" s="2" t="s">
        <v>335</v>
      </c>
      <c r="E211" s="2" t="str">
        <f t="shared" si="0"/>
        <v>Business // Interests career: career // Karriereorientierte sowie jobinteressierte Nutzer, die sich für berufliche Werdegänge und Entwicklungen wie Seminare und Bildungsmöglichkeiten interessieren</v>
      </c>
      <c r="F211" t="str">
        <f t="shared" si="1"/>
        <v>Business // Karriereorientierte sowie jobinteressierte Nutzer, die sich für berufliche Werdegänge und Entwicklungen wie Seminare und Bildungsmöglichkeiten interessieren</v>
      </c>
    </row>
    <row r="212" spans="1:6" ht="48" x14ac:dyDescent="0.2">
      <c r="A212" s="2" t="s">
        <v>263</v>
      </c>
      <c r="B212" s="2" t="s">
        <v>178</v>
      </c>
      <c r="C212" s="2"/>
      <c r="D212" s="2" t="s">
        <v>336</v>
      </c>
      <c r="E212" s="2" t="str">
        <f t="shared" si="0"/>
        <v>Business // Interests economy: economy // Nutzer mit erhöhtem Interesse an wirtschaftlichen Themen wie Börseninformationen, Versicherungen, Kredite, Immobilien, Geldanlagen</v>
      </c>
      <c r="F212" t="str">
        <f t="shared" si="1"/>
        <v>Business // Nutzer mit erhöhtem Interesse an wirtschaftlichen Themen wie Börseninformationen, Versicherungen, Kredite, Immobilien, Geldanlagen</v>
      </c>
    </row>
    <row r="213" spans="1:6" ht="64" x14ac:dyDescent="0.2">
      <c r="A213" s="2" t="s">
        <v>263</v>
      </c>
      <c r="B213" s="2" t="s">
        <v>179</v>
      </c>
      <c r="C213" s="2"/>
      <c r="D213" s="2" t="s">
        <v>337</v>
      </c>
      <c r="E213" s="2" t="str">
        <f t="shared" si="0"/>
        <v>Business // Interests insurance: insurance // Nutzer, die sich vermehrt mit dem Thema Versicherungen auseinandersetzen, dazu zählen u.a. Renten-, Kranken-, Hausrat-, Rechtschutz- und Lebensversicherungen</v>
      </c>
      <c r="F213" t="str">
        <f t="shared" si="1"/>
        <v>Business // Nutzer, die sich vermehrt mit dem Thema Versicherungen auseinandersetzen, dazu zählen u.a. Renten-, Kranken-, Hausrat-, Rechtschutz- und Lebensversicherungen</v>
      </c>
    </row>
    <row r="214" spans="1:6" ht="64" x14ac:dyDescent="0.2">
      <c r="A214" s="2" t="s">
        <v>264</v>
      </c>
      <c r="B214" s="2" t="s">
        <v>180</v>
      </c>
      <c r="C214" s="2"/>
      <c r="D214" s="2" t="s">
        <v>338</v>
      </c>
      <c r="E214" s="2" t="str">
        <f t="shared" si="0"/>
        <v>Automobil // Interests cars: cars // Beinhaltet Automobil- und Kfz-Interessierte, die sowohl an Neuwagen als auch an Gebrauchtwagen sowie an Kfz-Zubehör wie Ersatz- und Reparaturteile sowie Reifen interessiert sind</v>
      </c>
      <c r="F214" t="str">
        <f t="shared" si="1"/>
        <v>Automobil // Beinhaltet Automobil- und Kfz-Interessierte, die sowohl an Neuwagen als auch an Gebrauchtwagen sowie an Kfz-Zubehör wie Ersatz- und Reparaturteile sowie Reifen interessiert sind</v>
      </c>
    </row>
    <row r="215" spans="1:6" ht="48" x14ac:dyDescent="0.2">
      <c r="A215" s="2" t="s">
        <v>264</v>
      </c>
      <c r="B215" s="2" t="s">
        <v>181</v>
      </c>
      <c r="C215" s="2"/>
      <c r="D215" s="2" t="s">
        <v>339</v>
      </c>
      <c r="E215" s="2" t="str">
        <f t="shared" si="0"/>
        <v>Automobil // Interests new cars: new_cars // Neuwageninteressierte unter Berücksichtigung von Automobilmarken und Infromationen der Automobilbranche</v>
      </c>
      <c r="F215" t="str">
        <f t="shared" si="1"/>
        <v>Automobil // Neuwageninteressierte unter Berücksichtigung von Automobilmarken und Infromationen der Automobilbranche</v>
      </c>
    </row>
    <row r="216" spans="1:6" ht="32" x14ac:dyDescent="0.2">
      <c r="A216" s="2" t="s">
        <v>264</v>
      </c>
      <c r="B216" s="2" t="s">
        <v>182</v>
      </c>
      <c r="C216" s="2"/>
      <c r="D216" s="2" t="s">
        <v>340</v>
      </c>
      <c r="E216" s="2" t="str">
        <f t="shared" si="0"/>
        <v>Automobil // Interests Brand: SEAT // Beinhaltet Nutzer, die überdurschnittliches Interesse an der Marke SEAT haben</v>
      </c>
      <c r="F216" t="str">
        <f t="shared" si="1"/>
        <v>Automobil // Beinhaltet Nutzer, die überdurschnittliches Interesse an der Marke SEAT haben</v>
      </c>
    </row>
    <row r="217" spans="1:6" ht="32" x14ac:dyDescent="0.2">
      <c r="A217" s="2" t="s">
        <v>264</v>
      </c>
      <c r="B217" s="2" t="s">
        <v>183</v>
      </c>
      <c r="C217" s="2"/>
      <c r="D217" s="2" t="s">
        <v>341</v>
      </c>
      <c r="E217" s="2" t="str">
        <f t="shared" si="0"/>
        <v>Automobil // Interests Brand: BMW // Beinhaltet Nutzer, die überdurschnittliches Interesse an der Marke BMW haben</v>
      </c>
      <c r="F217" t="str">
        <f t="shared" si="1"/>
        <v>Automobil // Beinhaltet Nutzer, die überdurschnittliches Interesse an der Marke BMW haben</v>
      </c>
    </row>
    <row r="218" spans="1:6" ht="32" x14ac:dyDescent="0.2">
      <c r="A218" s="2" t="s">
        <v>264</v>
      </c>
      <c r="B218" s="2" t="s">
        <v>184</v>
      </c>
      <c r="C218" s="2"/>
      <c r="D218" s="2" t="s">
        <v>342</v>
      </c>
      <c r="E218" s="2" t="str">
        <f t="shared" si="0"/>
        <v>Automobil // Interests: e-mobility // Beinhaltet Nutzer, die überdurschnittliches Interesse an Elektromobilität haben</v>
      </c>
      <c r="F218" t="str">
        <f t="shared" si="1"/>
        <v>Automobil // Beinhaltet Nutzer, die überdurschnittliches Interesse an Elektromobilität haben</v>
      </c>
    </row>
    <row r="219" spans="1:6" ht="32" x14ac:dyDescent="0.2">
      <c r="A219" s="2" t="s">
        <v>264</v>
      </c>
      <c r="B219" s="2" t="s">
        <v>185</v>
      </c>
      <c r="C219" s="2"/>
      <c r="D219" s="2" t="s">
        <v>343</v>
      </c>
      <c r="E219" s="2" t="str">
        <f t="shared" si="0"/>
        <v>Automobil // Intention new car 3y: new_car_3y // Neuwagenkäufer in den nächsten drei Jahren</v>
      </c>
      <c r="F219" t="str">
        <f t="shared" si="1"/>
        <v>Automobil // Neuwagenkäufer in den nächsten drei Jahren</v>
      </c>
    </row>
    <row r="220" spans="1:6" ht="32" x14ac:dyDescent="0.2">
      <c r="A220" s="2" t="s">
        <v>264</v>
      </c>
      <c r="B220" s="2" t="s">
        <v>186</v>
      </c>
      <c r="C220" s="2"/>
      <c r="D220" s="2" t="s">
        <v>344</v>
      </c>
      <c r="E220" s="2" t="str">
        <f t="shared" si="0"/>
        <v>Automobil // Intention drivers license: drivers_license // Besitzer eines Führerscheins</v>
      </c>
      <c r="F220" t="str">
        <f t="shared" si="1"/>
        <v>Automobil // Besitzer eines Führerscheins</v>
      </c>
    </row>
    <row r="221" spans="1:6" ht="48" x14ac:dyDescent="0.2">
      <c r="A221" s="2" t="s">
        <v>265</v>
      </c>
      <c r="B221" s="2" t="s">
        <v>187</v>
      </c>
      <c r="C221" s="2"/>
      <c r="D221" s="2" t="s">
        <v>345</v>
      </c>
      <c r="E221" s="2" t="str">
        <f t="shared" si="0"/>
        <v>Consumer Electronics // Intention mobile contract: mobile_contract // Kaufabsicht eines Mobilfunkgeräts oder Mobilfunktarifs in den nächsten 9 Monaten</v>
      </c>
      <c r="F221" t="str">
        <f t="shared" si="1"/>
        <v>Consumer Electronics // Kaufabsicht eines Mobilfunkgeräts oder Mobilfunktarifs in den nächsten 9 Monaten</v>
      </c>
    </row>
    <row r="222" spans="1:6" ht="64" x14ac:dyDescent="0.2">
      <c r="A222" s="2" t="s">
        <v>265</v>
      </c>
      <c r="B222" s="2" t="s">
        <v>188</v>
      </c>
      <c r="C222" s="2"/>
      <c r="D222" s="2" t="s">
        <v>346</v>
      </c>
      <c r="E222" s="2" t="str">
        <f t="shared" si="0"/>
        <v>Consumer Electronics // Interests computer: computer // Nutzer mit Interesse an Computern, Computerzubehör, Software und Hardware, Netzwerktechnologien, Rechnerkomponenten sowie Programmierthemen</v>
      </c>
      <c r="F222" t="str">
        <f t="shared" si="1"/>
        <v>Consumer Electronics // Nutzer mit Interesse an Computern, Computerzubehör, Software und Hardware, Netzwerktechnologien, Rechnerkomponenten sowie Programmierthemen</v>
      </c>
    </row>
    <row r="223" spans="1:6" ht="48" x14ac:dyDescent="0.2">
      <c r="A223" s="2" t="s">
        <v>265</v>
      </c>
      <c r="B223" s="2" t="s">
        <v>189</v>
      </c>
      <c r="C223" s="2"/>
      <c r="D223" s="2" t="s">
        <v>347</v>
      </c>
      <c r="E223" s="2" t="str">
        <f t="shared" si="0"/>
        <v>Consumer Electronics // Interests hifi tv: hifi_tv // Nutzer mit Interesse an TV und HiFi, Konsolen, Heimkinos, Musikanlagen und -systeme</v>
      </c>
      <c r="F223" t="str">
        <f t="shared" si="1"/>
        <v>Consumer Electronics // Nutzer mit Interesse an TV und HiFi, Konsolen, Heimkinos, Musikanlagen und -systeme</v>
      </c>
    </row>
    <row r="224" spans="1:6" ht="48" x14ac:dyDescent="0.2">
      <c r="A224" s="2" t="s">
        <v>265</v>
      </c>
      <c r="B224" s="2" t="s">
        <v>190</v>
      </c>
      <c r="C224" s="2"/>
      <c r="D224" s="2" t="s">
        <v>348</v>
      </c>
      <c r="E224" s="2" t="str">
        <f t="shared" ref="E224:E284" si="2">A224&amp;" // "&amp;B224&amp;" // "&amp;D224</f>
        <v>Consumer Electronics // Interests photo: photo // Nutzer mit Interesse an Kameras, Photographie, Kunst und technischem Zubehör</v>
      </c>
      <c r="F224" t="str">
        <f t="shared" ref="F224:F284" si="3">A224&amp;" // "&amp;D224</f>
        <v>Consumer Electronics // Nutzer mit Interesse an Kameras, Photographie, Kunst und technischem Zubehör</v>
      </c>
    </row>
    <row r="225" spans="1:6" ht="32" x14ac:dyDescent="0.2">
      <c r="A225" s="2" t="s">
        <v>265</v>
      </c>
      <c r="B225" s="2" t="s">
        <v>191</v>
      </c>
      <c r="C225" s="2"/>
      <c r="D225" s="2" t="s">
        <v>349</v>
      </c>
      <c r="E225" s="2" t="str">
        <f t="shared" si="2"/>
        <v>Consumer Electronics // Interests audio-streaming: r83 // Nutzer, die Audio-Streaming Dienste nutzen</v>
      </c>
      <c r="F225" t="str">
        <f t="shared" si="3"/>
        <v>Consumer Electronics // Nutzer, die Audio-Streaming Dienste nutzen</v>
      </c>
    </row>
    <row r="226" spans="1:6" ht="48" x14ac:dyDescent="0.2">
      <c r="A226" s="2" t="s">
        <v>265</v>
      </c>
      <c r="B226" s="2" t="s">
        <v>192</v>
      </c>
      <c r="C226" s="2"/>
      <c r="D226" s="2" t="s">
        <v>350</v>
      </c>
      <c r="E226" s="2" t="str">
        <f t="shared" si="2"/>
        <v>Consumer Electronics // Interests mobile tech: mobile_tech // Nutzer mit Interesse an Smartphones, Tablets sowie deren Technologie, Apps und Zubehör</v>
      </c>
      <c r="F226" t="str">
        <f t="shared" si="3"/>
        <v>Consumer Electronics // Nutzer mit Interesse an Smartphones, Tablets sowie deren Technologie, Apps und Zubehör</v>
      </c>
    </row>
    <row r="227" spans="1:6" ht="32" x14ac:dyDescent="0.2">
      <c r="A227" s="2" t="s">
        <v>266</v>
      </c>
      <c r="B227" s="2" t="s">
        <v>193</v>
      </c>
      <c r="C227" s="2"/>
      <c r="D227" s="2" t="s">
        <v>351</v>
      </c>
      <c r="E227" s="2" t="str">
        <f t="shared" si="2"/>
        <v>Entertainment // Intention pay tv: pay_tv // Nutzer die mindestens einen PayTV Sender abonniert haben</v>
      </c>
      <c r="F227" t="str">
        <f t="shared" si="3"/>
        <v>Entertainment // Nutzer die mindestens einen PayTV Sender abonniert haben</v>
      </c>
    </row>
    <row r="228" spans="1:6" ht="32" x14ac:dyDescent="0.2">
      <c r="A228" s="2" t="s">
        <v>266</v>
      </c>
      <c r="B228" s="2" t="s">
        <v>194</v>
      </c>
      <c r="C228" s="2"/>
      <c r="D228" s="2" t="s">
        <v>352</v>
      </c>
      <c r="E228" s="2" t="str">
        <f t="shared" si="2"/>
        <v>Entertainment // Intention no tv: no_tv // Nutzer, die kein lineares TV schauen</v>
      </c>
      <c r="F228" t="str">
        <f t="shared" si="3"/>
        <v>Entertainment // Nutzer, die kein lineares TV schauen</v>
      </c>
    </row>
    <row r="229" spans="1:6" ht="32" x14ac:dyDescent="0.2">
      <c r="A229" s="2" t="s">
        <v>266</v>
      </c>
      <c r="B229" s="2" t="s">
        <v>195</v>
      </c>
      <c r="C229" s="2"/>
      <c r="D229" s="2" t="s">
        <v>353</v>
      </c>
      <c r="E229" s="2" t="str">
        <f t="shared" si="2"/>
        <v>Entertainment // Intention newspaper: newspaper // Nutzer, die regelmässig eine Tageszeitung lesen</v>
      </c>
      <c r="F229" t="str">
        <f t="shared" si="3"/>
        <v>Entertainment // Nutzer, die regelmässig eine Tageszeitung lesen</v>
      </c>
    </row>
    <row r="230" spans="1:6" ht="32" x14ac:dyDescent="0.2">
      <c r="A230" s="2" t="s">
        <v>266</v>
      </c>
      <c r="B230" s="2" t="s">
        <v>196</v>
      </c>
      <c r="C230" s="2"/>
      <c r="D230" s="2" t="s">
        <v>354</v>
      </c>
      <c r="E230" s="2" t="str">
        <f t="shared" si="2"/>
        <v>Entertainment // Interests casual gaming: casual gaming // Gamer mit Interesse an PC-, Konsolen-, Online- und Browsergames</v>
      </c>
      <c r="F230" t="str">
        <f t="shared" si="3"/>
        <v>Entertainment // Gamer mit Interesse an PC-, Konsolen-, Online- und Browsergames</v>
      </c>
    </row>
    <row r="231" spans="1:6" ht="48" x14ac:dyDescent="0.2">
      <c r="A231" s="2" t="s">
        <v>266</v>
      </c>
      <c r="B231" s="2" t="s">
        <v>197</v>
      </c>
      <c r="C231" s="2"/>
      <c r="D231" s="2" t="s">
        <v>354</v>
      </c>
      <c r="E231" s="2" t="str">
        <f t="shared" si="2"/>
        <v>Entertainment // Interests hardcore gaming: hardcore gaming // Gamer mit Interesse an PC-, Konsolen-, Online- und Browsergames</v>
      </c>
      <c r="F231" t="str">
        <f t="shared" si="3"/>
        <v>Entertainment // Gamer mit Interesse an PC-, Konsolen-, Online- und Browsergames</v>
      </c>
    </row>
    <row r="232" spans="1:6" ht="48" x14ac:dyDescent="0.2">
      <c r="A232" s="2" t="s">
        <v>266</v>
      </c>
      <c r="B232" s="2" t="s">
        <v>198</v>
      </c>
      <c r="C232" s="2"/>
      <c r="D232" s="2" t="s">
        <v>355</v>
      </c>
      <c r="E232" s="2" t="str">
        <f t="shared" si="2"/>
        <v>Entertainment // Interests gambling: gambling // Nutzer mit Interesse an Glücksspiel, Lotto und systemischen Wetten wir Sport- oder Pferdewetten</v>
      </c>
      <c r="F232" t="str">
        <f t="shared" si="3"/>
        <v>Entertainment // Nutzer mit Interesse an Glücksspiel, Lotto und systemischen Wetten wir Sport- oder Pferdewetten</v>
      </c>
    </row>
    <row r="233" spans="1:6" ht="32" x14ac:dyDescent="0.2">
      <c r="A233" s="2" t="s">
        <v>266</v>
      </c>
      <c r="B233" s="2" t="s">
        <v>199</v>
      </c>
      <c r="C233" s="2"/>
      <c r="D233" s="2" t="s">
        <v>356</v>
      </c>
      <c r="E233" s="2" t="str">
        <f t="shared" si="2"/>
        <v>Entertainment // Interests dating: dating // Nutzer mit Interesse an Themen rund um Partnersuche, Flirten und Dating</v>
      </c>
      <c r="F233" t="str">
        <f t="shared" si="3"/>
        <v>Entertainment // Nutzer mit Interesse an Themen rund um Partnersuche, Flirten und Dating</v>
      </c>
    </row>
    <row r="234" spans="1:6" ht="48" x14ac:dyDescent="0.2">
      <c r="A234" s="2" t="s">
        <v>266</v>
      </c>
      <c r="B234" s="2" t="s">
        <v>200</v>
      </c>
      <c r="C234" s="2"/>
      <c r="D234" s="2" t="s">
        <v>357</v>
      </c>
      <c r="E234" s="2" t="str">
        <f t="shared" si="2"/>
        <v>Entertainment // Interests entertainment: entertainment // Nutzer mit Interesse an Kino, Film, DVDs, Musik, TV und Literatur soei die dazugehörigen Programme und Kritiken</v>
      </c>
      <c r="F234" t="str">
        <f t="shared" si="3"/>
        <v>Entertainment // Nutzer mit Interesse an Kino, Film, DVDs, Musik, TV und Literatur soei die dazugehörigen Programme und Kritiken</v>
      </c>
    </row>
    <row r="235" spans="1:6" ht="48" x14ac:dyDescent="0.2">
      <c r="A235" s="2" t="s">
        <v>266</v>
      </c>
      <c r="B235" s="2" t="s">
        <v>201</v>
      </c>
      <c r="C235" s="2"/>
      <c r="D235" s="2" t="s">
        <v>358</v>
      </c>
      <c r="E235" s="2" t="str">
        <f t="shared" si="2"/>
        <v>Entertainment // Interests film: film // Film-, Kino- und TV-interessierte sowie Nutzer mit Interesse an Streamingdiensten und Serien</v>
      </c>
      <c r="F235" t="str">
        <f t="shared" si="3"/>
        <v>Entertainment // Film-, Kino- und TV-interessierte sowie Nutzer mit Interesse an Streamingdiensten und Serien</v>
      </c>
    </row>
    <row r="236" spans="1:6" ht="64" x14ac:dyDescent="0.2">
      <c r="A236" s="2" t="s">
        <v>266</v>
      </c>
      <c r="B236" s="2" t="s">
        <v>202</v>
      </c>
      <c r="C236" s="2"/>
      <c r="D236" s="2" t="s">
        <v>359</v>
      </c>
      <c r="E236" s="2" t="str">
        <f t="shared" si="2"/>
        <v>Entertainment // Interests literature: literature // Nutzer mit medienunabhängigem Interesse an Literatur und Autoren, Lesungen und Literaturkritiken sowie e-Books, Biographien, Romanliteratur sowie Sachbücher</v>
      </c>
      <c r="F236" t="str">
        <f t="shared" si="3"/>
        <v>Entertainment // Nutzer mit medienunabhängigem Interesse an Literatur und Autoren, Lesungen und Literaturkritiken sowie e-Books, Biographien, Romanliteratur sowie Sachbücher</v>
      </c>
    </row>
    <row r="237" spans="1:6" ht="48" x14ac:dyDescent="0.2">
      <c r="A237" s="2" t="s">
        <v>266</v>
      </c>
      <c r="B237" s="2" t="s">
        <v>203</v>
      </c>
      <c r="C237" s="2"/>
      <c r="D237" s="2" t="s">
        <v>360</v>
      </c>
      <c r="E237" s="2" t="str">
        <f t="shared" si="2"/>
        <v>Entertainment // Interests art culture: art_culture // Nutzer mit Interesse an Kunst, Kultur und Literatur sowie Museen und Ausstellungen, Theater, Opern, Musicals und Konzerten</v>
      </c>
      <c r="F237" t="str">
        <f t="shared" si="3"/>
        <v>Entertainment // Nutzer mit Interesse an Kunst, Kultur und Literatur sowie Museen und Ausstellungen, Theater, Opern, Musicals und Konzerten</v>
      </c>
    </row>
    <row r="238" spans="1:6" ht="96" x14ac:dyDescent="0.2">
      <c r="A238" s="2" t="s">
        <v>266</v>
      </c>
      <c r="B238" s="2" t="s">
        <v>204</v>
      </c>
      <c r="C238" s="2"/>
      <c r="D238" s="2" t="s">
        <v>361</v>
      </c>
      <c r="E238" s="2" t="str">
        <f t="shared" si="2"/>
        <v>Entertainment // Interests music: music // Nutzer mit Interesse an Musik, Festivals, Konzerten, Charts, Musikinstrumenten sowie an Streamingdiensten - Weiterhin sind Nutzer enthalten, die Interesse an unterschiedlichen Musikgenres wie klassischer oder elektronischer Musik sowie Rock &amp; Pop haben, ebenso wie DJs und Bands</v>
      </c>
      <c r="F238" t="str">
        <f t="shared" si="3"/>
        <v>Entertainment // Nutzer mit Interesse an Musik, Festivals, Konzerten, Charts, Musikinstrumenten sowie an Streamingdiensten - Weiterhin sind Nutzer enthalten, die Interesse an unterschiedlichen Musikgenres wie klassischer oder elektronischer Musik sowie Rock &amp; Pop haben, ebenso wie DJs und Bands</v>
      </c>
    </row>
    <row r="239" spans="1:6" ht="32" x14ac:dyDescent="0.2">
      <c r="A239" s="2" t="s">
        <v>267</v>
      </c>
      <c r="B239" s="2" t="s">
        <v>205</v>
      </c>
      <c r="C239" s="2"/>
      <c r="D239" s="2" t="s">
        <v>362</v>
      </c>
      <c r="E239" s="2" t="str">
        <f t="shared" si="2"/>
        <v>Audio // Interests pop rock: pop rock // Hörer von Pop &amp; Rock Musik</v>
      </c>
      <c r="F239" t="str">
        <f t="shared" si="3"/>
        <v>Audio // Hörer von Pop &amp; Rock Musik</v>
      </c>
    </row>
    <row r="240" spans="1:6" ht="32" x14ac:dyDescent="0.2">
      <c r="A240" s="2" t="s">
        <v>267</v>
      </c>
      <c r="B240" s="2" t="s">
        <v>206</v>
      </c>
      <c r="C240" s="2"/>
      <c r="D240" s="2" t="s">
        <v>363</v>
      </c>
      <c r="E240" s="2" t="str">
        <f t="shared" si="2"/>
        <v>Audio // Interests hiphop rap: hiphop rap // Hörer von Hip-Hop &amp; Rap Musik</v>
      </c>
      <c r="F240" t="str">
        <f t="shared" si="3"/>
        <v>Audio // Hörer von Hip-Hop &amp; Rap Musik</v>
      </c>
    </row>
    <row r="241" spans="1:6" ht="32" x14ac:dyDescent="0.2">
      <c r="A241" s="2" t="s">
        <v>267</v>
      </c>
      <c r="B241" s="2" t="s">
        <v>207</v>
      </c>
      <c r="C241" s="2"/>
      <c r="D241" s="2" t="s">
        <v>364</v>
      </c>
      <c r="E241" s="2" t="str">
        <f t="shared" si="2"/>
        <v>Audio // Interests classic jazz: classic jazz // Hörer von Klassik &amp; Jazz Musik</v>
      </c>
      <c r="F241" t="str">
        <f t="shared" si="3"/>
        <v>Audio // Hörer von Klassik &amp; Jazz Musik</v>
      </c>
    </row>
    <row r="242" spans="1:6" ht="16" x14ac:dyDescent="0.2">
      <c r="A242" s="2" t="s">
        <v>267</v>
      </c>
      <c r="B242" s="2" t="s">
        <v>208</v>
      </c>
      <c r="C242" s="2"/>
      <c r="D242" s="2" t="s">
        <v>365</v>
      </c>
      <c r="E242" s="2" t="str">
        <f t="shared" si="2"/>
        <v>Audio // Interests oldies: oldies // Hörer von Oldies Musik</v>
      </c>
      <c r="F242" t="str">
        <f t="shared" si="3"/>
        <v>Audio // Hörer von Oldies Musik</v>
      </c>
    </row>
    <row r="243" spans="1:6" ht="16" x14ac:dyDescent="0.2">
      <c r="A243" s="2" t="s">
        <v>267</v>
      </c>
      <c r="B243" s="2" t="s">
        <v>209</v>
      </c>
      <c r="C243" s="2"/>
      <c r="D243" s="2" t="s">
        <v>366</v>
      </c>
      <c r="E243" s="2" t="str">
        <f t="shared" si="2"/>
        <v>Audio // Interests schlager: schlager // Hörer von Schlager Musik</v>
      </c>
      <c r="F243" t="str">
        <f t="shared" si="3"/>
        <v>Audio // Hörer von Schlager Musik</v>
      </c>
    </row>
    <row r="244" spans="1:6" ht="32" x14ac:dyDescent="0.2">
      <c r="A244" s="2" t="s">
        <v>267</v>
      </c>
      <c r="B244" s="2" t="s">
        <v>210</v>
      </c>
      <c r="C244" s="2"/>
      <c r="D244" s="2" t="s">
        <v>367</v>
      </c>
      <c r="E244" s="2" t="str">
        <f t="shared" si="2"/>
        <v>Audio // Interests electro: electro // Hörer von elektronischer Musik</v>
      </c>
      <c r="F244" t="str">
        <f t="shared" si="3"/>
        <v>Audio // Hörer von elektronischer Musik</v>
      </c>
    </row>
    <row r="245" spans="1:6" ht="32" x14ac:dyDescent="0.2">
      <c r="A245" s="2" t="s">
        <v>267</v>
      </c>
      <c r="B245" s="2" t="s">
        <v>211</v>
      </c>
      <c r="C245" s="2"/>
      <c r="D245" s="2" t="s">
        <v>368</v>
      </c>
      <c r="E245" s="2" t="str">
        <f t="shared" si="2"/>
        <v>Audio // Interests podcast: podcast // Hörer von Podcasts &amp; Hörspielen</v>
      </c>
      <c r="F245" t="str">
        <f t="shared" si="3"/>
        <v>Audio // Hörer von Podcasts &amp; Hörspielen</v>
      </c>
    </row>
    <row r="246" spans="1:6" ht="64" x14ac:dyDescent="0.2">
      <c r="A246" s="2" t="s">
        <v>268</v>
      </c>
      <c r="B246" s="2" t="s">
        <v>212</v>
      </c>
      <c r="C246" s="2"/>
      <c r="D246" s="2" t="s">
        <v>369</v>
      </c>
      <c r="E246" s="2" t="str">
        <f t="shared" si="2"/>
        <v>Fashion &amp; Lifestyle // Interests fashion: fashion // Mode- und Fashioninteressierte sowie Trendsetter und Fashionvictims mit erhöhtem Interesse an Trendberichten, Modeshops und Blogs, Kleidung, Accessoires und Shoppingthemen</v>
      </c>
      <c r="F246" t="str">
        <f t="shared" si="3"/>
        <v>Fashion &amp; Lifestyle // Mode- und Fashioninteressierte sowie Trendsetter und Fashionvictims mit erhöhtem Interesse an Trendberichten, Modeshops und Blogs, Kleidung, Accessoires und Shoppingthemen</v>
      </c>
    </row>
    <row r="247" spans="1:6" ht="64" x14ac:dyDescent="0.2">
      <c r="A247" s="2" t="s">
        <v>268</v>
      </c>
      <c r="B247" s="2" t="s">
        <v>213</v>
      </c>
      <c r="C247" s="2"/>
      <c r="D247" s="2" t="s">
        <v>370</v>
      </c>
      <c r="E247" s="2" t="str">
        <f t="shared" si="2"/>
        <v>Fashion &amp; Lifestyle // Interests beauty: beauty // Nutzer, die sich für Beautyprodukte wie Make-Up, Pflegeserien und -produkte für Körper und Haare sowie für Düfte, Körperkult, Diäten und Frisuren interessieren</v>
      </c>
      <c r="F247" t="str">
        <f t="shared" si="3"/>
        <v>Fashion &amp; Lifestyle // Nutzer, die sich für Beautyprodukte wie Make-Up, Pflegeserien und -produkte für Körper und Haare sowie für Düfte, Körperkult, Diäten und Frisuren interessieren</v>
      </c>
    </row>
    <row r="248" spans="1:6" ht="64" x14ac:dyDescent="0.2">
      <c r="A248" s="2" t="s">
        <v>268</v>
      </c>
      <c r="B248" s="2" t="s">
        <v>214</v>
      </c>
      <c r="C248" s="2"/>
      <c r="D248" s="2" t="s">
        <v>371</v>
      </c>
      <c r="E248" s="2" t="str">
        <f t="shared" si="2"/>
        <v>Fashion &amp; Lifestyle // Interests boulevard: boulevard // Nutzer mit hohem Interesse an Klatsch und Tratsch wie das Leben von Prominenten, Royals und Stars sowie deren Lifestyle und Beziehungen</v>
      </c>
      <c r="F248" t="str">
        <f t="shared" si="3"/>
        <v>Fashion &amp; Lifestyle // Nutzer mit hohem Interesse an Klatsch und Tratsch wie das Leben von Prominenten, Royals und Stars sowie deren Lifestyle und Beziehungen</v>
      </c>
    </row>
    <row r="249" spans="1:6" ht="64" x14ac:dyDescent="0.2">
      <c r="A249" s="2" t="s">
        <v>268</v>
      </c>
      <c r="B249" s="2" t="s">
        <v>215</v>
      </c>
      <c r="C249" s="2"/>
      <c r="D249" s="2" t="s">
        <v>372</v>
      </c>
      <c r="E249" s="2" t="str">
        <f t="shared" si="2"/>
        <v>Fashion &amp; Lifestyle // Interests food: food // Nutzer mit Interesse an Themen rund um Essen und Trinken, Kochen, Backen und Ernährung sowie Ernährungstrends, Diäten und dazugehörige Rezepte</v>
      </c>
      <c r="F249" t="str">
        <f t="shared" si="3"/>
        <v>Fashion &amp; Lifestyle // Nutzer mit Interesse an Themen rund um Essen und Trinken, Kochen, Backen und Ernährung sowie Ernährungstrends, Diäten und dazugehörige Rezepte</v>
      </c>
    </row>
    <row r="250" spans="1:6" ht="48" x14ac:dyDescent="0.2">
      <c r="A250" s="2" t="s">
        <v>268</v>
      </c>
      <c r="B250" s="2" t="s">
        <v>216</v>
      </c>
      <c r="C250" s="2"/>
      <c r="D250" s="2" t="s">
        <v>373</v>
      </c>
      <c r="E250" s="2" t="str">
        <f t="shared" si="2"/>
        <v>Fashion &amp; Lifestyle // Interests food &amp; drinks: coffee capsule machines // Nutzer, die überdurchschnittlich hohes Interesse an Kapselmaschinen und Kapselmaschinenzubehör aufweisen.</v>
      </c>
      <c r="F250" t="str">
        <f t="shared" si="3"/>
        <v>Fashion &amp; Lifestyle // Nutzer, die überdurchschnittlich hohes Interesse an Kapselmaschinen und Kapselmaschinenzubehör aufweisen.</v>
      </c>
    </row>
    <row r="251" spans="1:6" ht="48" x14ac:dyDescent="0.2">
      <c r="A251" s="2" t="s">
        <v>268</v>
      </c>
      <c r="B251" s="2" t="s">
        <v>217</v>
      </c>
      <c r="C251" s="2"/>
      <c r="D251" s="2" t="s">
        <v>374</v>
      </c>
      <c r="E251" s="2" t="str">
        <f t="shared" si="2"/>
        <v>Fashion &amp; Lifestyle // Interests food &amp; drinks: vegan // Nutzer, die zur Kategorie Veganer gehören und sich überdurchschnittlich für eine vegane Ernährung interessieren.</v>
      </c>
      <c r="F251" t="str">
        <f t="shared" si="3"/>
        <v>Fashion &amp; Lifestyle // Nutzer, die zur Kategorie Veganer gehören und sich überdurchschnittlich für eine vegane Ernährung interessieren.</v>
      </c>
    </row>
    <row r="252" spans="1:6" ht="64" x14ac:dyDescent="0.2">
      <c r="A252" s="2" t="s">
        <v>268</v>
      </c>
      <c r="B252" s="2" t="s">
        <v>218</v>
      </c>
      <c r="C252" s="2"/>
      <c r="D252" s="2" t="s">
        <v>375</v>
      </c>
      <c r="E252" s="2" t="str">
        <f t="shared" si="2"/>
        <v>Fashion &amp; Lifestyle // Interests food &amp; drinks: vegetarian // Nutzer, die zur Kategorie Vegetarier gehören und sich überdurchschnittlich für eine vegetarische Ernährung interessieren.</v>
      </c>
      <c r="F252" t="str">
        <f t="shared" si="3"/>
        <v>Fashion &amp; Lifestyle // Nutzer, die zur Kategorie Vegetarier gehören und sich überdurchschnittlich für eine vegetarische Ernährung interessieren.</v>
      </c>
    </row>
    <row r="253" spans="1:6" ht="48" x14ac:dyDescent="0.2">
      <c r="A253" s="2" t="s">
        <v>268</v>
      </c>
      <c r="B253" s="2" t="s">
        <v>219</v>
      </c>
      <c r="C253" s="2"/>
      <c r="D253" s="2" t="s">
        <v>376</v>
      </c>
      <c r="E253" s="2" t="str">
        <f t="shared" si="2"/>
        <v>Fashion &amp; Lifestyle // Interests food &amp; drinks: diet &amp; weightloss // Nutzer mit Interesse an Themen rund um Diäten und Gewichtskontrolle</v>
      </c>
      <c r="F253" t="str">
        <f t="shared" si="3"/>
        <v>Fashion &amp; Lifestyle // Nutzer mit Interesse an Themen rund um Diäten und Gewichtskontrolle</v>
      </c>
    </row>
    <row r="254" spans="1:6" ht="64" x14ac:dyDescent="0.2">
      <c r="A254" s="2" t="s">
        <v>268</v>
      </c>
      <c r="B254" s="2" t="s">
        <v>220</v>
      </c>
      <c r="C254" s="2"/>
      <c r="D254" s="2" t="s">
        <v>377</v>
      </c>
      <c r="E254" s="2" t="str">
        <f t="shared" si="2"/>
        <v>Fashion &amp; Lifestyle // Interests nature: nature // Nutzer mit Interesse an umweltrelevanten Themen wie Natur, Erderwärmung, Umweltschutz, Nachhaltigkeit und erneuerbare Energien</v>
      </c>
      <c r="F254" t="str">
        <f t="shared" si="3"/>
        <v>Fashion &amp; Lifestyle // Nutzer mit Interesse an umweltrelevanten Themen wie Natur, Erderwärmung, Umweltschutz, Nachhaltigkeit und erneuerbare Energien</v>
      </c>
    </row>
    <row r="255" spans="1:6" ht="32" x14ac:dyDescent="0.2">
      <c r="A255" s="2" t="s">
        <v>268</v>
      </c>
      <c r="B255" s="2" t="s">
        <v>221</v>
      </c>
      <c r="C255" s="2"/>
      <c r="D255" s="2" t="s">
        <v>378</v>
      </c>
      <c r="E255" s="2" t="str">
        <f t="shared" si="2"/>
        <v>Fashion &amp; Lifestyle // Interests lifestyle: cats general // Nutzer, die überdurchschnittlich hohes Interesse an Katzen aufweisen.</v>
      </c>
      <c r="F255" t="str">
        <f t="shared" si="3"/>
        <v>Fashion &amp; Lifestyle // Nutzer, die überdurchschnittlich hohes Interesse an Katzen aufweisen.</v>
      </c>
    </row>
    <row r="256" spans="1:6" ht="96" x14ac:dyDescent="0.2">
      <c r="A256" s="2" t="s">
        <v>269</v>
      </c>
      <c r="B256" s="2" t="s">
        <v>222</v>
      </c>
      <c r="C256" s="2"/>
      <c r="D256" s="2" t="s">
        <v>379</v>
      </c>
      <c r="E256" s="2" t="str">
        <f t="shared" si="2"/>
        <v>Verhalten / Sinus Millieus // Interests health nature: health_nature // LoHaS: Nutzer mit Interesse an Gesundheit und Nachhaltigkeit, Fitness und gesunder Ernährung sowie Klimawandel und Umweltschutz - Dabei handelt es sich um Nutzer mit einem erhöhten HHNE, höherem Bildungsstand und einem Interesse an qualitativ hochwertigen Produkten</v>
      </c>
      <c r="F256" t="str">
        <f t="shared" si="3"/>
        <v>Verhalten / Sinus Millieus // LoHaS: Nutzer mit Interesse an Gesundheit und Nachhaltigkeit, Fitness und gesunder Ernährung sowie Klimawandel und Umweltschutz - Dabei handelt es sich um Nutzer mit einem erhöhten HHNE, höherem Bildungsstand und einem Interesse an qualitativ hochwertigen Produkten</v>
      </c>
    </row>
    <row r="257" spans="1:6" ht="48" x14ac:dyDescent="0.2">
      <c r="A257" s="2" t="s">
        <v>269</v>
      </c>
      <c r="B257" s="2" t="s">
        <v>223</v>
      </c>
      <c r="C257" s="2"/>
      <c r="D257" s="2" t="s">
        <v>380</v>
      </c>
      <c r="E257" s="2" t="str">
        <f t="shared" si="2"/>
        <v>Verhalten / Sinus Millieus // Interests young urban: young_urban // Young Urban Professionals: Junge Erwachsene mit gutem Einkommen, in Städten lebend und unverheiratet</v>
      </c>
      <c r="F257" t="str">
        <f t="shared" si="3"/>
        <v>Verhalten / Sinus Millieus // Young Urban Professionals: Junge Erwachsene mit gutem Einkommen, in Städten lebend und unverheiratet</v>
      </c>
    </row>
    <row r="258" spans="1:6" ht="48" x14ac:dyDescent="0.2">
      <c r="A258" s="2" t="s">
        <v>269</v>
      </c>
      <c r="B258" s="2" t="s">
        <v>224</v>
      </c>
      <c r="C258" s="2"/>
      <c r="D258" s="2" t="s">
        <v>381</v>
      </c>
      <c r="E258" s="2" t="str">
        <f t="shared" si="2"/>
        <v>Verhalten / Sinus Millieus // Interests early adopter: early_adopter // Early Adopter: Nutzer, die Neuerungen jedweder Art schneller als andere adaptieren</v>
      </c>
      <c r="F258" t="str">
        <f t="shared" si="3"/>
        <v>Verhalten / Sinus Millieus // Early Adopter: Nutzer, die Neuerungen jedweder Art schneller als andere adaptieren</v>
      </c>
    </row>
    <row r="259" spans="1:6" ht="48" x14ac:dyDescent="0.2">
      <c r="A259" s="2" t="s">
        <v>269</v>
      </c>
      <c r="B259" s="2" t="s">
        <v>225</v>
      </c>
      <c r="C259" s="2"/>
      <c r="D259" s="2" t="s">
        <v>382</v>
      </c>
      <c r="E259" s="2" t="str">
        <f t="shared" si="2"/>
        <v>Verhalten / Sinus Millieus // Interests late follower: late_follower // Late Follower: Nutzer, die Neuerungen jedweder Art später als andere adaptieren</v>
      </c>
      <c r="F259" t="str">
        <f t="shared" si="3"/>
        <v>Verhalten / Sinus Millieus // Late Follower: Nutzer, die Neuerungen jedweder Art später als andere adaptieren</v>
      </c>
    </row>
    <row r="260" spans="1:6" ht="64" x14ac:dyDescent="0.2">
      <c r="A260" s="2" t="s">
        <v>270</v>
      </c>
      <c r="B260" s="2" t="s">
        <v>226</v>
      </c>
      <c r="C260" s="2"/>
      <c r="D260" s="2" t="s">
        <v>383</v>
      </c>
      <c r="E260" s="2" t="str">
        <f t="shared" si="2"/>
        <v>Gesundheit // Interests health: health // Nutzer die sich über Krankheiten, Symptome, Sport und Ernährung sowie über Medikamente, Alternativmedizin, Allergien, Sport und Ernährung informieren</v>
      </c>
      <c r="F260" t="str">
        <f t="shared" si="3"/>
        <v>Gesundheit // Nutzer die sich über Krankheiten, Symptome, Sport und Ernährung sowie über Medikamente, Alternativmedizin, Allergien, Sport und Ernährung informieren</v>
      </c>
    </row>
    <row r="261" spans="1:6" ht="48" x14ac:dyDescent="0.2">
      <c r="A261" s="2" t="s">
        <v>271</v>
      </c>
      <c r="B261" s="2" t="s">
        <v>227</v>
      </c>
      <c r="C261" s="2"/>
      <c r="D261" s="2" t="s">
        <v>384</v>
      </c>
      <c r="E261" s="2" t="str">
        <f t="shared" si="2"/>
        <v>Sport // Interests outdoor: outdoor // Bewegungsaktive Nutzer mit Interesse an Wandern, Fahrradtouren sowie anderen Outdoor Aktivitäten, Vielreisende, Abenteuerurlauber und sportlich Aktive</v>
      </c>
      <c r="F261" t="str">
        <f t="shared" si="3"/>
        <v>Sport // Bewegungsaktive Nutzer mit Interesse an Wandern, Fahrradtouren sowie anderen Outdoor Aktivitäten, Vielreisende, Abenteuerurlauber und sportlich Aktive</v>
      </c>
    </row>
    <row r="262" spans="1:6" ht="64" x14ac:dyDescent="0.2">
      <c r="A262" s="2" t="s">
        <v>271</v>
      </c>
      <c r="B262" s="2" t="s">
        <v>228</v>
      </c>
      <c r="C262" s="2"/>
      <c r="D262" s="2" t="s">
        <v>385</v>
      </c>
      <c r="E262" s="2" t="str">
        <f t="shared" si="2"/>
        <v>Sport // Interests sports activity: sports activity // Sportlich aktive Nutzer mit Interesse an Laufen, Klettern, Fahrradfahren und weiteren unterschiedlichen Sportarten sowie an entsprechenden Sportartikeln</v>
      </c>
      <c r="F262" t="str">
        <f t="shared" si="3"/>
        <v>Sport // Sportlich aktive Nutzer mit Interesse an Laufen, Klettern, Fahrradfahren und weiteren unterschiedlichen Sportarten sowie an entsprechenden Sportartikeln</v>
      </c>
    </row>
    <row r="263" spans="1:6" ht="32" x14ac:dyDescent="0.2">
      <c r="A263" s="2" t="s">
        <v>271</v>
      </c>
      <c r="B263" s="2" t="s">
        <v>229</v>
      </c>
      <c r="C263" s="2"/>
      <c r="D263" s="2" t="s">
        <v>386</v>
      </c>
      <c r="E263" s="2" t="str">
        <f t="shared" si="2"/>
        <v>Sport // Interests sports news: sports_news // Nutzer mit Interesse an Sportevents, Sportnews und -berichterstattung</v>
      </c>
      <c r="F263" t="str">
        <f t="shared" si="3"/>
        <v>Sport // Nutzer mit Interesse an Sportevents, Sportnews und -berichterstattung</v>
      </c>
    </row>
    <row r="264" spans="1:6" ht="48" x14ac:dyDescent="0.2">
      <c r="A264" s="2" t="s">
        <v>271</v>
      </c>
      <c r="B264" s="2" t="s">
        <v>230</v>
      </c>
      <c r="C264" s="2"/>
      <c r="D264" s="2" t="s">
        <v>387</v>
      </c>
      <c r="E264" s="2" t="str">
        <f t="shared" si="2"/>
        <v>Sport // Interests soccer: soccer // Umfasst Nutzer mit Interesse an Fussball, Fussballvereinen und -berichterstattungen sowie Fan- und Sportartikeln</v>
      </c>
      <c r="F264" t="str">
        <f t="shared" si="3"/>
        <v>Sport // Umfasst Nutzer mit Interesse an Fussball, Fussballvereinen und -berichterstattungen sowie Fan- und Sportartikeln</v>
      </c>
    </row>
    <row r="265" spans="1:6" ht="32" x14ac:dyDescent="0.2">
      <c r="A265" s="2" t="s">
        <v>271</v>
      </c>
      <c r="B265" s="2" t="s">
        <v>231</v>
      </c>
      <c r="C265" s="2"/>
      <c r="D265" s="2" t="s">
        <v>388</v>
      </c>
      <c r="E265" s="2" t="str">
        <f t="shared" si="2"/>
        <v>Sport // Location sport fitness: sport_fitness // Nutzer, die regelmäßig Fitness betreiben</v>
      </c>
      <c r="F265" t="str">
        <f t="shared" si="3"/>
        <v>Sport // Nutzer, die regelmäßig Fitness betreiben</v>
      </c>
    </row>
    <row r="266" spans="1:6" ht="48" x14ac:dyDescent="0.2">
      <c r="A266" s="2" t="s">
        <v>272</v>
      </c>
      <c r="B266" s="2" t="s">
        <v>232</v>
      </c>
      <c r="C266" s="2"/>
      <c r="D266" s="2" t="s">
        <v>389</v>
      </c>
      <c r="E266" s="2" t="str">
        <f t="shared" si="2"/>
        <v>Reisen // Interests all inclusive travel: all_inclusive_travel // Interessenten für Pauschalreisen, Kreuzfahrten, Cluburlaube und Familienurlaube</v>
      </c>
      <c r="F266" t="str">
        <f t="shared" si="3"/>
        <v>Reisen // Interessenten für Pauschalreisen, Kreuzfahrten, Cluburlaube und Familienurlaube</v>
      </c>
    </row>
    <row r="267" spans="1:6" ht="48" x14ac:dyDescent="0.2">
      <c r="A267" s="2" t="s">
        <v>272</v>
      </c>
      <c r="B267" s="2" t="s">
        <v>233</v>
      </c>
      <c r="C267" s="2"/>
      <c r="D267" s="2" t="s">
        <v>390</v>
      </c>
      <c r="E267" s="2" t="str">
        <f t="shared" si="2"/>
        <v>Reisen // Interests individual travel: individual_travel // Nutzer mit Interesse an Flügen, Hotels, Urlaubs- und individueller Reiseplanung wie Backpacking und Camping</v>
      </c>
      <c r="F267" t="str">
        <f t="shared" si="3"/>
        <v>Reisen // Nutzer mit Interesse an Flügen, Hotels, Urlaubs- und individueller Reiseplanung wie Backpacking und Camping</v>
      </c>
    </row>
    <row r="268" spans="1:6" ht="48" x14ac:dyDescent="0.2">
      <c r="A268" s="2" t="s">
        <v>272</v>
      </c>
      <c r="B268" s="2" t="s">
        <v>234</v>
      </c>
      <c r="C268" s="2"/>
      <c r="D268" s="2" t="s">
        <v>391</v>
      </c>
      <c r="E268" s="2" t="str">
        <f t="shared" si="2"/>
        <v>Reisen // Interests city travel: city_travel // Nutzer mit Interesse an Städtereisen, Kurz- und Wochnenedtrips, Kulturen, Museen, Denkmälern und historischer Stadtgeschichte</v>
      </c>
      <c r="F268" t="str">
        <f t="shared" si="3"/>
        <v>Reisen // Nutzer mit Interesse an Städtereisen, Kurz- und Wochnenedtrips, Kulturen, Museen, Denkmälern und historischer Stadtgeschichte</v>
      </c>
    </row>
    <row r="269" spans="1:6" ht="16" x14ac:dyDescent="0.2">
      <c r="A269" s="2" t="s">
        <v>273</v>
      </c>
      <c r="B269" s="2" t="s">
        <v>235</v>
      </c>
      <c r="C269" s="2"/>
      <c r="D269" s="2" t="s">
        <v>392</v>
      </c>
      <c r="E269" s="2" t="str">
        <f t="shared" si="2"/>
        <v>FMCG // Intention beer drinking: beer_drinking // Käufer von Bier</v>
      </c>
      <c r="F269" t="str">
        <f t="shared" si="3"/>
        <v>FMCG // Käufer von Bier</v>
      </c>
    </row>
    <row r="270" spans="1:6" ht="32" x14ac:dyDescent="0.2">
      <c r="A270" s="2" t="s">
        <v>273</v>
      </c>
      <c r="B270" s="2" t="s">
        <v>236</v>
      </c>
      <c r="C270" s="2"/>
      <c r="D270" s="2" t="s">
        <v>393</v>
      </c>
      <c r="E270" s="2" t="str">
        <f t="shared" si="2"/>
        <v>FMCG // Intention coffee drinking: coffee_drinking // Nutzer die regelmässig Kaffee trinken</v>
      </c>
      <c r="F270" t="str">
        <f t="shared" si="3"/>
        <v>FMCG // Nutzer die regelmässig Kaffee trinken</v>
      </c>
    </row>
    <row r="271" spans="1:6" ht="16" x14ac:dyDescent="0.2">
      <c r="A271" s="2" t="s">
        <v>273</v>
      </c>
      <c r="B271" s="2" t="s">
        <v>237</v>
      </c>
      <c r="C271" s="2"/>
      <c r="D271" s="2" t="s">
        <v>394</v>
      </c>
      <c r="E271" s="2" t="str">
        <f t="shared" si="2"/>
        <v>FMCG // Intention pets: pets // Nutzer, die ein Haustier besitzen</v>
      </c>
      <c r="F271" t="str">
        <f t="shared" si="3"/>
        <v>FMCG // Nutzer, die ein Haustier besitzen</v>
      </c>
    </row>
    <row r="272" spans="1:6" ht="32" x14ac:dyDescent="0.2">
      <c r="A272" s="2" t="s">
        <v>274</v>
      </c>
      <c r="B272" s="2" t="s">
        <v>238</v>
      </c>
      <c r="C272" s="2"/>
      <c r="D272" s="2" t="s">
        <v>395</v>
      </c>
      <c r="E272" s="2" t="str">
        <f t="shared" si="2"/>
        <v>Shopping // Interests online shopping: online_shopping // Nutzer, die Produkte überwiegend online kaufen</v>
      </c>
      <c r="F272" t="str">
        <f t="shared" si="3"/>
        <v>Shopping // Nutzer, die Produkte überwiegend online kaufen</v>
      </c>
    </row>
    <row r="273" spans="1:6" ht="48" x14ac:dyDescent="0.2">
      <c r="A273" s="2" t="s">
        <v>274</v>
      </c>
      <c r="B273" s="2" t="s">
        <v>239</v>
      </c>
      <c r="C273" s="2"/>
      <c r="D273" s="2" t="s">
        <v>396</v>
      </c>
      <c r="E273" s="2" t="str">
        <f t="shared" si="2"/>
        <v>Shopping // Interests smart shopping: smart_shopping // Nutzer, die Schnäppchenaffin sind, auf Preisvergleichsportalen recherchieren und günstige Angebote bevorzugen</v>
      </c>
      <c r="F273" t="str">
        <f t="shared" si="3"/>
        <v>Shopping // Nutzer, die Schnäppchenaffin sind, auf Preisvergleichsportalen recherchieren und günstige Angebote bevorzugen</v>
      </c>
    </row>
    <row r="274" spans="1:6" ht="48" x14ac:dyDescent="0.2">
      <c r="A274" s="2" t="s">
        <v>274</v>
      </c>
      <c r="B274" s="2" t="s">
        <v>240</v>
      </c>
      <c r="C274" s="2"/>
      <c r="D274" s="2" t="s">
        <v>397</v>
      </c>
      <c r="E274" s="2" t="str">
        <f t="shared" si="2"/>
        <v>Shopping // Interests luxury: luxury // Luxusaffine mit Interesse an hochpreisigen Produkten wie Designartikel, Schmuck, Uhren, hochpreisige Autos und Immobilien</v>
      </c>
      <c r="F274" t="str">
        <f t="shared" si="3"/>
        <v>Shopping // Luxusaffine mit Interesse an hochpreisigen Produkten wie Designartikel, Schmuck, Uhren, hochpreisige Autos und Immobilien</v>
      </c>
    </row>
    <row r="275" spans="1:6" ht="32" x14ac:dyDescent="0.2">
      <c r="A275" s="2" t="s">
        <v>274</v>
      </c>
      <c r="B275" s="2" t="s">
        <v>241</v>
      </c>
      <c r="C275" s="2"/>
      <c r="D275" s="2" t="s">
        <v>398</v>
      </c>
      <c r="E275" s="2" t="str">
        <f t="shared" si="2"/>
        <v>Shopping // Interests eyeglasses: eyeglasses // Nutzer mit Sehhilfen</v>
      </c>
      <c r="F275" t="str">
        <f t="shared" si="3"/>
        <v>Shopping // Nutzer mit Sehhilfen</v>
      </c>
    </row>
    <row r="276" spans="1:6" ht="32" x14ac:dyDescent="0.2">
      <c r="A276" s="2" t="s">
        <v>274</v>
      </c>
      <c r="B276" s="2" t="s">
        <v>242</v>
      </c>
      <c r="C276" s="2"/>
      <c r="D276" s="2" t="s">
        <v>399</v>
      </c>
      <c r="E276" s="2" t="str">
        <f t="shared" si="2"/>
        <v>Shopping // Interests hearing aid: hearing_aid // Nutzer mit Hörhilfen</v>
      </c>
      <c r="F276" t="str">
        <f t="shared" si="3"/>
        <v>Shopping // Nutzer mit Hörhilfen</v>
      </c>
    </row>
    <row r="277" spans="1:6" ht="32" x14ac:dyDescent="0.2">
      <c r="A277" s="2" t="s">
        <v>275</v>
      </c>
      <c r="B277" s="2" t="s">
        <v>243</v>
      </c>
      <c r="C277" s="2"/>
      <c r="D277" s="2" t="s">
        <v>400</v>
      </c>
      <c r="E277" s="2" t="str">
        <f t="shared" si="2"/>
        <v>Gastronomie // Location fast food mcd: fast_food_mcd // Nutzer, die regelmässig bei McDonalds essen</v>
      </c>
      <c r="F277" t="str">
        <f t="shared" si="3"/>
        <v>Gastronomie // Nutzer, die regelmässig bei McDonalds essen</v>
      </c>
    </row>
    <row r="278" spans="1:6" ht="32" x14ac:dyDescent="0.2">
      <c r="A278" s="2" t="s">
        <v>275</v>
      </c>
      <c r="B278" s="2" t="s">
        <v>244</v>
      </c>
      <c r="C278" s="2"/>
      <c r="D278" s="2" t="s">
        <v>401</v>
      </c>
      <c r="E278" s="2" t="str">
        <f t="shared" si="2"/>
        <v>Gastronomie // Location fast food bk: fast_food_bk // Nutzer, die regelmässig bei Burger King essen</v>
      </c>
      <c r="F278" t="str">
        <f t="shared" si="3"/>
        <v>Gastronomie // Nutzer, die regelmässig bei Burger King essen</v>
      </c>
    </row>
    <row r="279" spans="1:6" ht="32" x14ac:dyDescent="0.2">
      <c r="A279" s="2" t="s">
        <v>276</v>
      </c>
      <c r="B279" s="2" t="s">
        <v>245</v>
      </c>
      <c r="C279" s="2"/>
      <c r="D279" s="2" t="s">
        <v>402</v>
      </c>
      <c r="E279" s="2" t="str">
        <f t="shared" si="2"/>
        <v>Pendler // Location gas shell: gas_shell // Nutzer, die regelmässig bei Shell tanken</v>
      </c>
      <c r="F279" t="str">
        <f t="shared" si="3"/>
        <v>Pendler // Nutzer, die regelmässig bei Shell tanken</v>
      </c>
    </row>
    <row r="280" spans="1:6" ht="32" x14ac:dyDescent="0.2">
      <c r="A280" s="2" t="s">
        <v>276</v>
      </c>
      <c r="B280" s="2" t="s">
        <v>246</v>
      </c>
      <c r="C280" s="2"/>
      <c r="D280" s="2" t="s">
        <v>403</v>
      </c>
      <c r="E280" s="2" t="str">
        <f t="shared" si="2"/>
        <v>Pendler // Location gas aral: gas_aral // Nutzer, die regelmässig bei Aral tanken</v>
      </c>
      <c r="F280" t="str">
        <f t="shared" si="3"/>
        <v>Pendler // Nutzer, die regelmässig bei Aral tanken</v>
      </c>
    </row>
    <row r="281" spans="1:6" ht="32" x14ac:dyDescent="0.2">
      <c r="A281" s="2" t="s">
        <v>276</v>
      </c>
      <c r="B281" s="2" t="s">
        <v>247</v>
      </c>
      <c r="C281" s="2"/>
      <c r="D281" s="2" t="s">
        <v>404</v>
      </c>
      <c r="E281" s="2" t="str">
        <f t="shared" si="2"/>
        <v>Pendler // Location commuter 10 30: commuter_10-30 // Nutzer, die regelmässig 10-30 Kilometer pendeln</v>
      </c>
      <c r="F281" t="str">
        <f t="shared" si="3"/>
        <v>Pendler // Nutzer, die regelmässig 10-30 Kilometer pendeln</v>
      </c>
    </row>
    <row r="282" spans="1:6" ht="32" x14ac:dyDescent="0.2">
      <c r="A282" s="2" t="s">
        <v>276</v>
      </c>
      <c r="B282" s="2" t="s">
        <v>248</v>
      </c>
      <c r="C282" s="2"/>
      <c r="D282" s="2" t="s">
        <v>405</v>
      </c>
      <c r="E282" s="2" t="str">
        <f t="shared" si="2"/>
        <v>Pendler // Location commuter 30: commuter_&gt;30 // Nutzer, die regelmässig mehr als 30 Kilometer pendeln</v>
      </c>
      <c r="F282" t="str">
        <f t="shared" si="3"/>
        <v>Pendler // Nutzer, die regelmässig mehr als 30 Kilometer pendeln</v>
      </c>
    </row>
    <row r="283" spans="1:6" ht="32" x14ac:dyDescent="0.2">
      <c r="A283" s="2" t="s">
        <v>276</v>
      </c>
      <c r="B283" s="2" t="s">
        <v>249</v>
      </c>
      <c r="C283" s="2"/>
      <c r="D283" s="2" t="s">
        <v>406</v>
      </c>
      <c r="E283" s="2" t="str">
        <f t="shared" si="2"/>
        <v>Pendler // Location frequent traveller: frequent_traveller // Nutzer, die regelmässig zwischen Flughäfen pendeln</v>
      </c>
      <c r="F283" t="str">
        <f t="shared" si="3"/>
        <v>Pendler // Nutzer, die regelmässig zwischen Flughäfen pendeln</v>
      </c>
    </row>
    <row r="284" spans="1:6" ht="64" x14ac:dyDescent="0.2">
      <c r="A284" s="2" t="s">
        <v>277</v>
      </c>
      <c r="B284" s="2" t="s">
        <v>250</v>
      </c>
      <c r="C284" s="2"/>
      <c r="D284" s="2" t="s">
        <v>407</v>
      </c>
      <c r="E284" s="2" t="str">
        <f t="shared" si="2"/>
        <v>B2B // B2B General // Beinhaltet Nutzer, die zur Kategorie Businessinteressierte gehören und sich überdurchschnittlich für Wirtschaft, Online Marketing und B2B interessieren</v>
      </c>
      <c r="F284" t="str">
        <f t="shared" si="3"/>
        <v>B2B // Beinhaltet Nutzer, die zur Kategorie Businessinteressierte gehören und sich überdurchschnittlich für Wirtschaft, Online Marketing und B2B interessieren</v>
      </c>
    </row>
    <row r="287" spans="1:6" ht="16" x14ac:dyDescent="0.2">
      <c r="A287" s="2" t="s">
        <v>431</v>
      </c>
    </row>
    <row r="288" spans="1:6" x14ac:dyDescent="0.2">
      <c r="A288" t="s">
        <v>419</v>
      </c>
    </row>
    <row r="289" spans="1:1" x14ac:dyDescent="0.2">
      <c r="A289" t="s">
        <v>420</v>
      </c>
    </row>
    <row r="290" spans="1:1" x14ac:dyDescent="0.2">
      <c r="A290" t="s">
        <v>421</v>
      </c>
    </row>
    <row r="291" spans="1:1" x14ac:dyDescent="0.2">
      <c r="A291" t="s">
        <v>422</v>
      </c>
    </row>
    <row r="292" spans="1:1" x14ac:dyDescent="0.2">
      <c r="A292" t="s">
        <v>423</v>
      </c>
    </row>
    <row r="293" spans="1:1" x14ac:dyDescent="0.2">
      <c r="A293" t="s">
        <v>424</v>
      </c>
    </row>
    <row r="294" spans="1:1" x14ac:dyDescent="0.2">
      <c r="A294" t="s">
        <v>425</v>
      </c>
    </row>
    <row r="295" spans="1:1" x14ac:dyDescent="0.2">
      <c r="A295" t="s">
        <v>426</v>
      </c>
    </row>
    <row r="296" spans="1:1" x14ac:dyDescent="0.2">
      <c r="A296" t="s">
        <v>427</v>
      </c>
    </row>
    <row r="297" spans="1:1" x14ac:dyDescent="0.2">
      <c r="A297" t="s">
        <v>428</v>
      </c>
    </row>
    <row r="298" spans="1:1" x14ac:dyDescent="0.2">
      <c r="A298" t="s">
        <v>429</v>
      </c>
    </row>
    <row r="299" spans="1:1" x14ac:dyDescent="0.2">
      <c r="A299" t="s">
        <v>430</v>
      </c>
    </row>
    <row r="304" spans="1:1" x14ac:dyDescent="0.2">
      <c r="A304" t="s">
        <v>17</v>
      </c>
    </row>
    <row r="305" spans="1:1" x14ac:dyDescent="0.2">
      <c r="A305" t="s">
        <v>18</v>
      </c>
    </row>
    <row r="306" spans="1:1" x14ac:dyDescent="0.2">
      <c r="A306" t="s">
        <v>575</v>
      </c>
    </row>
    <row r="307" spans="1:1" x14ac:dyDescent="0.2">
      <c r="A307" t="s">
        <v>19</v>
      </c>
    </row>
    <row r="308" spans="1:1" x14ac:dyDescent="0.2">
      <c r="A308" t="s">
        <v>452</v>
      </c>
    </row>
    <row r="309" spans="1:1" x14ac:dyDescent="0.2">
      <c r="A309" t="s">
        <v>445</v>
      </c>
    </row>
    <row r="310" spans="1:1" x14ac:dyDescent="0.2">
      <c r="A310" t="s">
        <v>446</v>
      </c>
    </row>
    <row r="311" spans="1:1" x14ac:dyDescent="0.2">
      <c r="A311" t="s">
        <v>447</v>
      </c>
    </row>
    <row r="312" spans="1:1" x14ac:dyDescent="0.2">
      <c r="A312" t="s">
        <v>470</v>
      </c>
    </row>
    <row r="313" spans="1:1" x14ac:dyDescent="0.2">
      <c r="A313" t="s">
        <v>468</v>
      </c>
    </row>
    <row r="314" spans="1:1" x14ac:dyDescent="0.2">
      <c r="A314" t="s">
        <v>469</v>
      </c>
    </row>
    <row r="315" spans="1:1" x14ac:dyDescent="0.2">
      <c r="A315" t="s">
        <v>448</v>
      </c>
    </row>
    <row r="316" spans="1:1" x14ac:dyDescent="0.2">
      <c r="A316" t="s">
        <v>449</v>
      </c>
    </row>
    <row r="317" spans="1:1" x14ac:dyDescent="0.2">
      <c r="A317" t="s">
        <v>450</v>
      </c>
    </row>
    <row r="318" spans="1:1" x14ac:dyDescent="0.2">
      <c r="A318" t="s">
        <v>451</v>
      </c>
    </row>
    <row r="319" spans="1:1" x14ac:dyDescent="0.2">
      <c r="A319" t="s">
        <v>551</v>
      </c>
    </row>
    <row r="320" spans="1:1" x14ac:dyDescent="0.2">
      <c r="A320" t="s">
        <v>536</v>
      </c>
    </row>
    <row r="321" spans="1:1" x14ac:dyDescent="0.2">
      <c r="A321" t="s">
        <v>548</v>
      </c>
    </row>
  </sheetData>
  <sortState xmlns:xlrd2="http://schemas.microsoft.com/office/spreadsheetml/2017/richdata2" ref="A22:E59">
    <sortCondition ref="A30:A52"/>
  </sortState>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47"/>
  <sheetViews>
    <sheetView tabSelected="1" workbookViewId="0">
      <selection activeCell="E35" sqref="E35"/>
    </sheetView>
  </sheetViews>
  <sheetFormatPr baseColWidth="10" defaultRowHeight="15" x14ac:dyDescent="0.2"/>
  <cols>
    <col min="1" max="1" width="33.5" customWidth="1"/>
    <col min="2" max="2" width="15.5" bestFit="1" customWidth="1"/>
    <col min="3" max="3" width="16.5" bestFit="1" customWidth="1"/>
    <col min="4" max="4" width="14.5" bestFit="1" customWidth="1"/>
    <col min="5" max="5" width="23.5" bestFit="1" customWidth="1"/>
    <col min="6" max="6" width="15" bestFit="1" customWidth="1"/>
    <col min="7" max="7" width="12.83203125" bestFit="1" customWidth="1"/>
    <col min="8" max="8" width="24.83203125" bestFit="1" customWidth="1"/>
    <col min="9" max="9" width="20.1640625" bestFit="1" customWidth="1"/>
    <col min="10" max="10" width="16.33203125" bestFit="1" customWidth="1"/>
    <col min="11" max="11" width="34.5" bestFit="1" customWidth="1"/>
    <col min="12" max="12" width="34.5" customWidth="1"/>
    <col min="13" max="13" width="34" bestFit="1" customWidth="1"/>
    <col min="14" max="14" width="31.83203125" bestFit="1" customWidth="1"/>
    <col min="15" max="15" width="42.5" bestFit="1" customWidth="1"/>
  </cols>
  <sheetData>
    <row r="1" spans="1:20" x14ac:dyDescent="0.2">
      <c r="B1" t="s">
        <v>567</v>
      </c>
      <c r="C1" t="s">
        <v>571</v>
      </c>
      <c r="D1" t="s">
        <v>17</v>
      </c>
      <c r="E1" t="s">
        <v>18</v>
      </c>
      <c r="F1" t="s">
        <v>575</v>
      </c>
      <c r="G1" t="s">
        <v>19</v>
      </c>
      <c r="H1" t="s">
        <v>568</v>
      </c>
      <c r="I1" t="s">
        <v>471</v>
      </c>
      <c r="J1" t="s">
        <v>20</v>
      </c>
      <c r="K1" t="s">
        <v>21</v>
      </c>
      <c r="L1" t="s">
        <v>539</v>
      </c>
      <c r="M1" t="s">
        <v>576</v>
      </c>
      <c r="N1" t="s">
        <v>540</v>
      </c>
      <c r="O1" t="s">
        <v>541</v>
      </c>
    </row>
    <row r="2" spans="1:20" x14ac:dyDescent="0.2">
      <c r="A2" t="s">
        <v>22</v>
      </c>
      <c r="B2" t="s">
        <v>454</v>
      </c>
      <c r="C2" t="s">
        <v>454</v>
      </c>
      <c r="D2" t="s">
        <v>454</v>
      </c>
      <c r="E2" t="s">
        <v>454</v>
      </c>
      <c r="F2" t="s">
        <v>454</v>
      </c>
      <c r="G2" t="s">
        <v>456</v>
      </c>
      <c r="J2" t="s">
        <v>454</v>
      </c>
      <c r="K2" t="s">
        <v>454</v>
      </c>
    </row>
    <row r="3" spans="1:20" x14ac:dyDescent="0.2">
      <c r="A3" t="s">
        <v>23</v>
      </c>
      <c r="B3" t="s">
        <v>454</v>
      </c>
      <c r="C3" t="s">
        <v>454</v>
      </c>
      <c r="D3" t="s">
        <v>454</v>
      </c>
      <c r="E3" t="s">
        <v>454</v>
      </c>
      <c r="F3" t="s">
        <v>454</v>
      </c>
      <c r="G3" t="s">
        <v>456</v>
      </c>
      <c r="J3" t="s">
        <v>454</v>
      </c>
      <c r="K3" t="s">
        <v>454</v>
      </c>
      <c r="T3" t="s">
        <v>524</v>
      </c>
    </row>
    <row r="4" spans="1:20" x14ac:dyDescent="0.2">
      <c r="A4" t="s">
        <v>24</v>
      </c>
      <c r="B4" t="s">
        <v>454</v>
      </c>
      <c r="C4" t="s">
        <v>454</v>
      </c>
      <c r="D4" t="s">
        <v>454</v>
      </c>
      <c r="E4" t="s">
        <v>454</v>
      </c>
      <c r="F4" t="s">
        <v>454</v>
      </c>
      <c r="G4" t="s">
        <v>456</v>
      </c>
      <c r="J4" t="s">
        <v>454</v>
      </c>
      <c r="K4" t="s">
        <v>454</v>
      </c>
      <c r="T4" t="s">
        <v>41</v>
      </c>
    </row>
    <row r="5" spans="1:20" x14ac:dyDescent="0.2">
      <c r="A5" t="s">
        <v>25</v>
      </c>
      <c r="B5" t="s">
        <v>454</v>
      </c>
      <c r="C5" t="s">
        <v>454</v>
      </c>
      <c r="D5" t="s">
        <v>454</v>
      </c>
      <c r="E5" t="s">
        <v>454</v>
      </c>
      <c r="F5" t="s">
        <v>454</v>
      </c>
      <c r="G5" t="s">
        <v>456</v>
      </c>
      <c r="J5" t="s">
        <v>454</v>
      </c>
      <c r="K5" t="s">
        <v>454</v>
      </c>
      <c r="T5" t="s">
        <v>97</v>
      </c>
    </row>
    <row r="6" spans="1:20" x14ac:dyDescent="0.2">
      <c r="A6" t="s">
        <v>438</v>
      </c>
      <c r="E6" t="s">
        <v>454</v>
      </c>
      <c r="G6" t="s">
        <v>456</v>
      </c>
      <c r="T6" t="s">
        <v>99</v>
      </c>
    </row>
    <row r="7" spans="1:20" x14ac:dyDescent="0.2">
      <c r="A7" t="s">
        <v>55</v>
      </c>
      <c r="B7" t="s">
        <v>454</v>
      </c>
      <c r="C7" t="s">
        <v>454</v>
      </c>
      <c r="D7" t="s">
        <v>454</v>
      </c>
      <c r="E7" t="s">
        <v>454</v>
      </c>
      <c r="F7" t="s">
        <v>454</v>
      </c>
      <c r="G7" t="s">
        <v>456</v>
      </c>
      <c r="J7" t="s">
        <v>454</v>
      </c>
      <c r="K7" t="s">
        <v>454</v>
      </c>
      <c r="T7" t="s">
        <v>100</v>
      </c>
    </row>
    <row r="8" spans="1:20" x14ac:dyDescent="0.2">
      <c r="A8" t="s">
        <v>26</v>
      </c>
      <c r="B8" t="s">
        <v>454</v>
      </c>
      <c r="C8" t="s">
        <v>454</v>
      </c>
      <c r="D8" t="s">
        <v>454</v>
      </c>
      <c r="E8" t="s">
        <v>454</v>
      </c>
      <c r="F8" t="s">
        <v>454</v>
      </c>
      <c r="G8" t="s">
        <v>456</v>
      </c>
      <c r="J8" t="s">
        <v>454</v>
      </c>
      <c r="K8" t="s">
        <v>454</v>
      </c>
      <c r="T8" t="s">
        <v>101</v>
      </c>
    </row>
    <row r="9" spans="1:20" x14ac:dyDescent="0.2">
      <c r="A9" t="s">
        <v>461</v>
      </c>
      <c r="B9" t="s">
        <v>454</v>
      </c>
      <c r="C9" t="s">
        <v>454</v>
      </c>
      <c r="D9" t="s">
        <v>454</v>
      </c>
      <c r="E9" t="s">
        <v>454</v>
      </c>
      <c r="F9" t="s">
        <v>454</v>
      </c>
      <c r="G9" t="s">
        <v>456</v>
      </c>
      <c r="J9" t="s">
        <v>454</v>
      </c>
      <c r="K9" t="s">
        <v>454</v>
      </c>
      <c r="T9" t="s">
        <v>98</v>
      </c>
    </row>
    <row r="10" spans="1:20" x14ac:dyDescent="0.2">
      <c r="A10" t="s">
        <v>457</v>
      </c>
      <c r="B10" t="s">
        <v>459</v>
      </c>
      <c r="C10" t="s">
        <v>459</v>
      </c>
      <c r="D10" t="s">
        <v>459</v>
      </c>
      <c r="E10" t="s">
        <v>459</v>
      </c>
      <c r="F10" t="s">
        <v>459</v>
      </c>
      <c r="G10" t="s">
        <v>459</v>
      </c>
      <c r="J10" t="s">
        <v>459</v>
      </c>
      <c r="K10" t="s">
        <v>459</v>
      </c>
      <c r="T10" t="s">
        <v>454</v>
      </c>
    </row>
    <row r="11" spans="1:20" x14ac:dyDescent="0.2">
      <c r="A11" t="s">
        <v>69</v>
      </c>
      <c r="D11" t="s">
        <v>455</v>
      </c>
      <c r="E11" t="s">
        <v>455</v>
      </c>
      <c r="F11" t="s">
        <v>455</v>
      </c>
      <c r="G11" t="s">
        <v>456</v>
      </c>
      <c r="T11" t="s">
        <v>455</v>
      </c>
    </row>
    <row r="12" spans="1:20" x14ac:dyDescent="0.2">
      <c r="A12" t="s">
        <v>572</v>
      </c>
      <c r="F12" t="s">
        <v>455</v>
      </c>
    </row>
    <row r="13" spans="1:20" x14ac:dyDescent="0.2">
      <c r="A13" t="s">
        <v>71</v>
      </c>
      <c r="D13" t="s">
        <v>455</v>
      </c>
      <c r="E13" t="s">
        <v>455</v>
      </c>
      <c r="F13" t="s">
        <v>455</v>
      </c>
      <c r="G13" t="s">
        <v>456</v>
      </c>
      <c r="T13" t="s">
        <v>103</v>
      </c>
    </row>
    <row r="14" spans="1:20" x14ac:dyDescent="0.2">
      <c r="A14" t="s">
        <v>552</v>
      </c>
      <c r="E14" t="s">
        <v>455</v>
      </c>
    </row>
    <row r="15" spans="1:20" ht="15.75" customHeight="1" x14ac:dyDescent="0.2">
      <c r="A15" t="s">
        <v>68</v>
      </c>
      <c r="D15" t="s">
        <v>455</v>
      </c>
      <c r="E15" t="s">
        <v>455</v>
      </c>
      <c r="F15" t="s">
        <v>455</v>
      </c>
      <c r="G15" t="s">
        <v>456</v>
      </c>
      <c r="T15" t="s">
        <v>456</v>
      </c>
    </row>
    <row r="16" spans="1:20" x14ac:dyDescent="0.2">
      <c r="A16" t="s">
        <v>437</v>
      </c>
      <c r="D16" t="s">
        <v>455</v>
      </c>
      <c r="E16" t="s">
        <v>455</v>
      </c>
      <c r="F16" t="s">
        <v>455</v>
      </c>
      <c r="G16" t="s">
        <v>456</v>
      </c>
      <c r="T16" t="s">
        <v>459</v>
      </c>
    </row>
    <row r="17" spans="1:7" x14ac:dyDescent="0.2">
      <c r="A17" t="s">
        <v>76</v>
      </c>
      <c r="D17" t="s">
        <v>455</v>
      </c>
      <c r="E17" t="s">
        <v>455</v>
      </c>
      <c r="F17" t="s">
        <v>455</v>
      </c>
      <c r="G17" t="s">
        <v>456</v>
      </c>
    </row>
    <row r="18" spans="1:7" x14ac:dyDescent="0.2">
      <c r="A18" t="s">
        <v>78</v>
      </c>
      <c r="D18" t="s">
        <v>455</v>
      </c>
      <c r="E18" t="s">
        <v>455</v>
      </c>
      <c r="F18" t="s">
        <v>455</v>
      </c>
      <c r="G18" t="s">
        <v>456</v>
      </c>
    </row>
    <row r="19" spans="1:7" x14ac:dyDescent="0.2">
      <c r="A19" t="s">
        <v>80</v>
      </c>
      <c r="D19" t="s">
        <v>455</v>
      </c>
      <c r="E19" t="s">
        <v>455</v>
      </c>
      <c r="F19" t="s">
        <v>455</v>
      </c>
      <c r="G19" t="s">
        <v>456</v>
      </c>
    </row>
    <row r="20" spans="1:7" x14ac:dyDescent="0.2">
      <c r="A20" t="s">
        <v>81</v>
      </c>
      <c r="D20" t="s">
        <v>455</v>
      </c>
      <c r="E20" t="s">
        <v>455</v>
      </c>
      <c r="F20" t="s">
        <v>455</v>
      </c>
      <c r="G20" t="s">
        <v>456</v>
      </c>
    </row>
    <row r="21" spans="1:7" x14ac:dyDescent="0.2">
      <c r="A21" t="s">
        <v>79</v>
      </c>
      <c r="D21" t="s">
        <v>455</v>
      </c>
      <c r="E21" t="s">
        <v>455</v>
      </c>
      <c r="F21" t="s">
        <v>455</v>
      </c>
      <c r="G21" t="s">
        <v>456</v>
      </c>
    </row>
    <row r="22" spans="1:7" x14ac:dyDescent="0.2">
      <c r="A22" t="s">
        <v>70</v>
      </c>
      <c r="D22" t="s">
        <v>455</v>
      </c>
      <c r="E22" t="s">
        <v>455</v>
      </c>
      <c r="F22" t="s">
        <v>455</v>
      </c>
      <c r="G22" t="s">
        <v>456</v>
      </c>
    </row>
    <row r="23" spans="1:7" x14ac:dyDescent="0.2">
      <c r="A23" t="s">
        <v>556</v>
      </c>
      <c r="D23" t="s">
        <v>455</v>
      </c>
      <c r="E23" t="s">
        <v>455</v>
      </c>
      <c r="F23" t="s">
        <v>455</v>
      </c>
      <c r="G23" t="s">
        <v>456</v>
      </c>
    </row>
    <row r="24" spans="1:7" x14ac:dyDescent="0.2">
      <c r="A24" t="s">
        <v>74</v>
      </c>
      <c r="D24" t="s">
        <v>455</v>
      </c>
      <c r="E24" t="s">
        <v>455</v>
      </c>
      <c r="F24" t="s">
        <v>455</v>
      </c>
      <c r="G24" t="s">
        <v>456</v>
      </c>
    </row>
    <row r="25" spans="1:7" x14ac:dyDescent="0.2">
      <c r="A25" t="s">
        <v>75</v>
      </c>
      <c r="D25" t="s">
        <v>455</v>
      </c>
      <c r="E25" t="s">
        <v>455</v>
      </c>
      <c r="F25" t="s">
        <v>455</v>
      </c>
      <c r="G25" t="s">
        <v>456</v>
      </c>
    </row>
    <row r="26" spans="1:7" x14ac:dyDescent="0.2">
      <c r="A26" t="s">
        <v>77</v>
      </c>
      <c r="D26" t="s">
        <v>455</v>
      </c>
      <c r="E26" t="s">
        <v>455</v>
      </c>
      <c r="F26" t="s">
        <v>455</v>
      </c>
      <c r="G26" t="s">
        <v>456</v>
      </c>
    </row>
    <row r="27" spans="1:7" x14ac:dyDescent="0.2">
      <c r="A27" t="s">
        <v>73</v>
      </c>
      <c r="D27" t="s">
        <v>455</v>
      </c>
      <c r="E27" t="s">
        <v>455</v>
      </c>
      <c r="F27" t="s">
        <v>455</v>
      </c>
      <c r="G27" t="s">
        <v>456</v>
      </c>
    </row>
    <row r="28" spans="1:7" x14ac:dyDescent="0.2">
      <c r="A28" t="s">
        <v>72</v>
      </c>
      <c r="D28" t="s">
        <v>455</v>
      </c>
      <c r="E28" t="s">
        <v>455</v>
      </c>
      <c r="F28" t="s">
        <v>455</v>
      </c>
      <c r="G28" t="s">
        <v>456</v>
      </c>
    </row>
    <row r="29" spans="1:7" x14ac:dyDescent="0.2">
      <c r="A29" t="s">
        <v>563</v>
      </c>
      <c r="D29" t="s">
        <v>455</v>
      </c>
      <c r="F29" t="s">
        <v>455</v>
      </c>
    </row>
    <row r="30" spans="1:7" x14ac:dyDescent="0.2">
      <c r="A30" t="s">
        <v>84</v>
      </c>
      <c r="D30" t="s">
        <v>97</v>
      </c>
      <c r="E30" t="s">
        <v>97</v>
      </c>
      <c r="F30" t="s">
        <v>97</v>
      </c>
      <c r="G30" t="s">
        <v>456</v>
      </c>
    </row>
    <row r="31" spans="1:7" x14ac:dyDescent="0.2">
      <c r="A31" t="s">
        <v>86</v>
      </c>
      <c r="D31" t="s">
        <v>99</v>
      </c>
      <c r="E31" t="s">
        <v>99</v>
      </c>
      <c r="F31" t="s">
        <v>99</v>
      </c>
      <c r="G31" t="s">
        <v>456</v>
      </c>
    </row>
    <row r="32" spans="1:7" x14ac:dyDescent="0.2">
      <c r="A32" t="s">
        <v>82</v>
      </c>
      <c r="D32" t="s">
        <v>97</v>
      </c>
      <c r="E32" t="s">
        <v>97</v>
      </c>
      <c r="F32" t="s">
        <v>97</v>
      </c>
      <c r="G32" t="s">
        <v>456</v>
      </c>
    </row>
    <row r="33" spans="1:15" x14ac:dyDescent="0.2">
      <c r="A33" t="s">
        <v>85</v>
      </c>
      <c r="D33" t="s">
        <v>99</v>
      </c>
      <c r="E33" t="s">
        <v>99</v>
      </c>
      <c r="F33" t="s">
        <v>99</v>
      </c>
      <c r="G33" t="s">
        <v>456</v>
      </c>
    </row>
    <row r="34" spans="1:15" x14ac:dyDescent="0.2">
      <c r="A34" t="s">
        <v>88</v>
      </c>
      <c r="D34" t="s">
        <v>98</v>
      </c>
      <c r="E34" t="s">
        <v>98</v>
      </c>
      <c r="F34" t="s">
        <v>98</v>
      </c>
      <c r="G34" t="s">
        <v>456</v>
      </c>
    </row>
    <row r="35" spans="1:15" x14ac:dyDescent="0.2">
      <c r="A35" t="s">
        <v>83</v>
      </c>
      <c r="D35" t="s">
        <v>97</v>
      </c>
      <c r="E35" t="s">
        <v>97</v>
      </c>
      <c r="F35" t="s">
        <v>97</v>
      </c>
      <c r="G35" t="s">
        <v>456</v>
      </c>
    </row>
    <row r="36" spans="1:15" x14ac:dyDescent="0.2">
      <c r="A36" t="s">
        <v>87</v>
      </c>
      <c r="D36" t="s">
        <v>99</v>
      </c>
      <c r="E36" t="s">
        <v>99</v>
      </c>
      <c r="F36" t="s">
        <v>99</v>
      </c>
      <c r="G36" t="s">
        <v>456</v>
      </c>
    </row>
    <row r="37" spans="1:15" x14ac:dyDescent="0.2">
      <c r="A37" t="s">
        <v>89</v>
      </c>
      <c r="L37" t="s">
        <v>103</v>
      </c>
      <c r="M37" t="s">
        <v>103</v>
      </c>
      <c r="N37" t="s">
        <v>103</v>
      </c>
      <c r="O37" t="s">
        <v>103</v>
      </c>
    </row>
    <row r="38" spans="1:15" x14ac:dyDescent="0.2">
      <c r="A38" t="s">
        <v>27</v>
      </c>
      <c r="B38" t="s">
        <v>41</v>
      </c>
      <c r="C38" t="s">
        <v>41</v>
      </c>
      <c r="D38" t="s">
        <v>41</v>
      </c>
      <c r="E38" t="s">
        <v>41</v>
      </c>
      <c r="F38" t="s">
        <v>41</v>
      </c>
      <c r="G38" t="s">
        <v>41</v>
      </c>
      <c r="H38" t="s">
        <v>41</v>
      </c>
      <c r="I38" t="s">
        <v>41</v>
      </c>
      <c r="J38" t="s">
        <v>41</v>
      </c>
      <c r="K38" t="s">
        <v>41</v>
      </c>
    </row>
    <row r="39" spans="1:15" x14ac:dyDescent="0.2">
      <c r="A39" t="s">
        <v>28</v>
      </c>
      <c r="B39" t="s">
        <v>41</v>
      </c>
      <c r="C39" t="s">
        <v>41</v>
      </c>
      <c r="D39" t="s">
        <v>41</v>
      </c>
      <c r="E39" t="s">
        <v>41</v>
      </c>
      <c r="F39" t="s">
        <v>41</v>
      </c>
      <c r="G39" t="s">
        <v>41</v>
      </c>
      <c r="H39" t="s">
        <v>41</v>
      </c>
      <c r="I39" t="s">
        <v>41</v>
      </c>
      <c r="J39" t="s">
        <v>41</v>
      </c>
      <c r="K39" t="s">
        <v>41</v>
      </c>
    </row>
    <row r="40" spans="1:15" x14ac:dyDescent="0.2">
      <c r="A40" t="s">
        <v>29</v>
      </c>
      <c r="B40" t="s">
        <v>41</v>
      </c>
      <c r="C40" t="s">
        <v>41</v>
      </c>
      <c r="D40" t="s">
        <v>41</v>
      </c>
      <c r="E40" t="s">
        <v>41</v>
      </c>
      <c r="F40" t="s">
        <v>41</v>
      </c>
      <c r="G40" t="s">
        <v>41</v>
      </c>
      <c r="H40" t="s">
        <v>41</v>
      </c>
      <c r="I40" t="s">
        <v>41</v>
      </c>
      <c r="J40" t="s">
        <v>41</v>
      </c>
      <c r="K40" t="s">
        <v>41</v>
      </c>
    </row>
    <row r="41" spans="1:15" x14ac:dyDescent="0.2">
      <c r="A41" t="s">
        <v>56</v>
      </c>
      <c r="B41" t="s">
        <v>41</v>
      </c>
      <c r="C41" t="s">
        <v>41</v>
      </c>
      <c r="D41" t="s">
        <v>41</v>
      </c>
      <c r="E41" t="s">
        <v>41</v>
      </c>
      <c r="F41" t="s">
        <v>41</v>
      </c>
      <c r="G41" t="s">
        <v>41</v>
      </c>
      <c r="H41" t="s">
        <v>41</v>
      </c>
      <c r="I41" t="s">
        <v>41</v>
      </c>
      <c r="J41" t="s">
        <v>41</v>
      </c>
      <c r="K41" t="s">
        <v>41</v>
      </c>
    </row>
    <row r="42" spans="1:15" x14ac:dyDescent="0.2">
      <c r="A42" t="s">
        <v>57</v>
      </c>
      <c r="B42" t="s">
        <v>41</v>
      </c>
      <c r="C42" t="s">
        <v>41</v>
      </c>
      <c r="D42" t="s">
        <v>41</v>
      </c>
      <c r="E42" t="s">
        <v>41</v>
      </c>
      <c r="F42" t="s">
        <v>41</v>
      </c>
      <c r="G42" t="s">
        <v>41</v>
      </c>
      <c r="H42" t="s">
        <v>41</v>
      </c>
      <c r="I42" t="s">
        <v>41</v>
      </c>
      <c r="J42" t="s">
        <v>41</v>
      </c>
      <c r="K42" t="s">
        <v>41</v>
      </c>
    </row>
    <row r="43" spans="1:15" x14ac:dyDescent="0.2">
      <c r="A43" t="s">
        <v>58</v>
      </c>
      <c r="B43" t="s">
        <v>41</v>
      </c>
      <c r="C43" t="s">
        <v>41</v>
      </c>
      <c r="D43" t="s">
        <v>41</v>
      </c>
      <c r="E43" t="s">
        <v>41</v>
      </c>
      <c r="F43" t="s">
        <v>41</v>
      </c>
      <c r="G43" t="s">
        <v>41</v>
      </c>
      <c r="H43" t="s">
        <v>41</v>
      </c>
      <c r="I43" t="s">
        <v>41</v>
      </c>
      <c r="J43" t="s">
        <v>41</v>
      </c>
      <c r="K43" t="s">
        <v>41</v>
      </c>
    </row>
    <row r="44" spans="1:15" x14ac:dyDescent="0.2">
      <c r="A44" t="s">
        <v>27</v>
      </c>
      <c r="B44" t="s">
        <v>41</v>
      </c>
      <c r="C44" t="s">
        <v>41</v>
      </c>
      <c r="D44" t="s">
        <v>41</v>
      </c>
      <c r="E44" t="s">
        <v>41</v>
      </c>
      <c r="F44" t="s">
        <v>41</v>
      </c>
      <c r="G44" t="s">
        <v>41</v>
      </c>
      <c r="H44" t="s">
        <v>41</v>
      </c>
      <c r="I44" t="s">
        <v>41</v>
      </c>
      <c r="J44" t="s">
        <v>41</v>
      </c>
      <c r="K44" t="s">
        <v>41</v>
      </c>
    </row>
    <row r="45" spans="1:15" x14ac:dyDescent="0.2">
      <c r="A45" t="s">
        <v>28</v>
      </c>
      <c r="B45" t="s">
        <v>41</v>
      </c>
      <c r="C45" t="s">
        <v>41</v>
      </c>
      <c r="D45" t="s">
        <v>41</v>
      </c>
      <c r="E45" t="s">
        <v>41</v>
      </c>
      <c r="F45" t="s">
        <v>41</v>
      </c>
      <c r="G45" t="s">
        <v>41</v>
      </c>
      <c r="H45" t="s">
        <v>41</v>
      </c>
      <c r="I45" t="s">
        <v>41</v>
      </c>
      <c r="J45" t="s">
        <v>41</v>
      </c>
      <c r="K45" t="s">
        <v>41</v>
      </c>
    </row>
    <row r="46" spans="1:15" x14ac:dyDescent="0.2">
      <c r="A46" t="s">
        <v>472</v>
      </c>
      <c r="D46" t="s">
        <v>41</v>
      </c>
      <c r="E46" t="s">
        <v>41</v>
      </c>
      <c r="F46" t="s">
        <v>41</v>
      </c>
      <c r="G46" t="s">
        <v>456</v>
      </c>
      <c r="H46" t="s">
        <v>41</v>
      </c>
      <c r="I46" t="s">
        <v>41</v>
      </c>
    </row>
    <row r="47" spans="1:15" x14ac:dyDescent="0.2">
      <c r="A47" t="s">
        <v>545</v>
      </c>
      <c r="H47" t="s">
        <v>41</v>
      </c>
    </row>
  </sheetData>
  <dataValidations count="1">
    <dataValidation type="list" allowBlank="1" showInputMessage="1" showErrorMessage="1" sqref="G2:L46 C11:F29 B2:F10 B30:F46 M37:O37 H47" xr:uid="{00000000-0002-0000-0300-000000000000}">
      <formula1>$T$4:$T$16</formula1>
    </dataValidation>
  </dataValidations>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7"/>
  <sheetViews>
    <sheetView view="pageBreakPreview" zoomScale="115" zoomScaleNormal="100" zoomScaleSheetLayoutView="115" workbookViewId="0">
      <selection activeCell="C412" sqref="C412"/>
    </sheetView>
  </sheetViews>
  <sheetFormatPr baseColWidth="10" defaultRowHeight="15" x14ac:dyDescent="0.2"/>
  <cols>
    <col min="10" max="10" width="15" customWidth="1"/>
  </cols>
  <sheetData>
    <row r="1" spans="1:11" x14ac:dyDescent="0.2">
      <c r="A1" t="s">
        <v>503</v>
      </c>
      <c r="B1" t="s">
        <v>504</v>
      </c>
      <c r="C1" t="s">
        <v>505</v>
      </c>
    </row>
    <row r="2" spans="1:11" x14ac:dyDescent="0.2">
      <c r="A2" t="s">
        <v>495</v>
      </c>
    </row>
    <row r="3" spans="1:11" x14ac:dyDescent="0.2">
      <c r="A3" t="s">
        <v>496</v>
      </c>
    </row>
    <row r="4" spans="1:11" x14ac:dyDescent="0.2">
      <c r="A4" t="s">
        <v>497</v>
      </c>
      <c r="C4" t="s">
        <v>502</v>
      </c>
    </row>
    <row r="5" spans="1:11" x14ac:dyDescent="0.2">
      <c r="A5" t="s">
        <v>498</v>
      </c>
      <c r="C5" t="s">
        <v>501</v>
      </c>
    </row>
    <row r="6" spans="1:11" x14ac:dyDescent="0.2">
      <c r="A6" t="s">
        <v>499</v>
      </c>
      <c r="B6" s="65">
        <v>45660</v>
      </c>
      <c r="C6" t="s">
        <v>500</v>
      </c>
    </row>
    <row r="7" spans="1:11" x14ac:dyDescent="0.2">
      <c r="A7" s="66" t="s">
        <v>506</v>
      </c>
      <c r="B7" s="65">
        <v>45681</v>
      </c>
      <c r="C7" t="s">
        <v>507</v>
      </c>
    </row>
    <row r="8" spans="1:11" x14ac:dyDescent="0.2">
      <c r="A8" t="s">
        <v>508</v>
      </c>
      <c r="B8" s="65">
        <v>45687</v>
      </c>
      <c r="C8" t="s">
        <v>509</v>
      </c>
    </row>
    <row r="9" spans="1:11" x14ac:dyDescent="0.2">
      <c r="A9" t="s">
        <v>511</v>
      </c>
      <c r="B9" s="65">
        <v>45688</v>
      </c>
      <c r="C9" t="s">
        <v>512</v>
      </c>
    </row>
    <row r="10" spans="1:11" x14ac:dyDescent="0.2">
      <c r="A10" t="s">
        <v>513</v>
      </c>
      <c r="B10" s="65">
        <v>45708</v>
      </c>
      <c r="C10" t="s">
        <v>514</v>
      </c>
    </row>
    <row r="11" spans="1:11" x14ac:dyDescent="0.2">
      <c r="A11" t="s">
        <v>517</v>
      </c>
      <c r="B11" s="65">
        <v>45714</v>
      </c>
      <c r="C11" t="s">
        <v>518</v>
      </c>
    </row>
    <row r="12" spans="1:11" x14ac:dyDescent="0.2">
      <c r="A12" s="68" t="s">
        <v>519</v>
      </c>
      <c r="B12" s="65">
        <v>45728</v>
      </c>
      <c r="C12" t="s">
        <v>520</v>
      </c>
    </row>
    <row r="13" spans="1:11" x14ac:dyDescent="0.2">
      <c r="A13" s="68" t="s">
        <v>521</v>
      </c>
      <c r="B13" s="65">
        <v>45735</v>
      </c>
      <c r="C13" t="s">
        <v>522</v>
      </c>
    </row>
    <row r="14" spans="1:11" x14ac:dyDescent="0.2">
      <c r="A14" s="68" t="s">
        <v>525</v>
      </c>
      <c r="B14" s="65">
        <v>45791</v>
      </c>
      <c r="C14" t="s">
        <v>526</v>
      </c>
      <c r="J14" s="66" t="s">
        <v>533</v>
      </c>
      <c r="K14" s="4" t="str">
        <f>IF(D615=AA!$A$41,AA!A655,
IF(AND(OR(D614=AA!$A$11,D614=AA!$A$12,D614=AA!$A$13,D614=AA!$A$14,D614=AA!$A$15,D614=AA!$A$16,D614=AA!$A$19,D614=AA!$A$20),
           OR(D615=AA!$A$33,D615=AA!$A$34,D615=AA!$A$35,D615=AA!$A$36,D615=AA!$A$37,D615=AA!$A$38,D615=AA!$A$39,D615=AA!$A$40,D615=AA!$A$58,D615=AA!$A$59)),AA!$A$83,
IF(AND(D614=AA!$A$14,D615=AA!$A$47),AA!$A$83,
IF(AND(OR(D614=AA!$A$11,D614=AA!$A$12,D614=AA!$A$13,D614=AA!$A$14,D614=AA!$A$15,D614=AA!$A$16,D614=AA!$A$19,D614=AA!$A$20),
           D615=AA!$A$48),AA!$A$83,
IF(AND(OR(D614=AA!$A$11,D614=AA!$A$12,D614=AA!$A$13,D614=AA!$A$14,D614=AA!$A$15,D614=AA!$A$16,D614=AA!$A$19,D614=AA!$A$20),
           OR(D615=AA!$A$49,D615=AA!$A$50,D615=AA!$A$51)),AA!$A$85,
IF(AND(OR(D614=AA!$A$11,D614=AA!$A$12,D614=AA!$A$13,D614=AA!$A$14,D614=AA!$A$15,D614=AA!$A$16,D614=AA!$A$19,D614=AA!$A$20),
           OR(D615=AA!$A$55,D615=AA!$A$56,D615=AA!$A$57)),AA!$A$83,
IF(AND(OR(D614=AA!$A$11,D614=AA!$A$12,D614=AA!$A$13,D614=AA!$A$14,D614=AA!$A$15,D614=AA!$A$16,D614=AA!$A$19,D614=AA!$A$20),
           D615=AA!$A$68),AA!$A$87,
IF(AND(OR(D614=AA!$A$11,D614=AA!$A$12,D614=AA!$A$13,D614=AA!$A$14,D614=AA!$A$15,D614=AA!$A$16,D614=AA!$A$19,D614=AA!$A$20),
           OR(D615=AA!$A$61,D615=AA!$A$62,D615=AA!$A$63,D615=AA!$A$64,D615=AA!$A$67)),AA!$A$86,
IF(AND(OR(D614=AA!$A$17,D614=AA!$A$18),
           OR(D615=AA!$A$69,D615=AA!$A$70,D615=AA!$A$71,D615=AA!$A$72,D615=AA!$A$73,D615=AA!$A$74)),AA!$A$84,
IF(AND(OR(D614=AA!$A$17,D614=AA!$A$18),
           OR(D615=AA!$A$76,D615=AA!$A$77,D615=AA!$A$78)),AA!$A$84,
IF(AND(D615=AA!$A$54,D614=AA!$A$13),AA!$A$85,
IF(AND(D615=AA!$A$54,D614=AA!$A$15),AA!$A$85,
IF(AND(D615=AA!$A$54,D614=AA!$A$14),AA!$A$83,
IF(AND(D615=AA!$A$54,D614=AA!$A$16),AA!$A$83,
""))))))))))))))</f>
        <v/>
      </c>
    </row>
    <row r="15" spans="1:11" x14ac:dyDescent="0.2">
      <c r="A15" s="68" t="s">
        <v>534</v>
      </c>
      <c r="B15" s="65">
        <v>45791</v>
      </c>
      <c r="C15" t="s">
        <v>535</v>
      </c>
    </row>
    <row r="16" spans="1:11" x14ac:dyDescent="0.2">
      <c r="A16" s="68" t="s">
        <v>537</v>
      </c>
      <c r="B16" s="65">
        <v>45803</v>
      </c>
      <c r="C16" t="s">
        <v>538</v>
      </c>
    </row>
    <row r="17" spans="1:3" x14ac:dyDescent="0.2">
      <c r="A17" s="68" t="s">
        <v>542</v>
      </c>
      <c r="B17" s="65">
        <v>45807</v>
      </c>
      <c r="C17" t="s">
        <v>543</v>
      </c>
    </row>
    <row r="18" spans="1:3" x14ac:dyDescent="0.2">
      <c r="A18" s="68" t="s">
        <v>544</v>
      </c>
      <c r="B18" s="65">
        <v>45807</v>
      </c>
      <c r="C18" t="s">
        <v>536</v>
      </c>
    </row>
    <row r="19" spans="1:3" x14ac:dyDescent="0.2">
      <c r="A19" s="68" t="s">
        <v>546</v>
      </c>
      <c r="B19" s="65">
        <v>45818</v>
      </c>
      <c r="C19" t="s">
        <v>547</v>
      </c>
    </row>
    <row r="20" spans="1:3" x14ac:dyDescent="0.2">
      <c r="A20" s="68" t="s">
        <v>550</v>
      </c>
      <c r="B20" s="65">
        <v>45819</v>
      </c>
      <c r="C20" t="s">
        <v>549</v>
      </c>
    </row>
    <row r="21" spans="1:3" x14ac:dyDescent="0.2">
      <c r="A21" s="68" t="s">
        <v>553</v>
      </c>
      <c r="B21" s="65">
        <v>45890</v>
      </c>
      <c r="C21" t="s">
        <v>554</v>
      </c>
    </row>
    <row r="22" spans="1:3" x14ac:dyDescent="0.2">
      <c r="A22" s="68" t="s">
        <v>557</v>
      </c>
      <c r="B22" s="65">
        <v>45946</v>
      </c>
      <c r="C22" t="s">
        <v>558</v>
      </c>
    </row>
    <row r="23" spans="1:3" x14ac:dyDescent="0.2">
      <c r="A23" s="68" t="s">
        <v>562</v>
      </c>
      <c r="B23" s="65">
        <v>45973</v>
      </c>
      <c r="C23" t="s">
        <v>561</v>
      </c>
    </row>
    <row r="24" spans="1:3" x14ac:dyDescent="0.2">
      <c r="A24" s="68" t="s">
        <v>565</v>
      </c>
      <c r="B24" s="65">
        <v>45994</v>
      </c>
      <c r="C24" t="s">
        <v>566</v>
      </c>
    </row>
    <row r="25" spans="1:3" x14ac:dyDescent="0.2">
      <c r="A25" s="68" t="s">
        <v>569</v>
      </c>
      <c r="B25" s="65">
        <v>46006</v>
      </c>
      <c r="C25" t="s">
        <v>570</v>
      </c>
    </row>
    <row r="26" spans="1:3" x14ac:dyDescent="0.2">
      <c r="A26" s="68" t="s">
        <v>573</v>
      </c>
      <c r="B26" s="65">
        <v>46245</v>
      </c>
      <c r="C26" t="s">
        <v>574</v>
      </c>
    </row>
    <row r="27" spans="1:3" x14ac:dyDescent="0.2">
      <c r="A27" s="68" t="s">
        <v>578</v>
      </c>
      <c r="B27" s="65">
        <v>46245</v>
      </c>
      <c r="C27" t="s">
        <v>577</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Arbeitsblätter</vt:lpstr>
      </vt:variant>
      <vt:variant>
        <vt:i4>5</vt:i4>
      </vt:variant>
      <vt:variant>
        <vt:lpstr>Benannte Bereiche</vt:lpstr>
      </vt:variant>
      <vt:variant>
        <vt:i4>16</vt:i4>
      </vt:variant>
    </vt:vector>
  </HeadingPairs>
  <TitlesOfParts>
    <vt:vector size="21" baseType="lpstr">
      <vt:lpstr>Dispoauftrag</vt:lpstr>
      <vt:lpstr>Einplanung durch Kombitabelle</vt:lpstr>
      <vt:lpstr>AA</vt:lpstr>
      <vt:lpstr>Buchungskenn durch Kombitabelle</vt:lpstr>
      <vt:lpstr>Versionshinweise</vt:lpstr>
      <vt:lpstr>dropdown_abrechnung</vt:lpstr>
      <vt:lpstr>Dispoauftrag!Druckbereich</vt:lpstr>
      <vt:lpstr>Versionshinweise!Druckbereich</vt:lpstr>
      <vt:lpstr>Dispoauftrag!Drucktitel</vt:lpstr>
      <vt:lpstr>SenderkombiEvents</vt:lpstr>
      <vt:lpstr>Senderkombis</vt:lpstr>
      <vt:lpstr>SenderKombisOA</vt:lpstr>
      <vt:lpstr>SenderKombisUKW</vt:lpstr>
      <vt:lpstr>targeting</vt:lpstr>
      <vt:lpstr>targeting_spec</vt:lpstr>
      <vt:lpstr>undoder</vt:lpstr>
      <vt:lpstr>WerbemittelEvents</vt:lpstr>
      <vt:lpstr>WerbemittelKombi</vt:lpstr>
      <vt:lpstr>WerbemittelOA</vt:lpstr>
      <vt:lpstr>WerbemittelPodcast</vt:lpstr>
      <vt:lpstr>WerbemittelUKW</vt:lpstr>
    </vt:vector>
  </TitlesOfParts>
  <Company>MORE GmbH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Niklas Farin</dc:creator>
  <cp:lastModifiedBy>Niklas Farin</cp:lastModifiedBy>
  <cp:lastPrinted>2025-05-19T10:09:40Z</cp:lastPrinted>
  <dcterms:created xsi:type="dcterms:W3CDTF">2024-02-26T10:52:08Z</dcterms:created>
  <dcterms:modified xsi:type="dcterms:W3CDTF">2026-09-30T08:22:07Z</dcterms:modified>
</cp:coreProperties>
</file>